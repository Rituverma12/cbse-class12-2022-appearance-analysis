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pivotTables/pivotTable8.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pivotTables/pivotTable11.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drawings/drawing9.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CER\cbse-class12-2022-appearance-analysis\data\"/>
    </mc:Choice>
  </mc:AlternateContent>
  <xr:revisionPtr revIDLastSave="0" documentId="13_ncr:1_{F0FEF1BC-FF80-4131-8B26-F8EFDB578C20}" xr6:coauthVersionLast="47" xr6:coauthVersionMax="47" xr10:uidLastSave="{00000000-0000-0000-0000-000000000000}"/>
  <bookViews>
    <workbookView xWindow="11316" yWindow="0" windowWidth="11724" windowHeight="12336" tabRatio="1000" firstSheet="3" activeTab="4" xr2:uid="{352D25E5-EE06-4DDB-99E1-3948CD812789}"/>
  </bookViews>
  <sheets>
    <sheet name="class12-2022 dataset" sheetId="1" state="hidden" r:id="rId1"/>
    <sheet name="class 12-2022 table" sheetId="2" r:id="rId2"/>
    <sheet name="class12-2022 result" sheetId="3" state="hidden" r:id="rId3"/>
    <sheet name="fact_table" sheetId="4" r:id="rId4"/>
    <sheet name="pivot_integrity_summary" sheetId="22" r:id="rId5"/>
    <sheet name="pivot_baseflag_summary" sheetId="23" r:id="rId6"/>
    <sheet name="pivot_anomaly_summary" sheetId="24" r:id="rId7"/>
    <sheet name="Charts_volatility" sheetId="15" r:id="rId8"/>
    <sheet name="minbase_pivot" sheetId="25" r:id="rId9"/>
    <sheet name="profiling_baseflag" sheetId="11" r:id="rId10"/>
    <sheet name="profiling_anomalyflag" sheetId="12" r:id="rId11"/>
    <sheet name="profiling_volatility_schooltype" sheetId="13" r:id="rId12"/>
    <sheet name="Dashboard" sheetId="16" r:id="rId13"/>
  </sheets>
  <definedNames>
    <definedName name="ExternalData_1" localSheetId="2" hidden="1">'class12-2022 result'!$A$1:$I$97</definedName>
    <definedName name="ExternalData_1" localSheetId="3" hidden="1">fact_table!$A$1:$I$97</definedName>
    <definedName name="Slicer_Integrity_CheckResult">#N/A</definedName>
    <definedName name="Slicer_Region">#N/A</definedName>
    <definedName name="Slicer_Region1">#N/A</definedName>
    <definedName name="Slicer_Region3">#N/A</definedName>
    <definedName name="Slicer_Region4">#N/A</definedName>
    <definedName name="Slicer_School_Type">#N/A</definedName>
    <definedName name="Slicer_School_Type2">#N/A</definedName>
    <definedName name="Slicer_School_Type3">#N/A</definedName>
    <definedName name="Slicer_School_Type4">#N/A</definedName>
  </definedNames>
  <calcPr calcId="191029"/>
  <pivotCaches>
    <pivotCache cacheId="260" r:id="rId14"/>
    <pivotCache cacheId="374" r:id="rId15"/>
    <pivotCache cacheId="377" r:id="rId16"/>
    <pivotCache cacheId="394" r:id="rId17"/>
    <pivotCache cacheId="397" r:id="rId18"/>
    <pivotCache cacheId="410" r:id="rId19"/>
    <pivotCache cacheId="1005" r:id="rId20"/>
    <pivotCache cacheId="1008" r:id="rId21"/>
    <pivotCache cacheId="1011" r:id="rId22"/>
    <pivotCache cacheId="1014" r:id="rId23"/>
    <pivotCache cacheId="1017" r:id="rId24"/>
  </pivotCaches>
  <extLst>
    <ext xmlns:x14="http://schemas.microsoft.com/office/spreadsheetml/2009/9/main" uri="{876F7934-8845-4945-9796-88D515C7AA90}">
      <x14:pivotCaches>
        <pivotCache cacheId="370" r:id="rId25"/>
        <pivotCache cacheId="380" r:id="rId26"/>
        <pivotCache cacheId="393" r:id="rId27"/>
      </x14:pivotCaches>
    </ext>
    <ext xmlns:x14="http://schemas.microsoft.com/office/spreadsheetml/2009/9/main" uri="{BBE1A952-AA13-448e-AADC-164F8A28A991}">
      <x14:slicerCaches>
        <x14:slicerCache r:id="rId28"/>
        <x14:slicerCache r:id="rId29"/>
        <x14:slicerCache r:id="rId30"/>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4  2_b00e89d7-ac98-4c0f-bd4f-6bfa36debdcc" name="Table1_14  2" connection="Query - Table1_14 (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23" l="1"/>
  <c r="C29" i="23"/>
  <c r="C30" i="23"/>
  <c r="C27" i="23"/>
  <c r="B28" i="23"/>
  <c r="B29" i="23"/>
  <c r="B30" i="23"/>
  <c r="B27" i="23"/>
  <c r="A30" i="23"/>
  <c r="A29" i="23"/>
  <c r="A28" i="23"/>
  <c r="E4" i="13" a="1"/>
  <c r="E4" i="13" s="1"/>
  <c r="M98" i="4"/>
  <c r="P97" i="4"/>
  <c r="O97" i="4"/>
  <c r="N97" i="4"/>
  <c r="M97" i="4"/>
  <c r="L97" i="4"/>
  <c r="K97" i="4"/>
  <c r="J97" i="4"/>
  <c r="P96" i="4"/>
  <c r="O96" i="4"/>
  <c r="N96" i="4"/>
  <c r="M96" i="4"/>
  <c r="L96" i="4"/>
  <c r="K96" i="4"/>
  <c r="J96" i="4"/>
  <c r="P95" i="4"/>
  <c r="O95" i="4"/>
  <c r="N95" i="4"/>
  <c r="M95" i="4"/>
  <c r="L95" i="4"/>
  <c r="K95" i="4"/>
  <c r="J95" i="4"/>
  <c r="P94" i="4"/>
  <c r="O94" i="4"/>
  <c r="N94" i="4"/>
  <c r="M94" i="4"/>
  <c r="L94" i="4"/>
  <c r="K94" i="4"/>
  <c r="J94" i="4"/>
  <c r="P93" i="4"/>
  <c r="O93" i="4"/>
  <c r="N93" i="4"/>
  <c r="M93" i="4"/>
  <c r="L93" i="4"/>
  <c r="K93" i="4"/>
  <c r="J93" i="4"/>
  <c r="P92" i="4"/>
  <c r="O92" i="4"/>
  <c r="N92" i="4"/>
  <c r="M92" i="4"/>
  <c r="L92" i="4"/>
  <c r="K92" i="4"/>
  <c r="J92" i="4"/>
  <c r="P91" i="4"/>
  <c r="O91" i="4"/>
  <c r="N91" i="4"/>
  <c r="M91" i="4"/>
  <c r="L91" i="4"/>
  <c r="K91" i="4"/>
  <c r="J91" i="4"/>
  <c r="P90" i="4"/>
  <c r="O90" i="4"/>
  <c r="N90" i="4"/>
  <c r="M90" i="4"/>
  <c r="L90" i="4"/>
  <c r="K90" i="4"/>
  <c r="J90" i="4"/>
  <c r="P89" i="4"/>
  <c r="O89" i="4"/>
  <c r="N89" i="4"/>
  <c r="M89" i="4"/>
  <c r="L89" i="4"/>
  <c r="K89" i="4"/>
  <c r="J89" i="4"/>
  <c r="P88" i="4"/>
  <c r="O88" i="4"/>
  <c r="N88" i="4"/>
  <c r="M88" i="4"/>
  <c r="L88" i="4"/>
  <c r="K88" i="4"/>
  <c r="J88" i="4"/>
  <c r="P87" i="4"/>
  <c r="O87" i="4"/>
  <c r="N87" i="4"/>
  <c r="M87" i="4"/>
  <c r="L87" i="4"/>
  <c r="K87" i="4"/>
  <c r="J87" i="4"/>
  <c r="P86" i="4"/>
  <c r="O86" i="4"/>
  <c r="N86" i="4"/>
  <c r="M86" i="4"/>
  <c r="L86" i="4"/>
  <c r="K86" i="4"/>
  <c r="J86" i="4"/>
  <c r="P85" i="4"/>
  <c r="O85" i="4"/>
  <c r="N85" i="4"/>
  <c r="M85" i="4"/>
  <c r="L85" i="4"/>
  <c r="K85" i="4"/>
  <c r="J85" i="4"/>
  <c r="P84" i="4"/>
  <c r="O84" i="4"/>
  <c r="N84" i="4"/>
  <c r="M84" i="4"/>
  <c r="L84" i="4"/>
  <c r="K84" i="4"/>
  <c r="J84" i="4"/>
  <c r="P83" i="4"/>
  <c r="O83" i="4"/>
  <c r="N83" i="4"/>
  <c r="M83" i="4"/>
  <c r="L83" i="4"/>
  <c r="K83" i="4"/>
  <c r="J83" i="4"/>
  <c r="P82" i="4"/>
  <c r="O82" i="4"/>
  <c r="N82" i="4"/>
  <c r="M82" i="4"/>
  <c r="L82" i="4"/>
  <c r="K82" i="4"/>
  <c r="J82" i="4"/>
  <c r="P81" i="4"/>
  <c r="O81" i="4"/>
  <c r="N81" i="4"/>
  <c r="M81" i="4"/>
  <c r="L81" i="4"/>
  <c r="K81" i="4"/>
  <c r="J81" i="4"/>
  <c r="P80" i="4"/>
  <c r="O80" i="4"/>
  <c r="N80" i="4"/>
  <c r="M80" i="4"/>
  <c r="L80" i="4"/>
  <c r="K80" i="4"/>
  <c r="J80" i="4"/>
  <c r="P79" i="4"/>
  <c r="O79" i="4"/>
  <c r="N79" i="4"/>
  <c r="M79" i="4"/>
  <c r="L79" i="4"/>
  <c r="K79" i="4"/>
  <c r="J79" i="4"/>
  <c r="P78" i="4"/>
  <c r="O78" i="4"/>
  <c r="N78" i="4"/>
  <c r="M78" i="4"/>
  <c r="L78" i="4"/>
  <c r="K78" i="4"/>
  <c r="J78" i="4"/>
  <c r="P77" i="4"/>
  <c r="O77" i="4"/>
  <c r="N77" i="4"/>
  <c r="M77" i="4"/>
  <c r="L77" i="4"/>
  <c r="K77" i="4"/>
  <c r="J77" i="4"/>
  <c r="P76" i="4"/>
  <c r="O76" i="4"/>
  <c r="N76" i="4"/>
  <c r="M76" i="4"/>
  <c r="L76" i="4"/>
  <c r="K76" i="4"/>
  <c r="J76" i="4"/>
  <c r="P75" i="4"/>
  <c r="O75" i="4"/>
  <c r="N75" i="4"/>
  <c r="M75" i="4"/>
  <c r="L75" i="4"/>
  <c r="K75" i="4"/>
  <c r="J75" i="4"/>
  <c r="P74" i="4"/>
  <c r="O74" i="4"/>
  <c r="N74" i="4"/>
  <c r="M74" i="4"/>
  <c r="L74" i="4"/>
  <c r="K74" i="4"/>
  <c r="J74" i="4"/>
  <c r="P73" i="4"/>
  <c r="O73" i="4"/>
  <c r="N73" i="4"/>
  <c r="M73" i="4"/>
  <c r="L73" i="4"/>
  <c r="K73" i="4"/>
  <c r="J73" i="4"/>
  <c r="P72" i="4"/>
  <c r="O72" i="4"/>
  <c r="N72" i="4"/>
  <c r="M72" i="4"/>
  <c r="L72" i="4"/>
  <c r="K72" i="4"/>
  <c r="J72" i="4"/>
  <c r="P71" i="4"/>
  <c r="O71" i="4"/>
  <c r="N71" i="4"/>
  <c r="M71" i="4"/>
  <c r="L71" i="4"/>
  <c r="K71" i="4"/>
  <c r="J71" i="4"/>
  <c r="P70" i="4"/>
  <c r="O70" i="4"/>
  <c r="N70" i="4"/>
  <c r="M70" i="4"/>
  <c r="L70" i="4"/>
  <c r="K70" i="4"/>
  <c r="J70" i="4"/>
  <c r="P69" i="4"/>
  <c r="O69" i="4"/>
  <c r="N69" i="4"/>
  <c r="M69" i="4"/>
  <c r="L69" i="4"/>
  <c r="K69" i="4"/>
  <c r="J69" i="4"/>
  <c r="P68" i="4"/>
  <c r="O68" i="4"/>
  <c r="N68" i="4"/>
  <c r="M68" i="4"/>
  <c r="L68" i="4"/>
  <c r="K68" i="4"/>
  <c r="J68" i="4"/>
  <c r="P67" i="4"/>
  <c r="O67" i="4"/>
  <c r="N67" i="4"/>
  <c r="M67" i="4"/>
  <c r="L67" i="4"/>
  <c r="K67" i="4"/>
  <c r="J67" i="4"/>
  <c r="P66" i="4"/>
  <c r="O66" i="4"/>
  <c r="N66" i="4"/>
  <c r="M66" i="4"/>
  <c r="L66" i="4"/>
  <c r="K66" i="4"/>
  <c r="J66" i="4"/>
  <c r="P65" i="4"/>
  <c r="O65" i="4"/>
  <c r="N65" i="4"/>
  <c r="M65" i="4"/>
  <c r="L65" i="4"/>
  <c r="K65" i="4"/>
  <c r="J65" i="4"/>
  <c r="P64" i="4"/>
  <c r="O64" i="4"/>
  <c r="N64" i="4"/>
  <c r="M64" i="4"/>
  <c r="L64" i="4"/>
  <c r="K64" i="4"/>
  <c r="J64" i="4"/>
  <c r="P63" i="4"/>
  <c r="O63" i="4"/>
  <c r="N63" i="4"/>
  <c r="M63" i="4"/>
  <c r="L63" i="4"/>
  <c r="K63" i="4"/>
  <c r="J63" i="4"/>
  <c r="P62" i="4"/>
  <c r="O62" i="4"/>
  <c r="N62" i="4"/>
  <c r="M62" i="4"/>
  <c r="L62" i="4"/>
  <c r="K62" i="4"/>
  <c r="J62" i="4"/>
  <c r="P61" i="4"/>
  <c r="O61" i="4"/>
  <c r="N61" i="4"/>
  <c r="M61" i="4"/>
  <c r="L61" i="4"/>
  <c r="K61" i="4"/>
  <c r="J61" i="4"/>
  <c r="P60" i="4"/>
  <c r="O60" i="4"/>
  <c r="N60" i="4"/>
  <c r="M60" i="4"/>
  <c r="L60" i="4"/>
  <c r="K60" i="4"/>
  <c r="J60" i="4"/>
  <c r="P59" i="4"/>
  <c r="O59" i="4"/>
  <c r="N59" i="4"/>
  <c r="M59" i="4"/>
  <c r="L59" i="4"/>
  <c r="K59" i="4"/>
  <c r="J59" i="4"/>
  <c r="P58" i="4"/>
  <c r="O58" i="4"/>
  <c r="N58" i="4"/>
  <c r="M58" i="4"/>
  <c r="L58" i="4"/>
  <c r="K58" i="4"/>
  <c r="J58" i="4"/>
  <c r="P57" i="4"/>
  <c r="O57" i="4"/>
  <c r="N57" i="4"/>
  <c r="M57" i="4"/>
  <c r="L57" i="4"/>
  <c r="K57" i="4"/>
  <c r="J57" i="4"/>
  <c r="P56" i="4"/>
  <c r="O56" i="4"/>
  <c r="N56" i="4"/>
  <c r="M56" i="4"/>
  <c r="L56" i="4"/>
  <c r="K56" i="4"/>
  <c r="J56" i="4"/>
  <c r="P55" i="4"/>
  <c r="O55" i="4"/>
  <c r="N55" i="4"/>
  <c r="M55" i="4"/>
  <c r="L55" i="4"/>
  <c r="K55" i="4"/>
  <c r="J55" i="4"/>
  <c r="P54" i="4"/>
  <c r="O54" i="4"/>
  <c r="N54" i="4"/>
  <c r="M54" i="4"/>
  <c r="L54" i="4"/>
  <c r="K54" i="4"/>
  <c r="J54" i="4"/>
  <c r="P53" i="4"/>
  <c r="O53" i="4"/>
  <c r="N53" i="4"/>
  <c r="M53" i="4"/>
  <c r="L53" i="4"/>
  <c r="K53" i="4"/>
  <c r="J53" i="4"/>
  <c r="P52" i="4"/>
  <c r="O52" i="4"/>
  <c r="N52" i="4"/>
  <c r="M52" i="4"/>
  <c r="L52" i="4"/>
  <c r="K52" i="4"/>
  <c r="J52" i="4"/>
  <c r="P51" i="4"/>
  <c r="O51" i="4"/>
  <c r="N51" i="4"/>
  <c r="M51" i="4"/>
  <c r="L51" i="4"/>
  <c r="K51" i="4"/>
  <c r="J51" i="4"/>
  <c r="P50" i="4"/>
  <c r="O50" i="4"/>
  <c r="N50" i="4"/>
  <c r="M50" i="4"/>
  <c r="L50" i="4"/>
  <c r="K50" i="4"/>
  <c r="J50" i="4"/>
  <c r="P49" i="4"/>
  <c r="O49" i="4"/>
  <c r="N49" i="4"/>
  <c r="M49" i="4"/>
  <c r="L49" i="4"/>
  <c r="K49" i="4"/>
  <c r="J49" i="4"/>
  <c r="P48" i="4"/>
  <c r="O48" i="4"/>
  <c r="N48" i="4"/>
  <c r="M48" i="4"/>
  <c r="L48" i="4"/>
  <c r="K48" i="4"/>
  <c r="J48" i="4"/>
  <c r="P47" i="4"/>
  <c r="O47" i="4"/>
  <c r="N47" i="4"/>
  <c r="M47" i="4"/>
  <c r="L47" i="4"/>
  <c r="K47" i="4"/>
  <c r="J47" i="4"/>
  <c r="P46" i="4"/>
  <c r="O46" i="4"/>
  <c r="N46" i="4"/>
  <c r="M46" i="4"/>
  <c r="L46" i="4"/>
  <c r="K46" i="4"/>
  <c r="J46" i="4"/>
  <c r="P45" i="4"/>
  <c r="O45" i="4"/>
  <c r="N45" i="4"/>
  <c r="M45" i="4"/>
  <c r="L45" i="4"/>
  <c r="K45" i="4"/>
  <c r="J45" i="4"/>
  <c r="P44" i="4"/>
  <c r="O44" i="4"/>
  <c r="N44" i="4"/>
  <c r="M44" i="4"/>
  <c r="L44" i="4"/>
  <c r="K44" i="4"/>
  <c r="J44" i="4"/>
  <c r="P43" i="4"/>
  <c r="O43" i="4"/>
  <c r="N43" i="4"/>
  <c r="M43" i="4"/>
  <c r="L43" i="4"/>
  <c r="K43" i="4"/>
  <c r="J43" i="4"/>
  <c r="P42" i="4"/>
  <c r="O42" i="4"/>
  <c r="N42" i="4"/>
  <c r="M42" i="4"/>
  <c r="L42" i="4"/>
  <c r="K42" i="4"/>
  <c r="J42" i="4"/>
  <c r="P41" i="4"/>
  <c r="O41" i="4"/>
  <c r="N41" i="4"/>
  <c r="M41" i="4"/>
  <c r="L41" i="4"/>
  <c r="K41" i="4"/>
  <c r="J41" i="4"/>
  <c r="P40" i="4"/>
  <c r="O40" i="4"/>
  <c r="N40" i="4"/>
  <c r="M40" i="4"/>
  <c r="L40" i="4"/>
  <c r="K40" i="4"/>
  <c r="J40" i="4"/>
  <c r="P39" i="4"/>
  <c r="O39" i="4"/>
  <c r="N39" i="4"/>
  <c r="M39" i="4"/>
  <c r="L39" i="4"/>
  <c r="K39" i="4"/>
  <c r="J39" i="4"/>
  <c r="P38" i="4"/>
  <c r="O38" i="4"/>
  <c r="N38" i="4"/>
  <c r="M38" i="4"/>
  <c r="L38" i="4"/>
  <c r="K38" i="4"/>
  <c r="J38" i="4"/>
  <c r="P37" i="4"/>
  <c r="O37" i="4"/>
  <c r="N37" i="4"/>
  <c r="M37" i="4"/>
  <c r="L37" i="4"/>
  <c r="K37" i="4"/>
  <c r="J37" i="4"/>
  <c r="P36" i="4"/>
  <c r="O36" i="4"/>
  <c r="N36" i="4"/>
  <c r="M36" i="4"/>
  <c r="L36" i="4"/>
  <c r="K36" i="4"/>
  <c r="J36" i="4"/>
  <c r="P35" i="4"/>
  <c r="O35" i="4"/>
  <c r="N35" i="4"/>
  <c r="M35" i="4"/>
  <c r="L35" i="4"/>
  <c r="K35" i="4"/>
  <c r="J35" i="4"/>
  <c r="P34" i="4"/>
  <c r="O34" i="4"/>
  <c r="N34" i="4"/>
  <c r="M34" i="4"/>
  <c r="L34" i="4"/>
  <c r="K34" i="4"/>
  <c r="J34" i="4"/>
  <c r="P33" i="4"/>
  <c r="O33" i="4"/>
  <c r="N33" i="4"/>
  <c r="M33" i="4"/>
  <c r="L33" i="4"/>
  <c r="K33" i="4"/>
  <c r="J33" i="4"/>
  <c r="P32" i="4"/>
  <c r="O32" i="4"/>
  <c r="N32" i="4"/>
  <c r="M32" i="4"/>
  <c r="L32" i="4"/>
  <c r="K32" i="4"/>
  <c r="J32" i="4"/>
  <c r="P31" i="4"/>
  <c r="O31" i="4"/>
  <c r="N31" i="4"/>
  <c r="M31" i="4"/>
  <c r="L31" i="4"/>
  <c r="K31" i="4"/>
  <c r="J31" i="4"/>
  <c r="P30" i="4"/>
  <c r="O30" i="4"/>
  <c r="N30" i="4"/>
  <c r="M30" i="4"/>
  <c r="L30" i="4"/>
  <c r="K30" i="4"/>
  <c r="J30" i="4"/>
  <c r="P29" i="4"/>
  <c r="O29" i="4"/>
  <c r="N29" i="4"/>
  <c r="M29" i="4"/>
  <c r="L29" i="4"/>
  <c r="K29" i="4"/>
  <c r="J29" i="4"/>
  <c r="P28" i="4"/>
  <c r="O28" i="4"/>
  <c r="N28" i="4"/>
  <c r="M28" i="4"/>
  <c r="L28" i="4"/>
  <c r="K28" i="4"/>
  <c r="J28" i="4"/>
  <c r="P27" i="4"/>
  <c r="O27" i="4"/>
  <c r="N27" i="4"/>
  <c r="M27" i="4"/>
  <c r="L27" i="4"/>
  <c r="K27" i="4"/>
  <c r="J27" i="4"/>
  <c r="P26" i="4"/>
  <c r="O26" i="4"/>
  <c r="N26" i="4"/>
  <c r="M26" i="4"/>
  <c r="L26" i="4"/>
  <c r="K26" i="4"/>
  <c r="J26" i="4"/>
  <c r="P25" i="4"/>
  <c r="O25" i="4"/>
  <c r="N25" i="4"/>
  <c r="M25" i="4"/>
  <c r="L25" i="4"/>
  <c r="K25" i="4"/>
  <c r="J25" i="4"/>
  <c r="P24" i="4"/>
  <c r="O24" i="4"/>
  <c r="N24" i="4"/>
  <c r="M24" i="4"/>
  <c r="L24" i="4"/>
  <c r="K24" i="4"/>
  <c r="J24" i="4"/>
  <c r="P23" i="4"/>
  <c r="O23" i="4"/>
  <c r="N23" i="4"/>
  <c r="M23" i="4"/>
  <c r="L23" i="4"/>
  <c r="K23" i="4"/>
  <c r="J23" i="4"/>
  <c r="P22" i="4"/>
  <c r="O22" i="4"/>
  <c r="N22" i="4"/>
  <c r="M22" i="4"/>
  <c r="L22" i="4"/>
  <c r="K22" i="4"/>
  <c r="J22" i="4"/>
  <c r="P21" i="4"/>
  <c r="O21" i="4"/>
  <c r="N21" i="4"/>
  <c r="M21" i="4"/>
  <c r="L21" i="4"/>
  <c r="K21" i="4"/>
  <c r="J21" i="4"/>
  <c r="P20" i="4"/>
  <c r="O20" i="4"/>
  <c r="N20" i="4"/>
  <c r="M20" i="4"/>
  <c r="L20" i="4"/>
  <c r="K20" i="4"/>
  <c r="J20" i="4"/>
  <c r="P19" i="4"/>
  <c r="O19" i="4"/>
  <c r="N19" i="4"/>
  <c r="M19" i="4"/>
  <c r="L19" i="4"/>
  <c r="K19" i="4"/>
  <c r="J19" i="4"/>
  <c r="P18" i="4"/>
  <c r="O18" i="4"/>
  <c r="N18" i="4"/>
  <c r="M18" i="4"/>
  <c r="L18" i="4"/>
  <c r="K18" i="4"/>
  <c r="J18" i="4"/>
  <c r="P17" i="4"/>
  <c r="O17" i="4"/>
  <c r="N17" i="4"/>
  <c r="M17" i="4"/>
  <c r="L17" i="4"/>
  <c r="K17" i="4"/>
  <c r="J17" i="4"/>
  <c r="P16" i="4"/>
  <c r="O16" i="4"/>
  <c r="N16" i="4"/>
  <c r="M16" i="4"/>
  <c r="L16" i="4"/>
  <c r="K16" i="4"/>
  <c r="J16" i="4"/>
  <c r="P15" i="4"/>
  <c r="O15" i="4"/>
  <c r="N15" i="4"/>
  <c r="M15" i="4"/>
  <c r="L15" i="4"/>
  <c r="K15" i="4"/>
  <c r="J15" i="4"/>
  <c r="P14" i="4"/>
  <c r="O14" i="4"/>
  <c r="N14" i="4"/>
  <c r="M14" i="4"/>
  <c r="L14" i="4"/>
  <c r="K14" i="4"/>
  <c r="J14" i="4"/>
  <c r="P13" i="4"/>
  <c r="O13" i="4"/>
  <c r="N13" i="4"/>
  <c r="M13" i="4"/>
  <c r="L13" i="4"/>
  <c r="K13" i="4"/>
  <c r="J13" i="4"/>
  <c r="P12" i="4"/>
  <c r="O12" i="4"/>
  <c r="N12" i="4"/>
  <c r="M12" i="4"/>
  <c r="L12" i="4"/>
  <c r="K12" i="4"/>
  <c r="J12" i="4"/>
  <c r="P11" i="4"/>
  <c r="O11" i="4"/>
  <c r="N11" i="4"/>
  <c r="M11" i="4"/>
  <c r="L11" i="4"/>
  <c r="K11" i="4"/>
  <c r="J11" i="4"/>
  <c r="P10" i="4"/>
  <c r="O10" i="4"/>
  <c r="N10" i="4"/>
  <c r="M10" i="4"/>
  <c r="L10" i="4"/>
  <c r="K10" i="4"/>
  <c r="J10" i="4"/>
  <c r="P9" i="4"/>
  <c r="O9" i="4"/>
  <c r="N9" i="4"/>
  <c r="M9" i="4"/>
  <c r="L9" i="4"/>
  <c r="K9" i="4"/>
  <c r="J9" i="4"/>
  <c r="P8" i="4"/>
  <c r="O8" i="4"/>
  <c r="N8" i="4"/>
  <c r="M8" i="4"/>
  <c r="L8" i="4"/>
  <c r="K8" i="4"/>
  <c r="J8" i="4"/>
  <c r="P7" i="4"/>
  <c r="O7" i="4"/>
  <c r="N7" i="4"/>
  <c r="M7" i="4"/>
  <c r="L7" i="4"/>
  <c r="K7" i="4"/>
  <c r="J7" i="4"/>
  <c r="P6" i="4"/>
  <c r="O6" i="4"/>
  <c r="N6" i="4"/>
  <c r="M6" i="4"/>
  <c r="L6" i="4"/>
  <c r="K6" i="4"/>
  <c r="J6" i="4"/>
  <c r="P5" i="4"/>
  <c r="O5" i="4"/>
  <c r="N5" i="4"/>
  <c r="M5" i="4"/>
  <c r="L5" i="4"/>
  <c r="K5" i="4"/>
  <c r="J5" i="4"/>
  <c r="P4" i="4"/>
  <c r="O4" i="4"/>
  <c r="N4" i="4"/>
  <c r="M4" i="4"/>
  <c r="L4" i="4"/>
  <c r="K4" i="4"/>
  <c r="J4" i="4"/>
  <c r="P3" i="4"/>
  <c r="O3" i="4"/>
  <c r="N3" i="4"/>
  <c r="M3" i="4"/>
  <c r="L3" i="4"/>
  <c r="K3" i="4"/>
  <c r="J3" i="4"/>
  <c r="P2" i="4"/>
  <c r="O2" i="4"/>
  <c r="N2" i="4"/>
  <c r="M2" i="4"/>
  <c r="L2" i="4"/>
  <c r="K2" i="4"/>
  <c r="J2" i="4"/>
  <c r="G8" i="23"/>
  <c r="G6" i="23"/>
  <c r="G7" i="23"/>
  <c r="D30" i="23" l="1"/>
  <c r="E30" i="23" s="1"/>
  <c r="D29" i="23"/>
  <c r="E29" i="23" s="1"/>
  <c r="D28" i="23"/>
  <c r="E28" i="2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A36741-777C-4054-ABCB-522B390D1128}" keepAlive="1" name="Query - fact_table" description="Connection to the 'fact_table' query in the workbook." type="5" refreshedVersion="8" background="1" saveData="1">
    <dbPr connection="Provider=Microsoft.Mashup.OleDb.1;Data Source=$Workbook$;Location=fact_table;Extended Properties=&quot;&quot;" command="SELECT * FROM [fact_table]"/>
  </connection>
  <connection id="2" xr16:uid="{32F0CCBD-2BBD-49B3-B20D-0353732B9C48}" name="Query - Table1_14 (2)" description="Connection to the 'Table1_14 (2)' query in the workbook." type="100" refreshedVersion="8" minRefreshableVersion="5">
    <extLst>
      <ext xmlns:x15="http://schemas.microsoft.com/office/spreadsheetml/2010/11/main" uri="{DE250136-89BD-433C-8126-D09CA5730AF9}">
        <x15:connection id="278a5147-969f-4753-868b-ae2e3c89e77b"/>
      </ext>
    </extLst>
  </connection>
  <connection id="3" xr16:uid="{9315A0C3-1285-4528-8030-AF6A52CABF34}"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<sst xmlns="http://schemas.openxmlformats.org/spreadsheetml/2006/main" count="798" uniqueCount="99">
  <si>
    <t>Class</t>
  </si>
  <si>
    <t>Year</t>
  </si>
  <si>
    <t xml:space="preserve">Type </t>
  </si>
  <si>
    <t>Status</t>
  </si>
  <si>
    <t>CTSA</t>
  </si>
  <si>
    <t>GOVT</t>
  </si>
  <si>
    <t>GOVT AIDED</t>
  </si>
  <si>
    <t>INDEPENDENT</t>
  </si>
  <si>
    <t>JNV</t>
  </si>
  <si>
    <t>KV</t>
  </si>
  <si>
    <t>Ajmer</t>
  </si>
  <si>
    <t>Regd.</t>
  </si>
  <si>
    <t>Appd.</t>
  </si>
  <si>
    <t>Bhubaneswar</t>
  </si>
  <si>
    <t>Chandigarh</t>
  </si>
  <si>
    <t>Delhi East</t>
  </si>
  <si>
    <t>Pune</t>
  </si>
  <si>
    <t>Guwahati</t>
  </si>
  <si>
    <t>Panchkula</t>
  </si>
  <si>
    <t>Bengaluru</t>
  </si>
  <si>
    <t>Bhopal</t>
  </si>
  <si>
    <t>Chennai</t>
  </si>
  <si>
    <t>Noida</t>
  </si>
  <si>
    <t>Patna</t>
  </si>
  <si>
    <t>Prayagraj</t>
  </si>
  <si>
    <t>Trivandrum</t>
  </si>
  <si>
    <t>Dehradun</t>
  </si>
  <si>
    <t>Delhi West</t>
  </si>
  <si>
    <t>Region</t>
  </si>
  <si>
    <t>School Type</t>
  </si>
  <si>
    <t>Registered</t>
  </si>
  <si>
    <t>Appeared</t>
  </si>
  <si>
    <t>Appearance Rate</t>
  </si>
  <si>
    <t>No-show Rate</t>
  </si>
  <si>
    <t>Absence Flag</t>
  </si>
  <si>
    <t>ABSENT</t>
  </si>
  <si>
    <t>Row Labels</t>
  </si>
  <si>
    <t>Grand Total</t>
  </si>
  <si>
    <t>Min of Registered</t>
  </si>
  <si>
    <t>Base Status</t>
  </si>
  <si>
    <t>Base Flag</t>
  </si>
  <si>
    <t>Anomaly Flag</t>
  </si>
  <si>
    <t>Coverage Share</t>
  </si>
  <si>
    <t>volatility_pivot</t>
  </si>
  <si>
    <t>Volatility_StdDev_SchoolType</t>
  </si>
  <si>
    <t>Max_AppearanceRate</t>
  </si>
  <si>
    <t>Min_AppearanceRate</t>
  </si>
  <si>
    <t>Volatility_Range_SchoolType</t>
  </si>
  <si>
    <t>Integrity_RateCheck</t>
  </si>
  <si>
    <t>Integrity_RegisteredCheck</t>
  </si>
  <si>
    <t>Integrity_MissingCheck</t>
  </si>
  <si>
    <t>OK</t>
  </si>
  <si>
    <t>FLAG</t>
  </si>
  <si>
    <t>VALID_BASE</t>
  </si>
  <si>
    <t>NORMAL</t>
  </si>
  <si>
    <t>SMALL_BASE</t>
  </si>
  <si>
    <t>SUSPICIOUS_PERFECTION</t>
  </si>
  <si>
    <t>Column Labels</t>
  </si>
  <si>
    <t>Count of Integrity_CheckResult</t>
  </si>
  <si>
    <t>Credibility Dashboard - CBSE Class 12 (2022)</t>
  </si>
  <si>
    <t>PercentFlagged</t>
  </si>
  <si>
    <t>FlagCount</t>
  </si>
  <si>
    <t>TotalCount</t>
  </si>
  <si>
    <t>Percentile25</t>
  </si>
  <si>
    <t>MinNonZeroBase</t>
  </si>
  <si>
    <t>MedianBase</t>
  </si>
  <si>
    <t>CountBelow30</t>
  </si>
  <si>
    <t>CountBelow50</t>
  </si>
  <si>
    <t>CountBelow100</t>
  </si>
  <si>
    <t>CountBelow1000</t>
  </si>
  <si>
    <t>Count of BaseFlag</t>
  </si>
  <si>
    <t>Count of AnomalyFlag</t>
  </si>
  <si>
    <t>MinNonZeroRate</t>
  </si>
  <si>
    <t>Percentile25Rate</t>
  </si>
  <si>
    <t>MedianRate</t>
  </si>
  <si>
    <t>CountBelow90</t>
  </si>
  <si>
    <t>CountBelow95</t>
  </si>
  <si>
    <t>CountBelow96</t>
  </si>
  <si>
    <t>CountBelow98</t>
  </si>
  <si>
    <t>CountBelow98.8</t>
  </si>
  <si>
    <t>CountBelow98.5</t>
  </si>
  <si>
    <t>CountBelow98.6</t>
  </si>
  <si>
    <t>CountBelow98.9</t>
  </si>
  <si>
    <t>CountBelow99</t>
  </si>
  <si>
    <t>CountBelow98.7</t>
  </si>
  <si>
    <t>Blank FieldsInAR</t>
  </si>
  <si>
    <t>NonEmptyRowsInAR</t>
  </si>
  <si>
    <t>TotalCountAR</t>
  </si>
  <si>
    <t>ABSENT_BASE</t>
  </si>
  <si>
    <t>MissingCheck</t>
  </si>
  <si>
    <t>RateCheck</t>
  </si>
  <si>
    <t>RegisteredCheck</t>
  </si>
  <si>
    <t>LOW_RATE</t>
  </si>
  <si>
    <t>% of Total Rows</t>
  </si>
  <si>
    <t>Tooltip_Labels</t>
  </si>
  <si>
    <t>% ABSENT_BASE</t>
  </si>
  <si>
    <t>% VALID_BASE Coverage</t>
  </si>
  <si>
    <t>Total Registered Students</t>
  </si>
  <si>
    <t>Sum of Registered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</si>
</sst>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36"/>
      <color theme="1"/>
      <name val="Aptos Narrow"/>
      <family val="2"/>
      <scheme val="minor"/>
    </font>
    <font>
      <b/>
      <sz val="48"/>
      <color theme="0"/>
      <name val="Aptos Narrow"/>
      <family val="2"/>
      <scheme val="minor"/>
    </font>
    <font>
      <b/>
      <sz val="36"/>
      <color theme="0"/>
      <name val="Aptos Narrow"/>
      <family val="2"/>
      <scheme val="minor"/>
    </font>
    <font>
      <sz val="20"/>
      <color theme="1"/>
      <name val="Aptos Narrow"/>
      <family val="2"/>
      <scheme val="minor"/>
    </font>
    <font>
      <b/>
      <sz val="20"/>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6" tint="0.59999389629810485"/>
        <bgColor indexed="64"/>
      </patternFill>
    </fill>
    <fill>
      <patternFill patternType="solid">
        <fgColor theme="0"/>
        <bgColor theme="4" tint="0.79998168889431442"/>
      </patternFill>
    </fill>
    <fill>
      <patternFill patternType="solid">
        <fgColor rgb="FF7030A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6" fillId="33" borderId="10" xfId="0" applyFont="1" applyFill="1" applyBorder="1"/>
    <xf numFmtId="0" fontId="0" fillId="34" borderId="0" xfId="0" applyFill="1"/>
    <xf numFmtId="164" fontId="0" fillId="0" borderId="0" xfId="0" applyNumberFormat="1"/>
    <xf numFmtId="164" fontId="16" fillId="33" borderId="10" xfId="0" applyNumberFormat="1" applyFont="1" applyFill="1" applyBorder="1"/>
    <xf numFmtId="0" fontId="16" fillId="0" borderId="11" xfId="0" applyFont="1" applyBorder="1"/>
    <xf numFmtId="0" fontId="16" fillId="35" borderId="11" xfId="0" applyFont="1" applyFill="1" applyBorder="1"/>
    <xf numFmtId="0" fontId="0" fillId="0" borderId="11" xfId="0" applyBorder="1" applyAlignment="1">
      <alignment horizontal="left"/>
    </xf>
    <xf numFmtId="164" fontId="0" fillId="0" borderId="11" xfId="0" applyNumberFormat="1" applyBorder="1"/>
    <xf numFmtId="0" fontId="19" fillId="0" borderId="0" xfId="0" applyFont="1" applyAlignment="1">
      <alignment horizontal="center"/>
    </xf>
    <xf numFmtId="0" fontId="22" fillId="0" borderId="12" xfId="0" applyFont="1" applyBorder="1"/>
    <xf numFmtId="165" fontId="23" fillId="0" borderId="12" xfId="0" applyNumberFormat="1" applyFont="1" applyBorder="1"/>
    <xf numFmtId="0" fontId="23" fillId="0" borderId="12" xfId="0" applyFont="1" applyBorder="1"/>
    <xf numFmtId="0" fontId="20" fillId="36" borderId="0" xfId="0" applyFont="1" applyFill="1" applyAlignment="1">
      <alignment horizontal="center"/>
    </xf>
    <xf numFmtId="0" fontId="21" fillId="36" borderId="0" xfId="0" applyFont="1" applyFill="1" applyAlignment="1">
      <alignment horizontal="center"/>
    </xf>
    <xf numFmtId="0" fontId="0" fillId="0" borderId="0" xfId="0" applyNumberFormat="1"/>
    <xf numFmtId="0" fontId="23" fillId="0" borderId="12" xfId="0" applyNumberFormat="1" applyFont="1" applyBorder="1"/>
    <xf numFmtId="10" fontId="0" fillId="0" borderId="0" xfId="42" applyNumberFormat="1" applyFont="1"/>
    <xf numFmtId="0" fontId="16" fillId="0" borderId="13" xfId="0" applyFont="1" applyBorder="1"/>
    <xf numFmtId="10" fontId="0" fillId="0" borderId="14" xfId="42" applyNumberFormat="1" applyFont="1" applyBorder="1"/>
    <xf numFmtId="0" fontId="16" fillId="0" borderId="15" xfId="0" applyFont="1" applyBorder="1"/>
    <xf numFmtId="10" fontId="0" fillId="0" borderId="16" xfId="42" applyNumberFormat="1" applyFont="1" applyBorder="1"/>
    <xf numFmtId="0" fontId="16" fillId="0" borderId="17" xfId="0" applyFont="1" applyBorder="1"/>
    <xf numFmtId="0" fontId="0" fillId="0" borderId="18" xfId="42" applyNumberFormat="1"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91">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fill>
        <patternFill>
          <bgColor rgb="FFFF0000"/>
        </patternFill>
      </fill>
    </dxf>
    <dxf>
      <fill>
        <patternFill>
          <bgColor rgb="FFFF0000"/>
        </patternFill>
      </fill>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65" formatCode="0.0%"/>
    </dxf>
    <dxf>
      <font>
        <sz val="20"/>
      </font>
    </dxf>
    <dxf>
      <font>
        <sz val="2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numFmt numFmtId="14" formatCode="0.00%"/>
    </dxf>
    <dxf>
      <numFmt numFmtId="14" formatCode="0.00%"/>
    </dxf>
    <dxf>
      <numFmt numFmtId="164" formatCode="0.0000"/>
    </dxf>
    <dxf>
      <numFmt numFmtId="164" formatCode="0.0000"/>
    </dxf>
    <dxf>
      <numFmt numFmtId="164" formatCode="0.0000"/>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20"/>
      </font>
    </dxf>
    <dxf>
      <font>
        <sz val="20"/>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20"/>
      </font>
    </dxf>
    <dxf>
      <font>
        <sz val="20"/>
      </font>
    </dxf>
    <dxf>
      <numFmt numFmtId="165" formatCode="0.0%"/>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20"/>
      </font>
    </dxf>
    <dxf>
      <font>
        <sz val="20"/>
      </font>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42" Type="http://schemas.openxmlformats.org/officeDocument/2006/relationships/powerPivotData" Target="model/item.data"/><Relationship Id="rId47" Type="http://schemas.openxmlformats.org/officeDocument/2006/relationships/customXml" Target="../customXml/item4.xml"/><Relationship Id="rId63" Type="http://schemas.openxmlformats.org/officeDocument/2006/relationships/customXml" Target="../customXml/item20.xml"/><Relationship Id="rId68" Type="http://schemas.openxmlformats.org/officeDocument/2006/relationships/customXml" Target="../customXml/item25.xml"/><Relationship Id="rId84" Type="http://schemas.openxmlformats.org/officeDocument/2006/relationships/customXml" Target="../customXml/item41.xml"/><Relationship Id="rId89" Type="http://schemas.openxmlformats.org/officeDocument/2006/relationships/customXml" Target="../customXml/item46.xml"/><Relationship Id="rId16" Type="http://schemas.openxmlformats.org/officeDocument/2006/relationships/pivotCacheDefinition" Target="pivotCache/pivotCacheDefinition3.xml"/><Relationship Id="rId11" Type="http://schemas.openxmlformats.org/officeDocument/2006/relationships/worksheet" Target="worksheets/sheet11.xml"/><Relationship Id="rId32" Type="http://schemas.microsoft.com/office/2007/relationships/slicerCache" Target="slicerCaches/slicerCache5.xml"/><Relationship Id="rId37" Type="http://schemas.openxmlformats.org/officeDocument/2006/relationships/theme" Target="theme/theme1.xml"/><Relationship Id="rId53" Type="http://schemas.openxmlformats.org/officeDocument/2006/relationships/customXml" Target="../customXml/item10.xml"/><Relationship Id="rId58" Type="http://schemas.openxmlformats.org/officeDocument/2006/relationships/customXml" Target="../customXml/item15.xml"/><Relationship Id="rId74" Type="http://schemas.openxmlformats.org/officeDocument/2006/relationships/customXml" Target="../customXml/item31.xml"/><Relationship Id="rId79" Type="http://schemas.openxmlformats.org/officeDocument/2006/relationships/customXml" Target="../customXml/item36.xml"/><Relationship Id="rId5" Type="http://schemas.openxmlformats.org/officeDocument/2006/relationships/worksheet" Target="worksheets/sheet5.xml"/><Relationship Id="rId90" Type="http://schemas.openxmlformats.org/officeDocument/2006/relationships/customXml" Target="../customXml/item47.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microsoft.com/office/2007/relationships/slicerCache" Target="slicerCaches/slicerCache3.xml"/><Relationship Id="rId35" Type="http://schemas.microsoft.com/office/2007/relationships/slicerCache" Target="slicerCaches/slicerCache8.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64" Type="http://schemas.openxmlformats.org/officeDocument/2006/relationships/customXml" Target="../customXml/item21.xml"/><Relationship Id="rId69" Type="http://schemas.openxmlformats.org/officeDocument/2006/relationships/customXml" Target="../customXml/item26.xml"/><Relationship Id="rId77" Type="http://schemas.openxmlformats.org/officeDocument/2006/relationships/customXml" Target="../customXml/item34.xml"/><Relationship Id="rId8" Type="http://schemas.openxmlformats.org/officeDocument/2006/relationships/worksheet" Target="worksheets/sheet8.xml"/><Relationship Id="rId51" Type="http://schemas.openxmlformats.org/officeDocument/2006/relationships/customXml" Target="../customXml/item8.xml"/><Relationship Id="rId72" Type="http://schemas.openxmlformats.org/officeDocument/2006/relationships/customXml" Target="../customXml/item29.xml"/><Relationship Id="rId80" Type="http://schemas.openxmlformats.org/officeDocument/2006/relationships/customXml" Target="../customXml/item37.xml"/><Relationship Id="rId85" Type="http://schemas.openxmlformats.org/officeDocument/2006/relationships/customXml" Target="../customXml/item4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microsoft.com/office/2007/relationships/slicerCache" Target="slicerCaches/slicerCache6.xml"/><Relationship Id="rId38" Type="http://schemas.openxmlformats.org/officeDocument/2006/relationships/connections" Target="connections.xml"/><Relationship Id="rId46" Type="http://schemas.openxmlformats.org/officeDocument/2006/relationships/customXml" Target="../customXml/item3.xml"/><Relationship Id="rId59" Type="http://schemas.openxmlformats.org/officeDocument/2006/relationships/customXml" Target="../customXml/item16.xml"/><Relationship Id="rId67" Type="http://schemas.openxmlformats.org/officeDocument/2006/relationships/customXml" Target="../customXml/item24.xml"/><Relationship Id="rId20" Type="http://schemas.openxmlformats.org/officeDocument/2006/relationships/pivotCacheDefinition" Target="pivotCache/pivotCacheDefinition7.xml"/><Relationship Id="rId41" Type="http://schemas.openxmlformats.org/officeDocument/2006/relationships/sheetMetadata" Target="metadata.xml"/><Relationship Id="rId54" Type="http://schemas.openxmlformats.org/officeDocument/2006/relationships/customXml" Target="../customXml/item11.xml"/><Relationship Id="rId62" Type="http://schemas.openxmlformats.org/officeDocument/2006/relationships/customXml" Target="../customXml/item19.xml"/><Relationship Id="rId70" Type="http://schemas.openxmlformats.org/officeDocument/2006/relationships/customXml" Target="../customXml/item27.xml"/><Relationship Id="rId75" Type="http://schemas.openxmlformats.org/officeDocument/2006/relationships/customXml" Target="../customXml/item32.xml"/><Relationship Id="rId83" Type="http://schemas.openxmlformats.org/officeDocument/2006/relationships/customXml" Target="../customXml/item40.xml"/><Relationship Id="rId88" Type="http://schemas.openxmlformats.org/officeDocument/2006/relationships/customXml" Target="../customXml/item45.xml"/><Relationship Id="rId91" Type="http://schemas.openxmlformats.org/officeDocument/2006/relationships/customXml" Target="../customXml/item4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microsoft.com/office/2007/relationships/slicerCache" Target="slicerCaches/slicerCache1.xml"/><Relationship Id="rId36" Type="http://schemas.microsoft.com/office/2007/relationships/slicerCache" Target="slicerCaches/slicerCache9.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microsoft.com/office/2007/relationships/slicerCache" Target="slicerCaches/slicerCache4.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65" Type="http://schemas.openxmlformats.org/officeDocument/2006/relationships/customXml" Target="../customXml/item22.xml"/><Relationship Id="rId73" Type="http://schemas.openxmlformats.org/officeDocument/2006/relationships/customXml" Target="../customXml/item30.xml"/><Relationship Id="rId78" Type="http://schemas.openxmlformats.org/officeDocument/2006/relationships/customXml" Target="../customXml/item35.xml"/><Relationship Id="rId81" Type="http://schemas.openxmlformats.org/officeDocument/2006/relationships/customXml" Target="../customXml/item38.xml"/><Relationship Id="rId86" Type="http://schemas.openxmlformats.org/officeDocument/2006/relationships/customXml" Target="../customXml/item4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openxmlformats.org/officeDocument/2006/relationships/styles" Target="styles.xml"/><Relationship Id="rId34" Type="http://schemas.microsoft.com/office/2007/relationships/slicerCache" Target="slicerCaches/slicerCache7.xml"/><Relationship Id="rId50" Type="http://schemas.openxmlformats.org/officeDocument/2006/relationships/customXml" Target="../customXml/item7.xml"/><Relationship Id="rId55" Type="http://schemas.openxmlformats.org/officeDocument/2006/relationships/customXml" Target="../customXml/item12.xml"/><Relationship Id="rId76" Type="http://schemas.openxmlformats.org/officeDocument/2006/relationships/customXml" Target="../customXml/item33.xml"/><Relationship Id="rId7" Type="http://schemas.openxmlformats.org/officeDocument/2006/relationships/worksheet" Target="worksheets/sheet7.xml"/><Relationship Id="rId71" Type="http://schemas.openxmlformats.org/officeDocument/2006/relationships/customXml" Target="../customXml/item28.xml"/><Relationship Id="rId2" Type="http://schemas.openxmlformats.org/officeDocument/2006/relationships/worksheet" Target="worksheets/sheet2.xml"/><Relationship Id="rId29" Type="http://schemas.microsoft.com/office/2007/relationships/slicerCache" Target="slicerCaches/slicerCache2.xml"/><Relationship Id="rId24" Type="http://schemas.openxmlformats.org/officeDocument/2006/relationships/pivotCacheDefinition" Target="pivotCache/pivotCacheDefinition11.xml"/><Relationship Id="rId40" Type="http://schemas.openxmlformats.org/officeDocument/2006/relationships/sharedStrings" Target="sharedStrings.xml"/><Relationship Id="rId45" Type="http://schemas.openxmlformats.org/officeDocument/2006/relationships/customXml" Target="../customXml/item2.xml"/><Relationship Id="rId66" Type="http://schemas.openxmlformats.org/officeDocument/2006/relationships/customXml" Target="../customXml/item23.xml"/><Relationship Id="rId87" Type="http://schemas.openxmlformats.org/officeDocument/2006/relationships/customXml" Target="../customXml/item44.xml"/><Relationship Id="rId61" Type="http://schemas.openxmlformats.org/officeDocument/2006/relationships/customXml" Target="../customXml/item18.xml"/><Relationship Id="rId82" Type="http://schemas.openxmlformats.org/officeDocument/2006/relationships/customXml" Target="../customXml/item39.xml"/><Relationship Id="rId1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 (version 2).xlsb.xlsx]pivot_integrity_summary!PivotTable4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Integrity</a:t>
            </a:r>
            <a:r>
              <a:rPr lang="en-IN" baseline="0"/>
              <a:t> Check Result - OK vs FLAG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pivot_integrity_summary!$B$3:$B$4</c:f>
              <c:strCache>
                <c:ptCount val="1"/>
                <c:pt idx="0">
                  <c:v>FLAG</c:v>
                </c:pt>
              </c:strCache>
            </c:strRef>
          </c:tx>
          <c:spPr>
            <a:solidFill>
              <a:schemeClr val="accent1"/>
            </a:solidFill>
            <a:ln>
              <a:noFill/>
            </a:ln>
            <a:effectLst/>
          </c:spPr>
          <c:invertIfNegative val="0"/>
          <c:cat>
            <c:strRef>
              <c:f>pivot_integrity_summary!$A$5:$A$8</c:f>
              <c:strCache>
                <c:ptCount val="3"/>
                <c:pt idx="0">
                  <c:v>MissingCheck</c:v>
                </c:pt>
                <c:pt idx="1">
                  <c:v>RateCheck</c:v>
                </c:pt>
                <c:pt idx="2">
                  <c:v>RegisteredCheck</c:v>
                </c:pt>
              </c:strCache>
            </c:strRef>
          </c:cat>
          <c:val>
            <c:numRef>
              <c:f>pivot_integrity_summary!$B$5:$B$8</c:f>
              <c:numCache>
                <c:formatCode>General</c:formatCode>
                <c:ptCount val="3"/>
                <c:pt idx="0">
                  <c:v>22</c:v>
                </c:pt>
                <c:pt idx="1">
                  <c:v>0</c:v>
                </c:pt>
                <c:pt idx="2">
                  <c:v>0</c:v>
                </c:pt>
              </c:numCache>
            </c:numRef>
          </c:val>
          <c:extLst>
            <c:ext xmlns:c16="http://schemas.microsoft.com/office/drawing/2014/chart" uri="{C3380CC4-5D6E-409C-BE32-E72D297353CC}">
              <c16:uniqueId val="{00000000-4BAE-4F69-8C54-F37B0D862791}"/>
            </c:ext>
          </c:extLst>
        </c:ser>
        <c:ser>
          <c:idx val="1"/>
          <c:order val="1"/>
          <c:tx>
            <c:strRef>
              <c:f>pivot_integrity_summary!$C$3:$C$4</c:f>
              <c:strCache>
                <c:ptCount val="1"/>
                <c:pt idx="0">
                  <c:v>OK</c:v>
                </c:pt>
              </c:strCache>
            </c:strRef>
          </c:tx>
          <c:spPr>
            <a:solidFill>
              <a:schemeClr val="accent2"/>
            </a:solidFill>
            <a:ln>
              <a:noFill/>
            </a:ln>
            <a:effectLst/>
          </c:spPr>
          <c:invertIfNegative val="0"/>
          <c:cat>
            <c:strRef>
              <c:f>pivot_integrity_summary!$A$5:$A$8</c:f>
              <c:strCache>
                <c:ptCount val="3"/>
                <c:pt idx="0">
                  <c:v>MissingCheck</c:v>
                </c:pt>
                <c:pt idx="1">
                  <c:v>RateCheck</c:v>
                </c:pt>
                <c:pt idx="2">
                  <c:v>RegisteredCheck</c:v>
                </c:pt>
              </c:strCache>
            </c:strRef>
          </c:cat>
          <c:val>
            <c:numRef>
              <c:f>pivot_integrity_summary!$C$5:$C$8</c:f>
              <c:numCache>
                <c:formatCode>General</c:formatCode>
                <c:ptCount val="3"/>
                <c:pt idx="0">
                  <c:v>74</c:v>
                </c:pt>
                <c:pt idx="1">
                  <c:v>96</c:v>
                </c:pt>
                <c:pt idx="2">
                  <c:v>96</c:v>
                </c:pt>
              </c:numCache>
            </c:numRef>
          </c:val>
          <c:extLst>
            <c:ext xmlns:c16="http://schemas.microsoft.com/office/drawing/2014/chart" uri="{C3380CC4-5D6E-409C-BE32-E72D297353CC}">
              <c16:uniqueId val="{00000002-3F00-47B5-9E99-2DD04267C803}"/>
            </c:ext>
          </c:extLst>
        </c:ser>
        <c:dLbls>
          <c:showLegendKey val="0"/>
          <c:showVal val="0"/>
          <c:showCatName val="0"/>
          <c:showSerName val="0"/>
          <c:showPercent val="0"/>
          <c:showBubbleSize val="0"/>
        </c:dLbls>
        <c:gapWidth val="150"/>
        <c:overlap val="100"/>
        <c:axId val="206236624"/>
        <c:axId val="199656016"/>
      </c:barChart>
      <c:catAx>
        <c:axId val="20623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56016"/>
        <c:crosses val="autoZero"/>
        <c:auto val="1"/>
        <c:lblAlgn val="ctr"/>
        <c:lblOffset val="100"/>
        <c:noMultiLvlLbl val="0"/>
      </c:catAx>
      <c:valAx>
        <c:axId val="19965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3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 (version 2).xlsb.xlsx]pivot_baseflag_summary!PivotTable5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Base Flag Composition - ABSENT, SMALL, VALID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6"/>
          </a:solidFill>
          <a:ln w="19050">
            <a:solidFill>
              <a:schemeClr val="lt1"/>
            </a:solidFill>
          </a:ln>
          <a:effectLst/>
        </c:spPr>
        <c:dLbl>
          <c:idx val="0"/>
          <c:layout>
            <c:manualLayout>
              <c:x val="4.9713750746944854E-2"/>
              <c:y val="8.18794096777832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25C149-CFD1-4A85-B169-CF137376161E}"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solidFill>
            <a:schemeClr val="accent5"/>
          </a:solidFill>
          <a:ln w="19050">
            <a:solidFill>
              <a:schemeClr val="lt1"/>
            </a:solidFill>
          </a:ln>
          <a:effectLst/>
        </c:spPr>
        <c:dLbl>
          <c:idx val="0"/>
          <c:layout>
            <c:manualLayout>
              <c:x val="2.0333700153440756E-2"/>
              <c:y val="8.743715158470054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EE4B1B-635D-4C91-A638-044FE17F0370}"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chemeClr val="accent4"/>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819B30A-5C31-4C55-ACA9-795D30DCFFA5}"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pivot_baseflag_summary!$E$28:$E$30</c:f>
              <c:strCache>
                <c:ptCount val="1"/>
                <c:pt idx="0">
                  <c:v>Count of BaseFlag</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E3E-40D7-804A-A952A70422C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E3E-40D7-804A-A952A70422C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AE3E-40D7-804A-A952A70422C2}"/>
              </c:ext>
            </c:extLst>
          </c:dPt>
          <c:dLbls>
            <c:dLbl>
              <c:idx val="0"/>
              <c:layout>
                <c:manualLayout>
                  <c:x val="4.9713750746944854E-2"/>
                  <c:y val="8.1879409677783246E-2"/>
                </c:manualLayout>
              </c:layout>
              <c:tx>
                <c:rich>
                  <a:bodyPr/>
                  <a:lstStyle/>
                  <a:p>
                    <a:fld id="{FE25C149-CFD1-4A85-B169-CF137376161E}" type="CELLRANGE">
                      <a:rPr lang="en-US"/>
                      <a:pPr/>
                      <a:t>[CELLRANGE]</a:t>
                    </a:fld>
                    <a:endParaRPr lang="en-IN"/>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3E-40D7-804A-A952A70422C2}"/>
                </c:ext>
              </c:extLst>
            </c:dLbl>
            <c:dLbl>
              <c:idx val="1"/>
              <c:layout>
                <c:manualLayout>
                  <c:x val="2.0333700153440756E-2"/>
                  <c:y val="8.7437151584700543E-2"/>
                </c:manualLayout>
              </c:layout>
              <c:tx>
                <c:rich>
                  <a:bodyPr/>
                  <a:lstStyle/>
                  <a:p>
                    <a:fld id="{61EE4B1B-635D-4C91-A638-044FE17F0370}" type="CELLRANGE">
                      <a:rPr lang="en-US"/>
                      <a:pPr/>
                      <a:t>[CELLRANGE]</a:t>
                    </a:fld>
                    <a:endParaRPr lang="en-IN"/>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E3E-40D7-804A-A952A70422C2}"/>
                </c:ext>
              </c:extLst>
            </c:dLbl>
            <c:dLbl>
              <c:idx val="2"/>
              <c:tx>
                <c:rich>
                  <a:bodyPr/>
                  <a:lstStyle/>
                  <a:p>
                    <a:fld id="{8819B30A-5C31-4C55-ACA9-795D30DCFFA5}" type="CELLRANGE">
                      <a:rPr lang="en-US"/>
                      <a:pPr/>
                      <a:t>[CELLRANGE]</a:t>
                    </a:fld>
                    <a:endParaRPr lang="en-IN"/>
                  </a:p>
                </c:rich>
              </c:tx>
              <c:dLblPos val="bestFi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E3E-40D7-804A-A952A70422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pivot_baseflag_summary!$E$28:$E$30</c:f>
              <c:strCache>
                <c:ptCount val="3"/>
                <c:pt idx="0">
                  <c:v>ABSENT_BASE</c:v>
                </c:pt>
                <c:pt idx="1">
                  <c:v>SMALL_BASE</c:v>
                </c:pt>
                <c:pt idx="2">
                  <c:v>VALID_BASE</c:v>
                </c:pt>
              </c:strCache>
            </c:strRef>
          </c:cat>
          <c:val>
            <c:numRef>
              <c:f>pivot_baseflag_summary!$E$28:$E$30</c:f>
              <c:numCache>
                <c:formatCode>General</c:formatCode>
                <c:ptCount val="3"/>
                <c:pt idx="0">
                  <c:v>66</c:v>
                </c:pt>
                <c:pt idx="1">
                  <c:v>27</c:v>
                </c:pt>
                <c:pt idx="2">
                  <c:v>195</c:v>
                </c:pt>
              </c:numCache>
            </c:numRef>
          </c:val>
          <c:extLst>
            <c:ext xmlns:c15="http://schemas.microsoft.com/office/drawing/2012/chart" uri="{02D57815-91ED-43cb-92C2-25804820EDAC}">
              <c15:datalabelsRange>
                <c15:f>pivot_baseflag_summary!$E$28:$E$30</c15:f>
                <c15:dlblRangeCache>
                  <c:ptCount val="3"/>
                  <c:pt idx="0">
                    <c:v>Count: 66 | Coverage: 0.00% | Row%: 22.9%</c:v>
                  </c:pt>
                  <c:pt idx="1">
                    <c:v>Count: 27 | Coverage: 0.04% | Row%: 9.4%</c:v>
                  </c:pt>
                  <c:pt idx="2">
                    <c:v>Count: 195 | Coverage: 99.96% | Row%: 67.7%</c:v>
                  </c:pt>
                </c15:dlblRangeCache>
              </c15:datalabelsRange>
            </c:ext>
            <c:ext xmlns:c16="http://schemas.microsoft.com/office/drawing/2014/chart" uri="{C3380CC4-5D6E-409C-BE32-E72D297353CC}">
              <c16:uniqueId val="{00000006-03FB-4550-8C88-E87A4E9AD50C}"/>
            </c:ext>
          </c:extLst>
        </c:ser>
        <c:ser>
          <c:idx val="1"/>
          <c:order val="1"/>
          <c:tx>
            <c:strRef>
              <c:f>pivot_baseflag_summary!$E$28:$E$30</c:f>
              <c:strCache>
                <c:ptCount val="1"/>
                <c:pt idx="0">
                  <c:v>Coverage Share</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pivot_baseflag_summary!$E$28:$E$30</c:f>
              <c:strCache>
                <c:ptCount val="3"/>
                <c:pt idx="0">
                  <c:v>ABSENT_BASE</c:v>
                </c:pt>
                <c:pt idx="1">
                  <c:v>SMALL_BASE</c:v>
                </c:pt>
                <c:pt idx="2">
                  <c:v>VALID_BASE</c:v>
                </c:pt>
              </c:strCache>
            </c:strRef>
          </c:cat>
          <c:val>
            <c:numRef>
              <c:f>pivot_baseflag_summary!$E$28:$E$30</c:f>
              <c:numCache>
                <c:formatCode>0.00%</c:formatCode>
                <c:ptCount val="3"/>
                <c:pt idx="0">
                  <c:v>0</c:v>
                </c:pt>
                <c:pt idx="1">
                  <c:v>4.1005909716107053E-4</c:v>
                </c:pt>
                <c:pt idx="2">
                  <c:v>0.99958994090283892</c:v>
                </c:pt>
              </c:numCache>
            </c:numRef>
          </c:val>
          <c:extLst>
            <c:ext xmlns:c16="http://schemas.microsoft.com/office/drawing/2014/chart" uri="{C3380CC4-5D6E-409C-BE32-E72D297353CC}">
              <c16:uniqueId val="{00000009-AE3E-40D7-804A-A952A70422C2}"/>
            </c:ext>
          </c:extLst>
        </c:ser>
        <c:ser>
          <c:idx val="2"/>
          <c:order val="2"/>
          <c:tx>
            <c:strRef>
              <c:f>pivot_baseflag_summary!$E$28:$E$30</c:f>
              <c:strCache>
                <c:ptCount val="1"/>
                <c:pt idx="0">
                  <c:v>Sum of Registered</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pivot_baseflag_summary!$E$28:$E$30</c:f>
              <c:strCache>
                <c:ptCount val="3"/>
                <c:pt idx="0">
                  <c:v>ABSENT_BASE</c:v>
                </c:pt>
                <c:pt idx="1">
                  <c:v>SMALL_BASE</c:v>
                </c:pt>
                <c:pt idx="2">
                  <c:v>VALID_BASE</c:v>
                </c:pt>
              </c:strCache>
            </c:strRef>
          </c:cat>
          <c:val>
            <c:numRef>
              <c:f>pivot_baseflag_summary!$E$28:$E$30</c:f>
              <c:numCache>
                <c:formatCode>General</c:formatCode>
                <c:ptCount val="3"/>
                <c:pt idx="0">
                  <c:v>0</c:v>
                </c:pt>
                <c:pt idx="1">
                  <c:v>1770</c:v>
                </c:pt>
                <c:pt idx="2">
                  <c:v>4314681</c:v>
                </c:pt>
              </c:numCache>
            </c:numRef>
          </c:val>
          <c:extLst>
            <c:ext xmlns:c16="http://schemas.microsoft.com/office/drawing/2014/chart" uri="{C3380CC4-5D6E-409C-BE32-E72D297353CC}">
              <c16:uniqueId val="{0000000A-AE3E-40D7-804A-A952A70422C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Base</a:t>
            </a:r>
            <a:r>
              <a:rPr lang="en-IN" baseline="0"/>
              <a:t> Flag Frequency vs Coverage Weight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pivot_baseflag_summary!$C$27</c:f>
              <c:strCache>
                <c:ptCount val="1"/>
                <c:pt idx="0">
                  <c:v>Coverage Share</c:v>
                </c:pt>
              </c:strCache>
            </c:strRef>
          </c:tx>
          <c:spPr>
            <a:solidFill>
              <a:schemeClr val="accent2"/>
            </a:solidFill>
            <a:ln>
              <a:noFill/>
            </a:ln>
            <a:effectLst/>
          </c:spPr>
          <c:invertIfNegative val="0"/>
          <c:dLbls>
            <c:dLbl>
              <c:idx val="0"/>
              <c:tx>
                <c:rich>
                  <a:bodyPr/>
                  <a:lstStyle/>
                  <a:p>
                    <a:fld id="{544CB91A-CCE3-4382-967C-DDA07656DFA1}" type="CELLRANGE">
                      <a:rPr lang="en-US"/>
                      <a:pPr/>
                      <a:t>[CELLRANGE]</a:t>
                    </a:fld>
                    <a:r>
                      <a:rPr lang="en-US" baseline="0"/>
                      <a:t>, </a:t>
                    </a:r>
                    <a:fld id="{6ACC29B5-3922-4377-AC22-B54059587B2F}"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04E-4889-B4B2-6AFB3DE84A7A}"/>
                </c:ext>
              </c:extLst>
            </c:dLbl>
            <c:dLbl>
              <c:idx val="1"/>
              <c:layout>
                <c:manualLayout>
                  <c:x val="-5.5872299032804891E-2"/>
                  <c:y val="-0.25786517139105963"/>
                </c:manualLayout>
              </c:layout>
              <c:tx>
                <c:rich>
                  <a:bodyPr/>
                  <a:lstStyle/>
                  <a:p>
                    <a:fld id="{61D2D6E2-21B0-4371-94BD-F6230764147B}" type="CELLRANGE">
                      <a:rPr lang="en-US"/>
                      <a:pPr/>
                      <a:t>[CELLRANGE]</a:t>
                    </a:fld>
                    <a:r>
                      <a:rPr lang="en-US" baseline="0"/>
                      <a:t>, </a:t>
                    </a:r>
                    <a:fld id="{601D6D60-703F-439E-A80E-C95B7B04D9A6}"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B04E-4889-B4B2-6AFB3DE84A7A}"/>
                </c:ext>
              </c:extLst>
            </c:dLbl>
            <c:dLbl>
              <c:idx val="2"/>
              <c:layout>
                <c:manualLayout>
                  <c:x val="-0.18820142832102699"/>
                  <c:y val="4.9297753354173156E-2"/>
                </c:manualLayout>
              </c:layout>
              <c:tx>
                <c:rich>
                  <a:bodyPr/>
                  <a:lstStyle/>
                  <a:p>
                    <a:fld id="{6F91D0DF-5C36-40F6-9BA2-F928F6612189}" type="CELLRANGE">
                      <a:rPr lang="en-US"/>
                      <a:pPr/>
                      <a:t>[CELLRANGE]</a:t>
                    </a:fld>
                    <a:r>
                      <a:rPr lang="en-US" baseline="0"/>
                      <a:t>, </a:t>
                    </a:r>
                    <a:fld id="{A7B0D83B-E71F-4423-B243-1C49763217E5}"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04E-4889-B4B2-6AFB3DE84A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pivot_baseflag_summary!$A$28:$A$30</c:f>
              <c:strCache>
                <c:ptCount val="3"/>
                <c:pt idx="0">
                  <c:v>ABSENT_BASE</c:v>
                </c:pt>
                <c:pt idx="1">
                  <c:v>SMALL_BASE</c:v>
                </c:pt>
                <c:pt idx="2">
                  <c:v>VALID_BASE</c:v>
                </c:pt>
              </c:strCache>
            </c:strRef>
          </c:cat>
          <c:val>
            <c:numRef>
              <c:f>pivot_baseflag_summary!$C$28:$C$30</c:f>
              <c:numCache>
                <c:formatCode>0.00%</c:formatCode>
                <c:ptCount val="3"/>
                <c:pt idx="0">
                  <c:v>0</c:v>
                </c:pt>
                <c:pt idx="1">
                  <c:v>4.1005909716107053E-4</c:v>
                </c:pt>
                <c:pt idx="2">
                  <c:v>0.99958994090283892</c:v>
                </c:pt>
              </c:numCache>
            </c:numRef>
          </c:val>
          <c:extLst>
            <c:ext xmlns:c15="http://schemas.microsoft.com/office/drawing/2012/chart" uri="{02D57815-91ED-43cb-92C2-25804820EDAC}">
              <c15:datalabelsRange>
                <c15:f>pivot_baseflag_summary!$E$28:$E$30</c15:f>
                <c15:dlblRangeCache>
                  <c:ptCount val="3"/>
                  <c:pt idx="0">
                    <c:v>Count: 66 | Coverage: 0.00% | Row%: 22.9%</c:v>
                  </c:pt>
                  <c:pt idx="1">
                    <c:v>Count: 27 | Coverage: 0.04% | Row%: 9.4%</c:v>
                  </c:pt>
                  <c:pt idx="2">
                    <c:v>Count: 195 | Coverage: 99.96% | Row%: 67.7%</c:v>
                  </c:pt>
                </c15:dlblRangeCache>
              </c15:datalabelsRange>
            </c:ext>
            <c:ext xmlns:c16="http://schemas.microsoft.com/office/drawing/2014/chart" uri="{C3380CC4-5D6E-409C-BE32-E72D297353CC}">
              <c16:uniqueId val="{00000001-B04E-4889-B4B2-6AFB3DE84A7A}"/>
            </c:ext>
          </c:extLst>
        </c:ser>
        <c:dLbls>
          <c:showLegendKey val="0"/>
          <c:showVal val="1"/>
          <c:showCatName val="0"/>
          <c:showSerName val="0"/>
          <c:showPercent val="0"/>
          <c:showBubbleSize val="0"/>
        </c:dLbls>
        <c:gapWidth val="219"/>
        <c:axId val="37257552"/>
        <c:axId val="37256592"/>
      </c:barChart>
      <c:lineChart>
        <c:grouping val="standard"/>
        <c:varyColors val="0"/>
        <c:ser>
          <c:idx val="0"/>
          <c:order val="0"/>
          <c:tx>
            <c:strRef>
              <c:f>pivot_baseflag_summary!$B$27</c:f>
              <c:strCache>
                <c:ptCount val="1"/>
                <c:pt idx="0">
                  <c:v>Count of BaseFlag</c:v>
                </c:pt>
              </c:strCache>
            </c:strRef>
          </c:tx>
          <c:spPr>
            <a:ln w="28575" cap="rnd">
              <a:solidFill>
                <a:schemeClr val="accent1"/>
              </a:solidFill>
              <a:round/>
            </a:ln>
            <a:effectLst/>
          </c:spPr>
          <c:marker>
            <c:symbol val="none"/>
          </c:marker>
          <c:dLbls>
            <c:delete val="1"/>
          </c:dLbls>
          <c:cat>
            <c:strRef>
              <c:f>pivot_baseflag_summary!$A$28:$A$30</c:f>
              <c:strCache>
                <c:ptCount val="3"/>
                <c:pt idx="0">
                  <c:v>ABSENT_BASE</c:v>
                </c:pt>
                <c:pt idx="1">
                  <c:v>SMALL_BASE</c:v>
                </c:pt>
                <c:pt idx="2">
                  <c:v>VALID_BASE</c:v>
                </c:pt>
              </c:strCache>
            </c:strRef>
          </c:cat>
          <c:val>
            <c:numRef>
              <c:f>pivot_baseflag_summary!$B$28:$B$30</c:f>
              <c:numCache>
                <c:formatCode>General</c:formatCode>
                <c:ptCount val="3"/>
                <c:pt idx="0">
                  <c:v>66</c:v>
                </c:pt>
                <c:pt idx="1">
                  <c:v>27</c:v>
                </c:pt>
                <c:pt idx="2">
                  <c:v>195</c:v>
                </c:pt>
              </c:numCache>
            </c:numRef>
          </c:val>
          <c:smooth val="0"/>
          <c:extLst>
            <c:ext xmlns:c16="http://schemas.microsoft.com/office/drawing/2014/chart" uri="{C3380CC4-5D6E-409C-BE32-E72D297353CC}">
              <c16:uniqueId val="{00000000-B04E-4889-B4B2-6AFB3DE84A7A}"/>
            </c:ext>
          </c:extLst>
        </c:ser>
        <c:dLbls>
          <c:showLegendKey val="0"/>
          <c:showVal val="1"/>
          <c:showCatName val="0"/>
          <c:showSerName val="0"/>
          <c:showPercent val="0"/>
          <c:showBubbleSize val="0"/>
        </c:dLbls>
        <c:marker val="1"/>
        <c:smooth val="0"/>
        <c:axId val="37255632"/>
        <c:axId val="37248432"/>
      </c:lineChart>
      <c:catAx>
        <c:axId val="37255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Base</a:t>
                </a:r>
                <a:r>
                  <a:rPr lang="en-IN" baseline="0"/>
                  <a:t> Flag Status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48432"/>
        <c:crosses val="autoZero"/>
        <c:auto val="1"/>
        <c:lblAlgn val="ctr"/>
        <c:lblOffset val="100"/>
        <c:noMultiLvlLbl val="0"/>
      </c:catAx>
      <c:valAx>
        <c:axId val="37248432"/>
        <c:scaling>
          <c:orientation val="minMax"/>
          <c:max val="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Base</a:t>
                </a:r>
                <a:r>
                  <a:rPr lang="en-IN" baseline="0"/>
                  <a:t> Flag Frequency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55632"/>
        <c:crosses val="autoZero"/>
        <c:crossBetween val="between"/>
      </c:valAx>
      <c:valAx>
        <c:axId val="3725659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Coverage</a:t>
                </a:r>
                <a:r>
                  <a:rPr lang="en-IN" baseline="0"/>
                  <a:t> Share (% of Registered Students)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57552"/>
        <c:crosses val="max"/>
        <c:crossBetween val="between"/>
      </c:valAx>
      <c:catAx>
        <c:axId val="37257552"/>
        <c:scaling>
          <c:orientation val="minMax"/>
        </c:scaling>
        <c:delete val="1"/>
        <c:axPos val="b"/>
        <c:numFmt formatCode="General" sourceLinked="1"/>
        <c:majorTickMark val="out"/>
        <c:minorTickMark val="none"/>
        <c:tickLblPos val="nextTo"/>
        <c:crossAx val="37256592"/>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 (version 2).xlsb.xlsx]pivot_anomaly_summary!PivotTable6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Anomaly Flag Distribution - ABSENT, LOW_RATE, NORMAL, SUSPICIOUS_PERFECTION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pivot_anomaly_summary!$B$3</c:f>
              <c:strCache>
                <c:ptCount val="1"/>
                <c:pt idx="0">
                  <c:v>Count of AnomalyFlag</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785-42C7-AF34-C19F0228AE3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785-42C7-AF34-C19F0228AE3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785-42C7-AF34-C19F0228AE33}"/>
              </c:ext>
            </c:extLst>
          </c:dPt>
          <c:dPt>
            <c:idx val="3"/>
            <c:bubble3D val="0"/>
            <c:spPr>
              <a:solidFill>
                <a:schemeClr val="accent2">
                  <a:lumMod val="60000"/>
                </a:schemeClr>
              </a:solidFill>
              <a:ln w="19050">
                <a:solidFill>
                  <a:schemeClr val="lt1"/>
                </a:solidFill>
              </a:ln>
              <a:effectLst/>
            </c:spPr>
          </c:dPt>
          <c:cat>
            <c:strRef>
              <c:f>pivot_anomaly_summary!$A$4:$A$8</c:f>
              <c:strCache>
                <c:ptCount val="4"/>
                <c:pt idx="0">
                  <c:v>ABSENT</c:v>
                </c:pt>
                <c:pt idx="1">
                  <c:v>LOW_RATE</c:v>
                </c:pt>
                <c:pt idx="2">
                  <c:v>NORMAL</c:v>
                </c:pt>
                <c:pt idx="3">
                  <c:v>SUSPICIOUS_PERFECTION</c:v>
                </c:pt>
              </c:strCache>
            </c:strRef>
          </c:cat>
          <c:val>
            <c:numRef>
              <c:f>pivot_anomaly_summary!$B$4:$B$8</c:f>
              <c:numCache>
                <c:formatCode>General</c:formatCode>
                <c:ptCount val="4"/>
                <c:pt idx="0">
                  <c:v>66</c:v>
                </c:pt>
                <c:pt idx="1">
                  <c:v>6</c:v>
                </c:pt>
                <c:pt idx="2">
                  <c:v>195</c:v>
                </c:pt>
                <c:pt idx="3">
                  <c:v>21</c:v>
                </c:pt>
              </c:numCache>
            </c:numRef>
          </c:val>
          <c:extLst>
            <c:ext xmlns:c16="http://schemas.microsoft.com/office/drawing/2014/chart" uri="{C3380CC4-5D6E-409C-BE32-E72D297353CC}">
              <c16:uniqueId val="{00000008-26DF-440A-ADF2-0C4FEB2E8BF4}"/>
            </c:ext>
          </c:extLst>
        </c:ser>
        <c:ser>
          <c:idx val="1"/>
          <c:order val="1"/>
          <c:tx>
            <c:strRef>
              <c:f>pivot_anomaly_summary!$C$3</c:f>
              <c:strCache>
                <c:ptCount val="1"/>
                <c:pt idx="0">
                  <c:v>Coverage Share</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cat>
            <c:strRef>
              <c:f>pivot_anomaly_summary!$A$4:$A$8</c:f>
              <c:strCache>
                <c:ptCount val="4"/>
                <c:pt idx="0">
                  <c:v>ABSENT</c:v>
                </c:pt>
                <c:pt idx="1">
                  <c:v>LOW_RATE</c:v>
                </c:pt>
                <c:pt idx="2">
                  <c:v>NORMAL</c:v>
                </c:pt>
                <c:pt idx="3">
                  <c:v>SUSPICIOUS_PERFECTION</c:v>
                </c:pt>
              </c:strCache>
            </c:strRef>
          </c:cat>
          <c:val>
            <c:numRef>
              <c:f>pivot_anomaly_summary!$C$4:$C$8</c:f>
              <c:numCache>
                <c:formatCode>General</c:formatCode>
                <c:ptCount val="4"/>
                <c:pt idx="0">
                  <c:v>0</c:v>
                </c:pt>
                <c:pt idx="1">
                  <c:v>1.1217548861321488E-3</c:v>
                </c:pt>
                <c:pt idx="2">
                  <c:v>0.99859120374585508</c:v>
                </c:pt>
                <c:pt idx="3">
                  <c:v>2.8704136801274938E-4</c:v>
                </c:pt>
              </c:numCache>
            </c:numRef>
          </c:val>
          <c:extLst>
            <c:ext xmlns:c16="http://schemas.microsoft.com/office/drawing/2014/chart" uri="{C3380CC4-5D6E-409C-BE32-E72D297353CC}">
              <c16:uniqueId val="{00000006-7785-42C7-AF34-C19F0228AE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Volatility</a:t>
            </a:r>
            <a:r>
              <a:rPr lang="en-IN" baseline="0"/>
              <a:t> Index by School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Charts_volatility!$B$3</c:f>
              <c:strCache>
                <c:ptCount val="1"/>
                <c:pt idx="0">
                  <c:v>Volatility_StdDev_SchoolType</c:v>
                </c:pt>
              </c:strCache>
            </c:strRef>
          </c:tx>
          <c:spPr>
            <a:solidFill>
              <a:schemeClr val="accent1"/>
            </a:solidFill>
            <a:ln>
              <a:noFill/>
            </a:ln>
            <a:effectLst/>
          </c:spPr>
          <c:invertIfNegative val="0"/>
          <c:cat>
            <c:strRef>
              <c:f>Charts_volatility!$A$4:$A$9</c:f>
              <c:strCache>
                <c:ptCount val="6"/>
                <c:pt idx="0">
                  <c:v>CTSA</c:v>
                </c:pt>
                <c:pt idx="1">
                  <c:v>GOVT</c:v>
                </c:pt>
                <c:pt idx="2">
                  <c:v>GOVT AIDED</c:v>
                </c:pt>
                <c:pt idx="3">
                  <c:v>INDEPENDENT</c:v>
                </c:pt>
                <c:pt idx="4">
                  <c:v>JNV</c:v>
                </c:pt>
                <c:pt idx="5">
                  <c:v>KV</c:v>
                </c:pt>
              </c:strCache>
            </c:strRef>
          </c:cat>
          <c:val>
            <c:numRef>
              <c:f>Charts_volatility!$B$4:$B$9</c:f>
              <c:numCache>
                <c:formatCode>0.0000</c:formatCode>
                <c:ptCount val="6"/>
                <c:pt idx="0">
                  <c:v>8.0140564981311131E-3</c:v>
                </c:pt>
                <c:pt idx="1">
                  <c:v>1.2089637108015959E-2</c:v>
                </c:pt>
                <c:pt idx="2">
                  <c:v>3.7526405686020619E-3</c:v>
                </c:pt>
                <c:pt idx="3">
                  <c:v>2.9169464951935668E-3</c:v>
                </c:pt>
                <c:pt idx="4">
                  <c:v>3.9583342764695738E-3</c:v>
                </c:pt>
                <c:pt idx="5">
                  <c:v>9.2514702364829347E-4</c:v>
                </c:pt>
              </c:numCache>
            </c:numRef>
          </c:val>
          <c:extLst>
            <c:ext xmlns:c16="http://schemas.microsoft.com/office/drawing/2014/chart" uri="{C3380CC4-5D6E-409C-BE32-E72D297353CC}">
              <c16:uniqueId val="{00000000-E4EF-4386-B978-25BFF3C57E88}"/>
            </c:ext>
          </c:extLst>
        </c:ser>
        <c:ser>
          <c:idx val="1"/>
          <c:order val="1"/>
          <c:tx>
            <c:strRef>
              <c:f>Charts_volatility!$C$3</c:f>
              <c:strCache>
                <c:ptCount val="1"/>
                <c:pt idx="0">
                  <c:v>Volatility_Range_SchoolType</c:v>
                </c:pt>
              </c:strCache>
            </c:strRef>
          </c:tx>
          <c:spPr>
            <a:solidFill>
              <a:schemeClr val="accent2"/>
            </a:solidFill>
            <a:ln>
              <a:noFill/>
            </a:ln>
            <a:effectLst/>
          </c:spPr>
          <c:invertIfNegative val="0"/>
          <c:cat>
            <c:strRef>
              <c:f>Charts_volatility!$A$4:$A$9</c:f>
              <c:strCache>
                <c:ptCount val="6"/>
                <c:pt idx="0">
                  <c:v>CTSA</c:v>
                </c:pt>
                <c:pt idx="1">
                  <c:v>GOVT</c:v>
                </c:pt>
                <c:pt idx="2">
                  <c:v>GOVT AIDED</c:v>
                </c:pt>
                <c:pt idx="3">
                  <c:v>INDEPENDENT</c:v>
                </c:pt>
                <c:pt idx="4">
                  <c:v>JNV</c:v>
                </c:pt>
                <c:pt idx="5">
                  <c:v>KV</c:v>
                </c:pt>
              </c:strCache>
            </c:strRef>
          </c:cat>
          <c:val>
            <c:numRef>
              <c:f>Charts_volatility!$C$4:$C$9</c:f>
              <c:numCache>
                <c:formatCode>0.0000</c:formatCode>
                <c:ptCount val="6"/>
                <c:pt idx="0">
                  <c:v>1.9417475728155331E-2</c:v>
                </c:pt>
                <c:pt idx="1">
                  <c:v>4.7904191616766512E-2</c:v>
                </c:pt>
                <c:pt idx="2">
                  <c:v>9.8039215686274161E-3</c:v>
                </c:pt>
                <c:pt idx="3">
                  <c:v>9.9945802344320045E-3</c:v>
                </c:pt>
                <c:pt idx="4">
                  <c:v>1.2125220458553798E-2</c:v>
                </c:pt>
                <c:pt idx="5">
                  <c:v>3.9532202273101502E-3</c:v>
                </c:pt>
              </c:numCache>
            </c:numRef>
          </c:val>
          <c:extLst>
            <c:ext xmlns:c16="http://schemas.microsoft.com/office/drawing/2014/chart" uri="{C3380CC4-5D6E-409C-BE32-E72D297353CC}">
              <c16:uniqueId val="{00000001-E4EF-4386-B978-25BFF3C57E88}"/>
            </c:ext>
          </c:extLst>
        </c:ser>
        <c:dLbls>
          <c:showLegendKey val="0"/>
          <c:showVal val="0"/>
          <c:showCatName val="0"/>
          <c:showSerName val="0"/>
          <c:showPercent val="0"/>
          <c:showBubbleSize val="0"/>
        </c:dLbls>
        <c:gapWidth val="219"/>
        <c:overlap val="-27"/>
        <c:axId val="517579296"/>
        <c:axId val="517576896"/>
      </c:barChart>
      <c:catAx>
        <c:axId val="517579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School</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76896"/>
        <c:crosses val="autoZero"/>
        <c:auto val="1"/>
        <c:lblAlgn val="ctr"/>
        <c:lblOffset val="100"/>
        <c:noMultiLvlLbl val="0"/>
      </c:catAx>
      <c:valAx>
        <c:axId val="517576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Volatility</a:t>
                </a:r>
                <a:r>
                  <a:rPr lang="en-IN" baseline="0"/>
                  <a:t> (StdDev vs Range)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79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Volatility</a:t>
            </a:r>
            <a:r>
              <a:rPr lang="en-IN" baseline="0"/>
              <a:t> Index by School Type (Dual Axis)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3104469376959893"/>
          <c:y val="0.12830793440172397"/>
          <c:w val="0.73791061246080214"/>
          <c:h val="0.59561703176136072"/>
        </c:manualLayout>
      </c:layout>
      <c:barChart>
        <c:barDir val="col"/>
        <c:grouping val="clustered"/>
        <c:varyColors val="0"/>
        <c:ser>
          <c:idx val="0"/>
          <c:order val="0"/>
          <c:tx>
            <c:strRef>
              <c:f>Charts_volatility!$B$3</c:f>
              <c:strCache>
                <c:ptCount val="1"/>
                <c:pt idx="0">
                  <c:v>Volatility_StdDev_SchoolType</c:v>
                </c:pt>
              </c:strCache>
            </c:strRef>
          </c:tx>
          <c:spPr>
            <a:solidFill>
              <a:schemeClr val="accent1"/>
            </a:solidFill>
            <a:ln>
              <a:noFill/>
            </a:ln>
            <a:effectLst/>
          </c:spPr>
          <c:invertIfNegative val="0"/>
          <c:dLbls>
            <c:dLbl>
              <c:idx val="0"/>
              <c:layout>
                <c:manualLayout>
                  <c:x val="-1.9670126366789911E-17"/>
                  <c:y val="-3.85666799676161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8CB-49B0-9EEF-CE01B3687069}"/>
                </c:ext>
              </c:extLst>
            </c:dLbl>
            <c:dLbl>
              <c:idx val="1"/>
              <c:layout>
                <c:manualLayout>
                  <c:x val="-4.9354705390763892E-2"/>
                  <c:y val="3.856667996761613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8CB-49B0-9EEF-CE01B3687069}"/>
                </c:ext>
              </c:extLst>
            </c:dLbl>
            <c:dLbl>
              <c:idx val="2"/>
              <c:layout>
                <c:manualLayout>
                  <c:x val="1.7166854048961355E-2"/>
                  <c:y val="-5.01366839579009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8CB-49B0-9EEF-CE01B3687069}"/>
                </c:ext>
              </c:extLst>
            </c:dLbl>
            <c:dLbl>
              <c:idx val="3"/>
              <c:layout>
                <c:manualLayout>
                  <c:x val="-1.5020997292841185E-2"/>
                  <c:y val="-1.92833399838081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8CB-49B0-9EEF-CE01B3687069}"/>
                </c:ext>
              </c:extLst>
            </c:dLbl>
            <c:dLbl>
              <c:idx val="4"/>
              <c:layout>
                <c:manualLayout>
                  <c:x val="-3.6575533898608091E-2"/>
                  <c:y val="-7.23553634874985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CB-49B0-9EEF-CE01B3687069}"/>
                </c:ext>
              </c:extLst>
            </c:dLbl>
            <c:dLbl>
              <c:idx val="5"/>
              <c:layout>
                <c:manualLayout>
                  <c:x val="-5.5735729959429124E-2"/>
                  <c:y val="-6.09449178067512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CB-49B0-9EEF-CE01B36870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Charts_volatility!$A$4:$A$9</c:f>
              <c:strCache>
                <c:ptCount val="6"/>
                <c:pt idx="0">
                  <c:v>CTSA</c:v>
                </c:pt>
                <c:pt idx="1">
                  <c:v>GOVT</c:v>
                </c:pt>
                <c:pt idx="2">
                  <c:v>GOVT AIDED</c:v>
                </c:pt>
                <c:pt idx="3">
                  <c:v>INDEPENDENT</c:v>
                </c:pt>
                <c:pt idx="4">
                  <c:v>JNV</c:v>
                </c:pt>
                <c:pt idx="5">
                  <c:v>KV</c:v>
                </c:pt>
              </c:strCache>
            </c:strRef>
          </c:cat>
          <c:val>
            <c:numRef>
              <c:f>Charts_volatility!$B$4:$B$9</c:f>
              <c:numCache>
                <c:formatCode>0.0000</c:formatCode>
                <c:ptCount val="6"/>
                <c:pt idx="0">
                  <c:v>8.0140564981311131E-3</c:v>
                </c:pt>
                <c:pt idx="1">
                  <c:v>1.2089637108015959E-2</c:v>
                </c:pt>
                <c:pt idx="2">
                  <c:v>3.7526405686020619E-3</c:v>
                </c:pt>
                <c:pt idx="3">
                  <c:v>2.9169464951935668E-3</c:v>
                </c:pt>
                <c:pt idx="4">
                  <c:v>3.9583342764695738E-3</c:v>
                </c:pt>
                <c:pt idx="5">
                  <c:v>9.2514702364829347E-4</c:v>
                </c:pt>
              </c:numCache>
            </c:numRef>
          </c:val>
          <c:extLst>
            <c:ext xmlns:c16="http://schemas.microsoft.com/office/drawing/2014/chart" uri="{C3380CC4-5D6E-409C-BE32-E72D297353CC}">
              <c16:uniqueId val="{00000000-78CB-49B0-9EEF-CE01B3687069}"/>
            </c:ext>
          </c:extLst>
        </c:ser>
        <c:dLbls>
          <c:showLegendKey val="0"/>
          <c:showVal val="1"/>
          <c:showCatName val="0"/>
          <c:showSerName val="0"/>
          <c:showPercent val="0"/>
          <c:showBubbleSize val="0"/>
        </c:dLbls>
        <c:gapWidth val="219"/>
        <c:overlap val="-27"/>
        <c:axId val="517568736"/>
        <c:axId val="517565856"/>
      </c:barChart>
      <c:lineChart>
        <c:grouping val="standard"/>
        <c:varyColors val="0"/>
        <c:ser>
          <c:idx val="1"/>
          <c:order val="1"/>
          <c:tx>
            <c:strRef>
              <c:f>Charts_volatility!$C$3</c:f>
              <c:strCache>
                <c:ptCount val="1"/>
                <c:pt idx="0">
                  <c:v>Volatility_Range_SchoolType</c:v>
                </c:pt>
              </c:strCache>
            </c:strRef>
          </c:tx>
          <c:spPr>
            <a:ln w="28575" cap="rnd">
              <a:solidFill>
                <a:schemeClr val="accent2"/>
              </a:solidFill>
              <a:round/>
            </a:ln>
            <a:effectLst/>
          </c:spPr>
          <c:marker>
            <c:symbol val="none"/>
          </c:marker>
          <c:dLbls>
            <c:dLbl>
              <c:idx val="0"/>
              <c:layout>
                <c:manualLayout>
                  <c:x val="2.1458567561201694E-2"/>
                  <c:y val="5.01366839579009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8CB-49B0-9EEF-CE01B3687069}"/>
                </c:ext>
              </c:extLst>
            </c:dLbl>
            <c:dLbl>
              <c:idx val="1"/>
              <c:layout>
                <c:manualLayout>
                  <c:x val="3.2187851341802458E-2"/>
                  <c:y val="4.24233479643777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8CB-49B0-9EEF-CE01B3687069}"/>
                </c:ext>
              </c:extLst>
            </c:dLbl>
            <c:dLbl>
              <c:idx val="2"/>
              <c:layout>
                <c:manualLayout>
                  <c:x val="1.5020997292841185E-2"/>
                  <c:y val="5.78500199514242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8CB-49B0-9EEF-CE01B3687069}"/>
                </c:ext>
              </c:extLst>
            </c:dLbl>
            <c:dLbl>
              <c:idx val="3"/>
              <c:layout>
                <c:manualLayout>
                  <c:x val="1.2909011964214593E-2"/>
                  <c:y val="4.56981243078938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CB-49B0-9EEF-CE01B3687069}"/>
                </c:ext>
              </c:extLst>
            </c:dLbl>
            <c:dLbl>
              <c:idx val="4"/>
              <c:layout>
                <c:manualLayout>
                  <c:x val="1.9369145148116496E-2"/>
                  <c:y val="-8.79760631497498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CB-49B0-9EEF-CE01B3687069}"/>
                </c:ext>
              </c:extLst>
            </c:dLbl>
            <c:dLbl>
              <c:idx val="5"/>
              <c:layout>
                <c:manualLayout>
                  <c:x val="-8.5714309818422339E-3"/>
                  <c:y val="-0.116096723658423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8CB-49B0-9EEF-CE01B36870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Charts_volatility!$A$4:$A$9</c:f>
              <c:strCache>
                <c:ptCount val="6"/>
                <c:pt idx="0">
                  <c:v>CTSA</c:v>
                </c:pt>
                <c:pt idx="1">
                  <c:v>GOVT</c:v>
                </c:pt>
                <c:pt idx="2">
                  <c:v>GOVT AIDED</c:v>
                </c:pt>
                <c:pt idx="3">
                  <c:v>INDEPENDENT</c:v>
                </c:pt>
                <c:pt idx="4">
                  <c:v>JNV</c:v>
                </c:pt>
                <c:pt idx="5">
                  <c:v>KV</c:v>
                </c:pt>
              </c:strCache>
            </c:strRef>
          </c:cat>
          <c:val>
            <c:numRef>
              <c:f>Charts_volatility!$C$4:$C$9</c:f>
              <c:numCache>
                <c:formatCode>0.0000</c:formatCode>
                <c:ptCount val="6"/>
                <c:pt idx="0">
                  <c:v>1.9417475728155331E-2</c:v>
                </c:pt>
                <c:pt idx="1">
                  <c:v>4.7904191616766512E-2</c:v>
                </c:pt>
                <c:pt idx="2">
                  <c:v>9.8039215686274161E-3</c:v>
                </c:pt>
                <c:pt idx="3">
                  <c:v>9.9945802344320045E-3</c:v>
                </c:pt>
                <c:pt idx="4">
                  <c:v>1.2125220458553798E-2</c:v>
                </c:pt>
                <c:pt idx="5">
                  <c:v>3.9532202273101502E-3</c:v>
                </c:pt>
              </c:numCache>
            </c:numRef>
          </c:val>
          <c:smooth val="0"/>
          <c:extLst>
            <c:ext xmlns:c16="http://schemas.microsoft.com/office/drawing/2014/chart" uri="{C3380CC4-5D6E-409C-BE32-E72D297353CC}">
              <c16:uniqueId val="{00000001-78CB-49B0-9EEF-CE01B3687069}"/>
            </c:ext>
          </c:extLst>
        </c:ser>
        <c:dLbls>
          <c:showLegendKey val="0"/>
          <c:showVal val="1"/>
          <c:showCatName val="0"/>
          <c:showSerName val="0"/>
          <c:showPercent val="0"/>
          <c:showBubbleSize val="0"/>
        </c:dLbls>
        <c:marker val="1"/>
        <c:smooth val="0"/>
        <c:axId val="517575936"/>
        <c:axId val="517567776"/>
      </c:lineChart>
      <c:catAx>
        <c:axId val="517568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School</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65856"/>
        <c:crosses val="autoZero"/>
        <c:auto val="1"/>
        <c:lblAlgn val="ctr"/>
        <c:lblOffset val="100"/>
        <c:noMultiLvlLbl val="0"/>
      </c:catAx>
      <c:valAx>
        <c:axId val="51756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StdDev</a:t>
                </a:r>
                <a:r>
                  <a:rPr lang="en-IN" baseline="0"/>
                  <a:t> (behavioral consistency)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68736"/>
        <c:crosses val="autoZero"/>
        <c:crossBetween val="between"/>
      </c:valAx>
      <c:valAx>
        <c:axId val="51756777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Range</a:t>
                </a:r>
                <a:r>
                  <a:rPr lang="en-IN" baseline="0"/>
                  <a:t> (Extreme spread)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75936"/>
        <c:crosses val="max"/>
        <c:crossBetween val="between"/>
      </c:valAx>
      <c:catAx>
        <c:axId val="517575936"/>
        <c:scaling>
          <c:orientation val="minMax"/>
        </c:scaling>
        <c:delete val="1"/>
        <c:axPos val="b"/>
        <c:numFmt formatCode="General" sourceLinked="1"/>
        <c:majorTickMark val="out"/>
        <c:minorTickMark val="none"/>
        <c:tickLblPos val="nextTo"/>
        <c:crossAx val="5175677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Volatility</a:t>
            </a:r>
            <a:r>
              <a:rPr lang="en-IN" baseline="0"/>
              <a:t> Index Summary by School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Charts_volatility!$B$3</c:f>
              <c:strCache>
                <c:ptCount val="1"/>
                <c:pt idx="0">
                  <c:v>Volatility_StdDev_SchoolType</c:v>
                </c:pt>
              </c:strCache>
            </c:strRef>
          </c:tx>
          <c:spPr>
            <a:solidFill>
              <a:schemeClr val="accent1"/>
            </a:solidFill>
            <a:ln>
              <a:noFill/>
            </a:ln>
            <a:effectLst/>
          </c:spPr>
          <c:invertIfNegative val="0"/>
          <c:cat>
            <c:strRef>
              <c:f>Charts_volatility!$A$4:$A$9</c:f>
              <c:strCache>
                <c:ptCount val="6"/>
                <c:pt idx="0">
                  <c:v>CTSA</c:v>
                </c:pt>
                <c:pt idx="1">
                  <c:v>GOVT</c:v>
                </c:pt>
                <c:pt idx="2">
                  <c:v>GOVT AIDED</c:v>
                </c:pt>
                <c:pt idx="3">
                  <c:v>INDEPENDENT</c:v>
                </c:pt>
                <c:pt idx="4">
                  <c:v>JNV</c:v>
                </c:pt>
                <c:pt idx="5">
                  <c:v>KV</c:v>
                </c:pt>
              </c:strCache>
            </c:strRef>
          </c:cat>
          <c:val>
            <c:numRef>
              <c:f>Charts_volatility!$B$4:$B$9</c:f>
              <c:numCache>
                <c:formatCode>0.0000</c:formatCode>
                <c:ptCount val="6"/>
                <c:pt idx="0">
                  <c:v>8.0140564981311131E-3</c:v>
                </c:pt>
                <c:pt idx="1">
                  <c:v>1.2089637108015959E-2</c:v>
                </c:pt>
                <c:pt idx="2">
                  <c:v>3.7526405686020619E-3</c:v>
                </c:pt>
                <c:pt idx="3">
                  <c:v>2.9169464951935668E-3</c:v>
                </c:pt>
                <c:pt idx="4">
                  <c:v>3.9583342764695738E-3</c:v>
                </c:pt>
                <c:pt idx="5">
                  <c:v>9.2514702364829347E-4</c:v>
                </c:pt>
              </c:numCache>
            </c:numRef>
          </c:val>
          <c:extLst>
            <c:ext xmlns:c16="http://schemas.microsoft.com/office/drawing/2014/chart" uri="{C3380CC4-5D6E-409C-BE32-E72D297353CC}">
              <c16:uniqueId val="{00000000-A5C9-4760-B438-4BFFFA28F463}"/>
            </c:ext>
          </c:extLst>
        </c:ser>
        <c:ser>
          <c:idx val="1"/>
          <c:order val="1"/>
          <c:tx>
            <c:strRef>
              <c:f>Charts_volatility!$C$3</c:f>
              <c:strCache>
                <c:ptCount val="1"/>
                <c:pt idx="0">
                  <c:v>Volatility_Range_SchoolType</c:v>
                </c:pt>
              </c:strCache>
            </c:strRef>
          </c:tx>
          <c:spPr>
            <a:solidFill>
              <a:schemeClr val="accent2"/>
            </a:solidFill>
            <a:ln>
              <a:noFill/>
            </a:ln>
            <a:effectLst/>
          </c:spPr>
          <c:invertIfNegative val="0"/>
          <c:cat>
            <c:strRef>
              <c:f>Charts_volatility!$A$4:$A$9</c:f>
              <c:strCache>
                <c:ptCount val="6"/>
                <c:pt idx="0">
                  <c:v>CTSA</c:v>
                </c:pt>
                <c:pt idx="1">
                  <c:v>GOVT</c:v>
                </c:pt>
                <c:pt idx="2">
                  <c:v>GOVT AIDED</c:v>
                </c:pt>
                <c:pt idx="3">
                  <c:v>INDEPENDENT</c:v>
                </c:pt>
                <c:pt idx="4">
                  <c:v>JNV</c:v>
                </c:pt>
                <c:pt idx="5">
                  <c:v>KV</c:v>
                </c:pt>
              </c:strCache>
            </c:strRef>
          </c:cat>
          <c:val>
            <c:numRef>
              <c:f>Charts_volatility!$C$4:$C$9</c:f>
              <c:numCache>
                <c:formatCode>0.0000</c:formatCode>
                <c:ptCount val="6"/>
                <c:pt idx="0">
                  <c:v>1.9417475728155331E-2</c:v>
                </c:pt>
                <c:pt idx="1">
                  <c:v>4.7904191616766512E-2</c:v>
                </c:pt>
                <c:pt idx="2">
                  <c:v>9.8039215686274161E-3</c:v>
                </c:pt>
                <c:pt idx="3">
                  <c:v>9.9945802344320045E-3</c:v>
                </c:pt>
                <c:pt idx="4">
                  <c:v>1.2125220458553798E-2</c:v>
                </c:pt>
                <c:pt idx="5">
                  <c:v>3.9532202273101502E-3</c:v>
                </c:pt>
              </c:numCache>
            </c:numRef>
          </c:val>
          <c:extLst>
            <c:ext xmlns:c16="http://schemas.microsoft.com/office/drawing/2014/chart" uri="{C3380CC4-5D6E-409C-BE32-E72D297353CC}">
              <c16:uniqueId val="{00000001-A5C9-4760-B438-4BFFFA28F463}"/>
            </c:ext>
          </c:extLst>
        </c:ser>
        <c:dLbls>
          <c:showLegendKey val="0"/>
          <c:showVal val="0"/>
          <c:showCatName val="0"/>
          <c:showSerName val="0"/>
          <c:showPercent val="0"/>
          <c:showBubbleSize val="0"/>
        </c:dLbls>
        <c:gapWidth val="219"/>
        <c:overlap val="-27"/>
        <c:axId val="517579296"/>
        <c:axId val="517576896"/>
      </c:barChart>
      <c:catAx>
        <c:axId val="517579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School</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76896"/>
        <c:crosses val="autoZero"/>
        <c:auto val="1"/>
        <c:lblAlgn val="ctr"/>
        <c:lblOffset val="100"/>
        <c:noMultiLvlLbl val="0"/>
      </c:catAx>
      <c:valAx>
        <c:axId val="517576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Volatility</a:t>
                </a:r>
                <a:r>
                  <a:rPr lang="en-IN" baseline="0"/>
                  <a:t> (StdDev vs Range)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79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 (version 2).xlsb.xlsx]pivot_integrity_summary!PivotTable4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Integrity</a:t>
            </a:r>
            <a:r>
              <a:rPr lang="en-IN" baseline="0"/>
              <a:t> Check Result - OK vs FLAG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5.0894146340861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1674802735510389E-3"/>
              <c:y val="-5.4809080674774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5.0894146340861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1674802735510389E-3"/>
              <c:y val="-5.4809080674774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pivot_integrity_summary!$B$3:$B$4</c:f>
              <c:strCache>
                <c:ptCount val="1"/>
                <c:pt idx="0">
                  <c:v>FLAG</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A-783A-46C3-BD29-CA82BFA72C6B}"/>
              </c:ext>
            </c:extLst>
          </c:dPt>
          <c:dPt>
            <c:idx val="2"/>
            <c:invertIfNegative val="0"/>
            <c:bubble3D val="0"/>
            <c:extLst>
              <c:ext xmlns:c16="http://schemas.microsoft.com/office/drawing/2014/chart" uri="{C3380CC4-5D6E-409C-BE32-E72D297353CC}">
                <c16:uniqueId val="{0000000B-783A-46C3-BD29-CA82BFA72C6B}"/>
              </c:ext>
            </c:extLst>
          </c:dPt>
          <c:dLbls>
            <c:dLbl>
              <c:idx val="1"/>
              <c:layout>
                <c:manualLayout>
                  <c:x val="0"/>
                  <c:y val="-5.08941463408619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83A-46C3-BD29-CA82BFA72C6B}"/>
                </c:ext>
              </c:extLst>
            </c:dLbl>
            <c:dLbl>
              <c:idx val="2"/>
              <c:layout>
                <c:manualLayout>
                  <c:x val="-5.1674802735510389E-3"/>
                  <c:y val="-5.480908067477438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83A-46C3-BD29-CA82BFA72C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pivot_integrity_summary!$A$5:$A$8</c:f>
              <c:strCache>
                <c:ptCount val="3"/>
                <c:pt idx="0">
                  <c:v>MissingCheck</c:v>
                </c:pt>
                <c:pt idx="1">
                  <c:v>RateCheck</c:v>
                </c:pt>
                <c:pt idx="2">
                  <c:v>RegisteredCheck</c:v>
                </c:pt>
              </c:strCache>
            </c:strRef>
          </c:cat>
          <c:val>
            <c:numRef>
              <c:f>pivot_integrity_summary!$B$5:$B$8</c:f>
              <c:numCache>
                <c:formatCode>General</c:formatCode>
                <c:ptCount val="3"/>
                <c:pt idx="0">
                  <c:v>22</c:v>
                </c:pt>
                <c:pt idx="1">
                  <c:v>0</c:v>
                </c:pt>
                <c:pt idx="2">
                  <c:v>0</c:v>
                </c:pt>
              </c:numCache>
            </c:numRef>
          </c:val>
          <c:extLst>
            <c:ext xmlns:c16="http://schemas.microsoft.com/office/drawing/2014/chart" uri="{C3380CC4-5D6E-409C-BE32-E72D297353CC}">
              <c16:uniqueId val="{00000000-783A-46C3-BD29-CA82BFA72C6B}"/>
            </c:ext>
          </c:extLst>
        </c:ser>
        <c:ser>
          <c:idx val="1"/>
          <c:order val="1"/>
          <c:tx>
            <c:strRef>
              <c:f>pivot_integrity_summary!$C$3:$C$4</c:f>
              <c:strCache>
                <c:ptCount val="1"/>
                <c:pt idx="0">
                  <c:v>OK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pivot_integrity_summary!$A$5:$A$8</c:f>
              <c:strCache>
                <c:ptCount val="3"/>
                <c:pt idx="0">
                  <c:v>MissingCheck</c:v>
                </c:pt>
                <c:pt idx="1">
                  <c:v>RateCheck</c:v>
                </c:pt>
                <c:pt idx="2">
                  <c:v>RegisteredCheck</c:v>
                </c:pt>
              </c:strCache>
            </c:strRef>
          </c:cat>
          <c:val>
            <c:numRef>
              <c:f>pivot_integrity_summary!$C$5:$C$8</c:f>
              <c:numCache>
                <c:formatCode>General</c:formatCode>
                <c:ptCount val="3"/>
                <c:pt idx="0">
                  <c:v>74</c:v>
                </c:pt>
                <c:pt idx="1">
                  <c:v>96</c:v>
                </c:pt>
                <c:pt idx="2">
                  <c:v>96</c:v>
                </c:pt>
              </c:numCache>
            </c:numRef>
          </c:val>
          <c:extLst>
            <c:ext xmlns:c16="http://schemas.microsoft.com/office/drawing/2014/chart" uri="{C3380CC4-5D6E-409C-BE32-E72D297353CC}">
              <c16:uniqueId val="{00000003-1CC5-42CE-ACE3-2CECD2605230}"/>
            </c:ext>
          </c:extLst>
        </c:ser>
        <c:dLbls>
          <c:dLblPos val="ctr"/>
          <c:showLegendKey val="0"/>
          <c:showVal val="1"/>
          <c:showCatName val="0"/>
          <c:showSerName val="0"/>
          <c:showPercent val="0"/>
          <c:showBubbleSize val="0"/>
        </c:dLbls>
        <c:gapWidth val="150"/>
        <c:overlap val="100"/>
        <c:axId val="206236624"/>
        <c:axId val="199656016"/>
      </c:barChart>
      <c:catAx>
        <c:axId val="20623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56016"/>
        <c:crosses val="autoZero"/>
        <c:auto val="1"/>
        <c:lblAlgn val="ctr"/>
        <c:lblOffset val="100"/>
        <c:noMultiLvlLbl val="0"/>
      </c:catAx>
      <c:valAx>
        <c:axId val="19965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3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 (version 2).xlsb.xlsx]pivot_baseflag_summary!PivotTable5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Base Flag Composition - ABSENT, SMALL, VALID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pivot_baseflag_summary!$B$21</c:f>
              <c:strCache>
                <c:ptCount val="1"/>
                <c:pt idx="0">
                  <c:v>Count of BaseFlag</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F5E-471B-B72C-3EE0256AE28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0F5E-471B-B72C-3EE0256AE28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0F5E-471B-B72C-3EE0256AE2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pivot_baseflag_summary!$A$22:$A$25</c:f>
              <c:strCache>
                <c:ptCount val="3"/>
                <c:pt idx="0">
                  <c:v>ABSENT_BASE</c:v>
                </c:pt>
                <c:pt idx="1">
                  <c:v>SMALL_BASE</c:v>
                </c:pt>
                <c:pt idx="2">
                  <c:v>VALID_BASE</c:v>
                </c:pt>
              </c:strCache>
            </c:strRef>
          </c:cat>
          <c:val>
            <c:numRef>
              <c:f>pivot_baseflag_summary!$B$22:$B$25</c:f>
              <c:numCache>
                <c:formatCode>General</c:formatCode>
                <c:ptCount val="3"/>
                <c:pt idx="0">
                  <c:v>66</c:v>
                </c:pt>
                <c:pt idx="1">
                  <c:v>27</c:v>
                </c:pt>
                <c:pt idx="2">
                  <c:v>195</c:v>
                </c:pt>
              </c:numCache>
            </c:numRef>
          </c:val>
          <c:extLst>
            <c:ext xmlns:c16="http://schemas.microsoft.com/office/drawing/2014/chart" uri="{C3380CC4-5D6E-409C-BE32-E72D297353CC}">
              <c16:uniqueId val="{00000006-98A0-40D2-AAAD-8FACA41692EB}"/>
            </c:ext>
          </c:extLst>
        </c:ser>
        <c:ser>
          <c:idx val="1"/>
          <c:order val="1"/>
          <c:tx>
            <c:strRef>
              <c:f>pivot_baseflag_summary!$C$21</c:f>
              <c:strCache>
                <c:ptCount val="1"/>
                <c:pt idx="0">
                  <c:v>Coverage Share</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pivot_baseflag_summary!$A$22:$A$25</c:f>
              <c:strCache>
                <c:ptCount val="3"/>
                <c:pt idx="0">
                  <c:v>ABSENT_BASE</c:v>
                </c:pt>
                <c:pt idx="1">
                  <c:v>SMALL_BASE</c:v>
                </c:pt>
                <c:pt idx="2">
                  <c:v>VALID_BASE</c:v>
                </c:pt>
              </c:strCache>
            </c:strRef>
          </c:cat>
          <c:val>
            <c:numRef>
              <c:f>pivot_baseflag_summary!$C$22:$C$25</c:f>
              <c:numCache>
                <c:formatCode>0.00%</c:formatCode>
                <c:ptCount val="3"/>
                <c:pt idx="0">
                  <c:v>0</c:v>
                </c:pt>
                <c:pt idx="1">
                  <c:v>4.1005909716107053E-4</c:v>
                </c:pt>
                <c:pt idx="2">
                  <c:v>0.99958994090283892</c:v>
                </c:pt>
              </c:numCache>
            </c:numRef>
          </c:val>
          <c:extLst>
            <c:ext xmlns:c16="http://schemas.microsoft.com/office/drawing/2014/chart" uri="{C3380CC4-5D6E-409C-BE32-E72D297353CC}">
              <c16:uniqueId val="{00000008-0F5E-471B-B72C-3EE0256AE282}"/>
            </c:ext>
          </c:extLst>
        </c:ser>
        <c:ser>
          <c:idx val="2"/>
          <c:order val="2"/>
          <c:tx>
            <c:strRef>
              <c:f>pivot_baseflag_summary!$D$21</c:f>
              <c:strCache>
                <c:ptCount val="1"/>
                <c:pt idx="0">
                  <c:v>Sum of Registered</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pivot_baseflag_summary!$A$22:$A$25</c:f>
              <c:strCache>
                <c:ptCount val="3"/>
                <c:pt idx="0">
                  <c:v>ABSENT_BASE</c:v>
                </c:pt>
                <c:pt idx="1">
                  <c:v>SMALL_BASE</c:v>
                </c:pt>
                <c:pt idx="2">
                  <c:v>VALID_BASE</c:v>
                </c:pt>
              </c:strCache>
            </c:strRef>
          </c:cat>
          <c:val>
            <c:numRef>
              <c:f>pivot_baseflag_summary!$D$22:$D$25</c:f>
              <c:numCache>
                <c:formatCode>General</c:formatCode>
                <c:ptCount val="3"/>
                <c:pt idx="0">
                  <c:v>0</c:v>
                </c:pt>
                <c:pt idx="1">
                  <c:v>1770</c:v>
                </c:pt>
                <c:pt idx="2">
                  <c:v>4314681</c:v>
                </c:pt>
              </c:numCache>
            </c:numRef>
          </c:val>
          <c:extLst>
            <c:ext xmlns:c16="http://schemas.microsoft.com/office/drawing/2014/chart" uri="{C3380CC4-5D6E-409C-BE32-E72D297353CC}">
              <c16:uniqueId val="{00000009-0F5E-471B-B72C-3EE0256AE28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[class12-2022 cleaned (version 2).xlsb.xlsx]pivot_anomaly_summary!PivotTable6</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Anomaly Flag Distribution - ABSENT, LOW_RATE, NORMAL, SUSPICIOUS_PERFECTION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3.1719434333061319E-2"/>
              <c:y val="1.2680635562887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schemeClr>
          </a:solidFill>
          <a:ln w="19050">
            <a:solidFill>
              <a:schemeClr val="lt1"/>
            </a:solidFill>
          </a:ln>
          <a:effectLst/>
        </c:spPr>
        <c:dLbl>
          <c:idx val="0"/>
          <c:layout>
            <c:manualLayout>
              <c:x val="4.2509069681437896E-2"/>
              <c:y val="-2.18963192051581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dLbl>
          <c:idx val="0"/>
          <c:layout>
            <c:manualLayout>
              <c:x val="3.1719434333061319E-2"/>
              <c:y val="1.2680635562887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dLbl>
          <c:idx val="0"/>
          <c:layout>
            <c:manualLayout>
              <c:x val="4.2509069681437896E-2"/>
              <c:y val="-2.18963192051581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pivot_anomaly_summary!$B$3</c:f>
              <c:strCache>
                <c:ptCount val="1"/>
                <c:pt idx="0">
                  <c:v>Count of AnomalyFlag</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C3C-4838-989C-10A83A045CB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C3C-4838-989C-10A83A045CB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C3C-4838-989C-10A83A045CB1}"/>
              </c:ext>
            </c:extLst>
          </c:dPt>
          <c:dPt>
            <c:idx val="3"/>
            <c:bubble3D val="0"/>
            <c:spPr>
              <a:solidFill>
                <a:schemeClr val="accent2">
                  <a:lumMod val="60000"/>
                </a:schemeClr>
              </a:solidFill>
              <a:ln w="19050">
                <a:solidFill>
                  <a:schemeClr val="lt1"/>
                </a:solidFill>
              </a:ln>
              <a:effectLst/>
            </c:spPr>
          </c:dPt>
          <c:cat>
            <c:strRef>
              <c:f>pivot_anomaly_summary!$A$4:$A$8</c:f>
              <c:strCache>
                <c:ptCount val="4"/>
                <c:pt idx="0">
                  <c:v>ABSENT</c:v>
                </c:pt>
                <c:pt idx="1">
                  <c:v>LOW_RATE</c:v>
                </c:pt>
                <c:pt idx="2">
                  <c:v>NORMAL</c:v>
                </c:pt>
                <c:pt idx="3">
                  <c:v>SUSPICIOUS_PERFECTION</c:v>
                </c:pt>
              </c:strCache>
            </c:strRef>
          </c:cat>
          <c:val>
            <c:numRef>
              <c:f>pivot_anomaly_summary!$B$4:$B$8</c:f>
              <c:numCache>
                <c:formatCode>General</c:formatCode>
                <c:ptCount val="4"/>
                <c:pt idx="0">
                  <c:v>66</c:v>
                </c:pt>
                <c:pt idx="1">
                  <c:v>6</c:v>
                </c:pt>
                <c:pt idx="2">
                  <c:v>195</c:v>
                </c:pt>
                <c:pt idx="3">
                  <c:v>21</c:v>
                </c:pt>
              </c:numCache>
            </c:numRef>
          </c:val>
          <c:extLst>
            <c:ext xmlns:c16="http://schemas.microsoft.com/office/drawing/2014/chart" uri="{C3380CC4-5D6E-409C-BE32-E72D297353CC}">
              <c16:uniqueId val="{00000008-5896-4BE7-B753-E9F2A44C2772}"/>
            </c:ext>
          </c:extLst>
        </c:ser>
        <c:ser>
          <c:idx val="1"/>
          <c:order val="1"/>
          <c:tx>
            <c:strRef>
              <c:f>pivot_anomaly_summary!$C$3</c:f>
              <c:strCache>
                <c:ptCount val="1"/>
                <c:pt idx="0">
                  <c:v>Coverage Share</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cat>
            <c:strRef>
              <c:f>pivot_anomaly_summary!$A$4:$A$8</c:f>
              <c:strCache>
                <c:ptCount val="4"/>
                <c:pt idx="0">
                  <c:v>ABSENT</c:v>
                </c:pt>
                <c:pt idx="1">
                  <c:v>LOW_RATE</c:v>
                </c:pt>
                <c:pt idx="2">
                  <c:v>NORMAL</c:v>
                </c:pt>
                <c:pt idx="3">
                  <c:v>SUSPICIOUS_PERFECTION</c:v>
                </c:pt>
              </c:strCache>
            </c:strRef>
          </c:cat>
          <c:val>
            <c:numRef>
              <c:f>pivot_anomaly_summary!$C$4:$C$8</c:f>
              <c:numCache>
                <c:formatCode>General</c:formatCode>
                <c:ptCount val="4"/>
                <c:pt idx="0">
                  <c:v>0</c:v>
                </c:pt>
                <c:pt idx="1">
                  <c:v>1.1217548861321488E-3</c:v>
                </c:pt>
                <c:pt idx="2">
                  <c:v>0.99859120374585508</c:v>
                </c:pt>
                <c:pt idx="3">
                  <c:v>2.8704136801274938E-4</c:v>
                </c:pt>
              </c:numCache>
            </c:numRef>
          </c:val>
          <c:extLst>
            <c:ext xmlns:c16="http://schemas.microsoft.com/office/drawing/2014/chart" uri="{C3380CC4-5D6E-409C-BE32-E72D297353CC}">
              <c16:uniqueId val="{00000006-9C3C-4838-989C-10A83A045CB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594360</xdr:colOff>
      <xdr:row>1</xdr:row>
      <xdr:rowOff>152400</xdr:rowOff>
    </xdr:from>
    <xdr:to>
      <xdr:col>12</xdr:col>
      <xdr:colOff>289560</xdr:colOff>
      <xdr:row>16</xdr:row>
      <xdr:rowOff>152400</xdr:rowOff>
    </xdr:to>
    <xdr:graphicFrame macro="">
      <xdr:nvGraphicFramePr>
        <xdr:cNvPr id="2" name="Chart 1">
          <a:extLst>
            <a:ext uri="{FF2B5EF4-FFF2-40B4-BE49-F238E27FC236}">
              <a16:creationId xmlns:a16="http://schemas.microsoft.com/office/drawing/2014/main" id="{4DA74C27-C28B-8732-4B3D-975199AA6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9</xdr:row>
      <xdr:rowOff>1</xdr:rowOff>
    </xdr:from>
    <xdr:ext cx="2178331" cy="4797917"/>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26321B1D-E64E-4DCD-B0B7-08ED855B8B3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0" y="1686394"/>
              <a:ext cx="2178331" cy="4797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5</xdr:col>
      <xdr:colOff>43132</xdr:colOff>
      <xdr:row>17</xdr:row>
      <xdr:rowOff>143774</xdr:rowOff>
    </xdr:from>
    <xdr:ext cx="2232169" cy="1918114"/>
    <mc:AlternateContent xmlns:mc="http://schemas.openxmlformats.org/markup-compatibility/2006" xmlns:a14="http://schemas.microsoft.com/office/drawing/2010/main">
      <mc:Choice Requires="a14">
        <xdr:graphicFrame macro="">
          <xdr:nvGraphicFramePr>
            <xdr:cNvPr id="4" name="School Type 3">
              <a:extLst>
                <a:ext uri="{FF2B5EF4-FFF2-40B4-BE49-F238E27FC236}">
                  <a16:creationId xmlns:a16="http://schemas.microsoft.com/office/drawing/2014/main" id="{7F04F35C-9A20-4817-BD35-01D818F1E919}"/>
                </a:ext>
              </a:extLst>
            </xdr:cNvPr>
            <xdr:cNvGraphicFramePr/>
          </xdr:nvGraphicFramePr>
          <xdr:xfrm>
            <a:off x="0" y="0"/>
            <a:ext cx="0" cy="0"/>
          </xdr:xfrm>
          <a:graphic>
            <a:graphicData uri="http://schemas.microsoft.com/office/drawing/2010/slicer">
              <sle:slicer xmlns:sle="http://schemas.microsoft.com/office/drawing/2010/slicer" name="School Type 3"/>
            </a:graphicData>
          </a:graphic>
        </xdr:graphicFrame>
      </mc:Choice>
      <mc:Fallback xmlns="">
        <xdr:sp macro="" textlink="">
          <xdr:nvSpPr>
            <xdr:cNvPr id="0" name=""/>
            <xdr:cNvSpPr>
              <a:spLocks noTextEdit="1"/>
            </xdr:cNvSpPr>
          </xdr:nvSpPr>
          <xdr:spPr>
            <a:xfrm>
              <a:off x="6101657" y="3628987"/>
              <a:ext cx="2232169" cy="1918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5</xdr:col>
      <xdr:colOff>14378</xdr:colOff>
      <xdr:row>29</xdr:row>
      <xdr:rowOff>0</xdr:rowOff>
    </xdr:from>
    <xdr:ext cx="3046827" cy="978978"/>
    <mc:AlternateContent xmlns:mc="http://schemas.openxmlformats.org/markup-compatibility/2006" xmlns:a14="http://schemas.microsoft.com/office/drawing/2010/main">
      <mc:Choice Requires="a14">
        <xdr:graphicFrame macro="">
          <xdr:nvGraphicFramePr>
            <xdr:cNvPr id="5" name="Integrity_CheckResult 1">
              <a:extLst>
                <a:ext uri="{FF2B5EF4-FFF2-40B4-BE49-F238E27FC236}">
                  <a16:creationId xmlns:a16="http://schemas.microsoft.com/office/drawing/2014/main" id="{5A52F3DA-04BF-4664-B54A-D451FF8100BF}"/>
                </a:ext>
              </a:extLst>
            </xdr:cNvPr>
            <xdr:cNvGraphicFramePr/>
          </xdr:nvGraphicFramePr>
          <xdr:xfrm>
            <a:off x="0" y="0"/>
            <a:ext cx="0" cy="0"/>
          </xdr:xfrm>
          <a:graphic>
            <a:graphicData uri="http://schemas.microsoft.com/office/drawing/2010/slicer">
              <sle:slicer xmlns:sle="http://schemas.microsoft.com/office/drawing/2010/slicer" name="Integrity_CheckResult 1"/>
            </a:graphicData>
          </a:graphic>
        </xdr:graphicFrame>
      </mc:Choice>
      <mc:Fallback xmlns="">
        <xdr:sp macro="" textlink="">
          <xdr:nvSpPr>
            <xdr:cNvPr id="0" name=""/>
            <xdr:cNvSpPr>
              <a:spLocks noTextEdit="1"/>
            </xdr:cNvSpPr>
          </xdr:nvSpPr>
          <xdr:spPr>
            <a:xfrm>
              <a:off x="6072903" y="5733738"/>
              <a:ext cx="3046827" cy="978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0</xdr:col>
      <xdr:colOff>1</xdr:colOff>
      <xdr:row>31</xdr:row>
      <xdr:rowOff>7661</xdr:rowOff>
    </xdr:from>
    <xdr:to>
      <xdr:col>3</xdr:col>
      <xdr:colOff>624841</xdr:colOff>
      <xdr:row>49</xdr:row>
      <xdr:rowOff>137160</xdr:rowOff>
    </xdr:to>
    <xdr:graphicFrame macro="">
      <xdr:nvGraphicFramePr>
        <xdr:cNvPr id="2" name="Chart 1">
          <a:extLst>
            <a:ext uri="{FF2B5EF4-FFF2-40B4-BE49-F238E27FC236}">
              <a16:creationId xmlns:a16="http://schemas.microsoft.com/office/drawing/2014/main" id="{AC7AE7EE-9457-4470-4B07-70E4837FE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2266462</xdr:colOff>
      <xdr:row>11</xdr:row>
      <xdr:rowOff>66757</xdr:rowOff>
    </xdr:from>
    <xdr:to>
      <xdr:col>10</xdr:col>
      <xdr:colOff>566616</xdr:colOff>
      <xdr:row>22</xdr:row>
      <xdr:rowOff>158149</xdr:rowOff>
    </xdr:to>
    <xdr:sp macro="" textlink="">
      <xdr:nvSpPr>
        <xdr:cNvPr id="5" name="TextBox 4">
          <a:extLst>
            <a:ext uri="{FF2B5EF4-FFF2-40B4-BE49-F238E27FC236}">
              <a16:creationId xmlns:a16="http://schemas.microsoft.com/office/drawing/2014/main" id="{9A7EBC8C-D9E0-2829-7703-A9D8362C2B8E}"/>
            </a:ext>
          </a:extLst>
        </xdr:cNvPr>
        <xdr:cNvSpPr txBox="1"/>
      </xdr:nvSpPr>
      <xdr:spPr>
        <a:xfrm>
          <a:off x="6349632" y="2122719"/>
          <a:ext cx="5043135" cy="2147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Interpretation:</a:t>
          </a:r>
        </a:p>
        <a:p>
          <a:endParaRPr lang="en-IN" sz="1100"/>
        </a:p>
        <a:p>
          <a:r>
            <a:rPr lang="en-IN" sz="1600"/>
            <a:t>Although ABSENT_BASE</a:t>
          </a:r>
          <a:r>
            <a:rPr lang="en-IN" sz="1600" baseline="0"/>
            <a:t> accounts for 66 rows, its Coverage Share is 0% because these rows have Registered = 0. This means they contribute no weight to the dataset. </a:t>
          </a:r>
        </a:p>
        <a:p>
          <a:r>
            <a:rPr lang="en-IN" sz="1600" baseline="0"/>
            <a:t>VALID_BASE dominates both count and coverage, forming the statistical backbone. </a:t>
          </a:r>
        </a:p>
        <a:p>
          <a:r>
            <a:rPr lang="en-IN" sz="1600" baseline="0"/>
            <a:t>SMALL_BASE is rare and carries negligible weight.</a:t>
          </a:r>
          <a:endParaRPr lang="en-IN" sz="1600"/>
        </a:p>
      </xdr:txBody>
    </xdr:sp>
    <xdr:clientData/>
  </xdr:twoCellAnchor>
  <xdr:twoCellAnchor>
    <xdr:from>
      <xdr:col>0</xdr:col>
      <xdr:colOff>74951</xdr:colOff>
      <xdr:row>0</xdr:row>
      <xdr:rowOff>137410</xdr:rowOff>
    </xdr:from>
    <xdr:to>
      <xdr:col>10</xdr:col>
      <xdr:colOff>502920</xdr:colOff>
      <xdr:row>4</xdr:row>
      <xdr:rowOff>62459</xdr:rowOff>
    </xdr:to>
    <xdr:sp macro="" textlink="">
      <xdr:nvSpPr>
        <xdr:cNvPr id="6" name="TextBox 5">
          <a:extLst>
            <a:ext uri="{FF2B5EF4-FFF2-40B4-BE49-F238E27FC236}">
              <a16:creationId xmlns:a16="http://schemas.microsoft.com/office/drawing/2014/main" id="{14B4EC00-EDB4-8944-7D4D-ED6095EED26E}"/>
            </a:ext>
          </a:extLst>
        </xdr:cNvPr>
        <xdr:cNvSpPr txBox="1"/>
      </xdr:nvSpPr>
      <xdr:spPr>
        <a:xfrm>
          <a:off x="74951" y="137410"/>
          <a:ext cx="9983449" cy="6565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BaseFlag Diagnostic</a:t>
          </a:r>
          <a:r>
            <a:rPr lang="en-IN" sz="2800" b="1" baseline="0"/>
            <a:t> Summary</a:t>
          </a:r>
          <a:endParaRPr lang="en-IN" sz="2800" b="1"/>
        </a:p>
      </xdr:txBody>
    </xdr:sp>
    <xdr:clientData/>
  </xdr:twoCellAnchor>
  <xdr:twoCellAnchor editAs="oneCell">
    <xdr:from>
      <xdr:col>0</xdr:col>
      <xdr:colOff>86566</xdr:colOff>
      <xdr:row>4</xdr:row>
      <xdr:rowOff>169138</xdr:rowOff>
    </xdr:from>
    <xdr:to>
      <xdr:col>2</xdr:col>
      <xdr:colOff>1108308</xdr:colOff>
      <xdr:row>18</xdr:row>
      <xdr:rowOff>104388</xdr:rowOff>
    </xdr:to>
    <mc:AlternateContent xmlns:mc="http://schemas.openxmlformats.org/markup-compatibility/2006">
      <mc:Choice xmlns:a14="http://schemas.microsoft.com/office/drawing/2010/main" Requires="a14">
        <xdr:graphicFrame macro="">
          <xdr:nvGraphicFramePr>
            <xdr:cNvPr id="7" name="Region 6">
              <a:extLst>
                <a:ext uri="{FF2B5EF4-FFF2-40B4-BE49-F238E27FC236}">
                  <a16:creationId xmlns:a16="http://schemas.microsoft.com/office/drawing/2014/main" id="{65E451FD-C909-CE6F-97E7-0C7A63A5CFC6}"/>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dr:sp macro="" textlink="">
          <xdr:nvSpPr>
            <xdr:cNvPr id="0" name=""/>
            <xdr:cNvSpPr>
              <a:spLocks noTextEdit="1"/>
            </xdr:cNvSpPr>
          </xdr:nvSpPr>
          <xdr:spPr>
            <a:xfrm>
              <a:off x="86566" y="931138"/>
              <a:ext cx="4085617" cy="260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175812</xdr:colOff>
      <xdr:row>5</xdr:row>
      <xdr:rowOff>14393</xdr:rowOff>
    </xdr:from>
    <xdr:to>
      <xdr:col>4</xdr:col>
      <xdr:colOff>2147454</xdr:colOff>
      <xdr:row>18</xdr:row>
      <xdr:rowOff>107380</xdr:rowOff>
    </xdr:to>
    <mc:AlternateContent xmlns:mc="http://schemas.openxmlformats.org/markup-compatibility/2006">
      <mc:Choice xmlns:a14="http://schemas.microsoft.com/office/drawing/2010/main" Requires="a14">
        <xdr:graphicFrame macro="">
          <xdr:nvGraphicFramePr>
            <xdr:cNvPr id="8" name="School Type 6">
              <a:extLst>
                <a:ext uri="{FF2B5EF4-FFF2-40B4-BE49-F238E27FC236}">
                  <a16:creationId xmlns:a16="http://schemas.microsoft.com/office/drawing/2014/main" id="{D7284D72-8212-9CD2-4BC5-5ED2959371A5}"/>
                </a:ext>
              </a:extLst>
            </xdr:cNvPr>
            <xdr:cNvGraphicFramePr/>
          </xdr:nvGraphicFramePr>
          <xdr:xfrm>
            <a:off x="0" y="0"/>
            <a:ext cx="0" cy="0"/>
          </xdr:xfrm>
          <a:graphic>
            <a:graphicData uri="http://schemas.microsoft.com/office/drawing/2010/slicer">
              <sle:slicer xmlns:sle="http://schemas.microsoft.com/office/drawing/2010/slicer" name="School Type 6"/>
            </a:graphicData>
          </a:graphic>
        </xdr:graphicFrame>
      </mc:Choice>
      <mc:Fallback>
        <xdr:sp macro="" textlink="">
          <xdr:nvSpPr>
            <xdr:cNvPr id="0" name=""/>
            <xdr:cNvSpPr>
              <a:spLocks noTextEdit="1"/>
            </xdr:cNvSpPr>
          </xdr:nvSpPr>
          <xdr:spPr>
            <a:xfrm>
              <a:off x="6367062" y="966893"/>
              <a:ext cx="1971642" cy="2569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704779</xdr:colOff>
      <xdr:row>31</xdr:row>
      <xdr:rowOff>28222</xdr:rowOff>
    </xdr:from>
    <xdr:to>
      <xdr:col>5</xdr:col>
      <xdr:colOff>1138297</xdr:colOff>
      <xdr:row>49</xdr:row>
      <xdr:rowOff>159926</xdr:rowOff>
    </xdr:to>
    <xdr:graphicFrame macro="">
      <xdr:nvGraphicFramePr>
        <xdr:cNvPr id="9" name="Chart 8">
          <a:extLst>
            <a:ext uri="{FF2B5EF4-FFF2-40B4-BE49-F238E27FC236}">
              <a16:creationId xmlns:a16="http://schemas.microsoft.com/office/drawing/2014/main" id="{528BC4BD-C178-CA58-D8AA-EB3F0CF1F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12700</xdr:colOff>
      <xdr:row>0</xdr:row>
      <xdr:rowOff>171450</xdr:rowOff>
    </xdr:from>
    <xdr:to>
      <xdr:col>10</xdr:col>
      <xdr:colOff>317500</xdr:colOff>
      <xdr:row>15</xdr:row>
      <xdr:rowOff>171450</xdr:rowOff>
    </xdr:to>
    <xdr:graphicFrame macro="">
      <xdr:nvGraphicFramePr>
        <xdr:cNvPr id="2" name="Chart 1">
          <a:extLst>
            <a:ext uri="{FF2B5EF4-FFF2-40B4-BE49-F238E27FC236}">
              <a16:creationId xmlns:a16="http://schemas.microsoft.com/office/drawing/2014/main" id="{05705699-873E-8512-FEE0-1998045E3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373380</xdr:colOff>
      <xdr:row>10</xdr:row>
      <xdr:rowOff>41910</xdr:rowOff>
    </xdr:from>
    <xdr:to>
      <xdr:col>5</xdr:col>
      <xdr:colOff>129540</xdr:colOff>
      <xdr:row>28</xdr:row>
      <xdr:rowOff>68580</xdr:rowOff>
    </xdr:to>
    <xdr:graphicFrame macro="">
      <xdr:nvGraphicFramePr>
        <xdr:cNvPr id="2" name="Chart 1">
          <a:extLst>
            <a:ext uri="{FF2B5EF4-FFF2-40B4-BE49-F238E27FC236}">
              <a16:creationId xmlns:a16="http://schemas.microsoft.com/office/drawing/2014/main" id="{473C206C-1344-C692-CA8B-F0EEC50E7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423334</xdr:colOff>
      <xdr:row>2</xdr:row>
      <xdr:rowOff>33096</xdr:rowOff>
    </xdr:from>
    <xdr:to>
      <xdr:col>15</xdr:col>
      <xdr:colOff>253999</xdr:colOff>
      <xdr:row>20</xdr:row>
      <xdr:rowOff>46181</xdr:rowOff>
    </xdr:to>
    <xdr:graphicFrame macro="">
      <xdr:nvGraphicFramePr>
        <xdr:cNvPr id="3" name="Chart 2">
          <a:extLst>
            <a:ext uri="{FF2B5EF4-FFF2-40B4-BE49-F238E27FC236}">
              <a16:creationId xmlns:a16="http://schemas.microsoft.com/office/drawing/2014/main" id="{4D4F21E5-F31C-8258-B656-018FCAA4D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97154</xdr:colOff>
      <xdr:row>13</xdr:row>
      <xdr:rowOff>28575</xdr:rowOff>
    </xdr:from>
    <xdr:to>
      <xdr:col>11</xdr:col>
      <xdr:colOff>57149</xdr:colOff>
      <xdr:row>28</xdr:row>
      <xdr:rowOff>28575</xdr:rowOff>
    </xdr:to>
    <mc:AlternateContent xmlns:mc="http://schemas.openxmlformats.org/markup-compatibility/2006">
      <mc:Choice xmlns:a14="http://schemas.microsoft.com/office/drawing/2010/main" Requires="a14">
        <xdr:graphicFrame macro="">
          <xdr:nvGraphicFramePr>
            <xdr:cNvPr id="2" name="Region 3">
              <a:extLst>
                <a:ext uri="{FF2B5EF4-FFF2-40B4-BE49-F238E27FC236}">
                  <a16:creationId xmlns:a16="http://schemas.microsoft.com/office/drawing/2014/main" id="{5E3E858A-390F-3EAF-7A5E-B61598161078}"/>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5183504" y="2381250"/>
              <a:ext cx="3007995" cy="2714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100965</xdr:colOff>
      <xdr:row>0</xdr:row>
      <xdr:rowOff>160020</xdr:rowOff>
    </xdr:from>
    <xdr:to>
      <xdr:col>9</xdr:col>
      <xdr:colOff>100965</xdr:colOff>
      <xdr:row>12</xdr:row>
      <xdr:rowOff>114300</xdr:rowOff>
    </xdr:to>
    <mc:AlternateContent xmlns:mc="http://schemas.openxmlformats.org/markup-compatibility/2006" xmlns:a14="http://schemas.microsoft.com/office/drawing/2010/main">
      <mc:Choice Requires="a14">
        <xdr:graphicFrame macro="">
          <xdr:nvGraphicFramePr>
            <xdr:cNvPr id="3" name="School Type 4">
              <a:extLst>
                <a:ext uri="{FF2B5EF4-FFF2-40B4-BE49-F238E27FC236}">
                  <a16:creationId xmlns:a16="http://schemas.microsoft.com/office/drawing/2014/main" id="{5C91F987-D6C6-575A-E06E-BEABDE2EB898}"/>
                </a:ext>
              </a:extLst>
            </xdr:cNvPr>
            <xdr:cNvGraphicFramePr/>
          </xdr:nvGraphicFramePr>
          <xdr:xfrm>
            <a:off x="0" y="0"/>
            <a:ext cx="0" cy="0"/>
          </xdr:xfrm>
          <a:graphic>
            <a:graphicData uri="http://schemas.microsoft.com/office/drawing/2010/slicer">
              <sle:slicer xmlns:sle="http://schemas.microsoft.com/office/drawing/2010/slicer" name="School Type 4"/>
            </a:graphicData>
          </a:graphic>
        </xdr:graphicFrame>
      </mc:Choice>
      <mc:Fallback xmlns="">
        <xdr:sp macro="" textlink="">
          <xdr:nvSpPr>
            <xdr:cNvPr id="0" name=""/>
            <xdr:cNvSpPr>
              <a:spLocks noTextEdit="1"/>
            </xdr:cNvSpPr>
          </xdr:nvSpPr>
          <xdr:spPr>
            <a:xfrm>
              <a:off x="4987290" y="160020"/>
              <a:ext cx="1828800" cy="2125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0</xdr:row>
      <xdr:rowOff>45720</xdr:rowOff>
    </xdr:from>
    <xdr:to>
      <xdr:col>6</xdr:col>
      <xdr:colOff>1013460</xdr:colOff>
      <xdr:row>4</xdr:row>
      <xdr:rowOff>121920</xdr:rowOff>
    </xdr:to>
    <xdr:sp macro="" textlink="">
      <xdr:nvSpPr>
        <xdr:cNvPr id="2" name="TextBox 1">
          <a:extLst>
            <a:ext uri="{FF2B5EF4-FFF2-40B4-BE49-F238E27FC236}">
              <a16:creationId xmlns:a16="http://schemas.microsoft.com/office/drawing/2014/main" id="{FFC11A1A-DE53-620C-EEA5-60C8E79425CF}"/>
            </a:ext>
          </a:extLst>
        </xdr:cNvPr>
        <xdr:cNvSpPr txBox="1"/>
      </xdr:nvSpPr>
      <xdr:spPr>
        <a:xfrm>
          <a:off x="22860" y="45720"/>
          <a:ext cx="6347460" cy="807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Base Flag Profiling - CBSE Class</a:t>
          </a:r>
          <a:r>
            <a:rPr lang="en-IN" sz="1600" b="1" baseline="0"/>
            <a:t> 12 2022</a:t>
          </a:r>
        </a:p>
        <a:p>
          <a:endParaRPr lang="en-IN" sz="1100"/>
        </a:p>
        <a:p>
          <a:r>
            <a:rPr lang="en-IN" sz="1300"/>
            <a:t>This</a:t>
          </a:r>
          <a:r>
            <a:rPr lang="en-IN" sz="1300" baseline="0"/>
            <a:t> summary identifies fragile denominations in the dataset by profiling registered counts.</a:t>
          </a:r>
          <a:endParaRPr lang="en-IN" sz="1300"/>
        </a:p>
      </xdr:txBody>
    </xdr:sp>
    <xdr:clientData/>
  </xdr:twoCellAnchor>
  <xdr:twoCellAnchor editAs="oneCell">
    <xdr:from>
      <xdr:col>0</xdr:col>
      <xdr:colOff>38100</xdr:colOff>
      <xdr:row>8</xdr:row>
      <xdr:rowOff>7620</xdr:rowOff>
    </xdr:from>
    <xdr:to>
      <xdr:col>4</xdr:col>
      <xdr:colOff>190500</xdr:colOff>
      <xdr:row>22</xdr:row>
      <xdr:rowOff>91440</xdr:rowOff>
    </xdr:to>
    <mc:AlternateContent xmlns:mc="http://schemas.openxmlformats.org/markup-compatibility/2006" xmlns:a14="http://schemas.microsoft.com/office/drawing/2010/main">
      <mc:Choice Requires="a14">
        <xdr:graphicFrame macro="">
          <xdr:nvGraphicFramePr>
            <xdr:cNvPr id="3" name="Region 4">
              <a:extLst>
                <a:ext uri="{FF2B5EF4-FFF2-40B4-BE49-F238E27FC236}">
                  <a16:creationId xmlns:a16="http://schemas.microsoft.com/office/drawing/2014/main" id="{A5D9DFA1-2262-04C8-BAC5-56E685D953DB}"/>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38100" y="1470660"/>
              <a:ext cx="1828800" cy="493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350520</xdr:colOff>
      <xdr:row>8</xdr:row>
      <xdr:rowOff>15240</xdr:rowOff>
    </xdr:from>
    <xdr:to>
      <xdr:col>6</xdr:col>
      <xdr:colOff>1005840</xdr:colOff>
      <xdr:row>22</xdr:row>
      <xdr:rowOff>83819</xdr:rowOff>
    </xdr:to>
    <mc:AlternateContent xmlns:mc="http://schemas.openxmlformats.org/markup-compatibility/2006" xmlns:a14="http://schemas.microsoft.com/office/drawing/2010/main">
      <mc:Choice Requires="a14">
        <xdr:graphicFrame macro="">
          <xdr:nvGraphicFramePr>
            <xdr:cNvPr id="5" name="School Type">
              <a:extLst>
                <a:ext uri="{FF2B5EF4-FFF2-40B4-BE49-F238E27FC236}">
                  <a16:creationId xmlns:a16="http://schemas.microsoft.com/office/drawing/2014/main" id="{14AFDD82-607D-4170-BE9B-286506C54E21}"/>
                </a:ext>
              </a:extLst>
            </xdr:cNvPr>
            <xdr:cNvGraphicFramePr/>
          </xdr:nvGraphicFramePr>
          <xdr:xfrm>
            <a:off x="0" y="0"/>
            <a:ext cx="0" cy="0"/>
          </xdr:xfrm>
          <a:graphic>
            <a:graphicData uri="http://schemas.microsoft.com/office/drawing/2010/slicer">
              <sle:slicer xmlns:sle="http://schemas.microsoft.com/office/drawing/2010/slicer" name="School Type"/>
            </a:graphicData>
          </a:graphic>
        </xdr:graphicFrame>
      </mc:Choice>
      <mc:Fallback xmlns="">
        <xdr:sp macro="" textlink="">
          <xdr:nvSpPr>
            <xdr:cNvPr id="0" name=""/>
            <xdr:cNvSpPr>
              <a:spLocks noTextEdit="1"/>
            </xdr:cNvSpPr>
          </xdr:nvSpPr>
          <xdr:spPr>
            <a:xfrm>
              <a:off x="3825240" y="1478280"/>
              <a:ext cx="2499360" cy="2628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53339</xdr:colOff>
      <xdr:row>0</xdr:row>
      <xdr:rowOff>121920</xdr:rowOff>
    </xdr:from>
    <xdr:to>
      <xdr:col>13</xdr:col>
      <xdr:colOff>8465</xdr:colOff>
      <xdr:row>5</xdr:row>
      <xdr:rowOff>76200</xdr:rowOff>
    </xdr:to>
    <xdr:sp macro="" textlink="">
      <xdr:nvSpPr>
        <xdr:cNvPr id="3" name="TextBox 2">
          <a:extLst>
            <a:ext uri="{FF2B5EF4-FFF2-40B4-BE49-F238E27FC236}">
              <a16:creationId xmlns:a16="http://schemas.microsoft.com/office/drawing/2014/main" id="{26CBD51B-2337-9B02-B8D2-FA3F6B977B21}"/>
            </a:ext>
          </a:extLst>
        </xdr:cNvPr>
        <xdr:cNvSpPr txBox="1"/>
      </xdr:nvSpPr>
      <xdr:spPr>
        <a:xfrm>
          <a:off x="53339" y="121920"/>
          <a:ext cx="12663593" cy="885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Anamoly</a:t>
          </a:r>
          <a:r>
            <a:rPr lang="en-IN" sz="1600" b="1" baseline="0"/>
            <a:t> Flag Profiling - CBSE Class 12 2022</a:t>
          </a:r>
          <a:endParaRPr lang="en-IN" sz="1600" b="1"/>
        </a:p>
      </xdr:txBody>
    </xdr:sp>
    <xdr:clientData/>
  </xdr:twoCellAnchor>
  <xdr:twoCellAnchor editAs="oneCell">
    <xdr:from>
      <xdr:col>0</xdr:col>
      <xdr:colOff>27939</xdr:colOff>
      <xdr:row>8</xdr:row>
      <xdr:rowOff>112607</xdr:rowOff>
    </xdr:from>
    <xdr:to>
      <xdr:col>4</xdr:col>
      <xdr:colOff>16932</xdr:colOff>
      <xdr:row>22</xdr:row>
      <xdr:rowOff>86148</xdr:rowOff>
    </xdr:to>
    <mc:AlternateContent xmlns:mc="http://schemas.openxmlformats.org/markup-compatibility/2006" xmlns:a14="http://schemas.microsoft.com/office/drawing/2010/main">
      <mc:Choice Requires="a14">
        <xdr:graphicFrame macro="">
          <xdr:nvGraphicFramePr>
            <xdr:cNvPr id="4" name="Region 5">
              <a:extLst>
                <a:ext uri="{FF2B5EF4-FFF2-40B4-BE49-F238E27FC236}">
                  <a16:creationId xmlns:a16="http://schemas.microsoft.com/office/drawing/2014/main" id="{E88A76A7-654E-2685-4D16-9ACDDDB0F0E1}"/>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27939" y="1602740"/>
              <a:ext cx="4078393"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84667</xdr:colOff>
      <xdr:row>8</xdr:row>
      <xdr:rowOff>110068</xdr:rowOff>
    </xdr:from>
    <xdr:to>
      <xdr:col>6</xdr:col>
      <xdr:colOff>313267</xdr:colOff>
      <xdr:row>22</xdr:row>
      <xdr:rowOff>101600</xdr:rowOff>
    </xdr:to>
    <mc:AlternateContent xmlns:mc="http://schemas.openxmlformats.org/markup-compatibility/2006" xmlns:a14="http://schemas.microsoft.com/office/drawing/2010/main">
      <mc:Choice Requires="a14">
        <xdr:graphicFrame macro="">
          <xdr:nvGraphicFramePr>
            <xdr:cNvPr id="5" name="School Type 5">
              <a:extLst>
                <a:ext uri="{FF2B5EF4-FFF2-40B4-BE49-F238E27FC236}">
                  <a16:creationId xmlns:a16="http://schemas.microsoft.com/office/drawing/2014/main" id="{C65B134C-52BD-C859-BC75-B74ED97F46C2}"/>
                </a:ext>
              </a:extLst>
            </xdr:cNvPr>
            <xdr:cNvGraphicFramePr/>
          </xdr:nvGraphicFramePr>
          <xdr:xfrm>
            <a:off x="0" y="0"/>
            <a:ext cx="0" cy="0"/>
          </xdr:xfrm>
          <a:graphic>
            <a:graphicData uri="http://schemas.microsoft.com/office/drawing/2010/slicer">
              <sle:slicer xmlns:sle="http://schemas.microsoft.com/office/drawing/2010/slicer" name="School Type 5"/>
            </a:graphicData>
          </a:graphic>
        </xdr:graphicFrame>
      </mc:Choice>
      <mc:Fallback xmlns="">
        <xdr:sp macro="" textlink="">
          <xdr:nvSpPr>
            <xdr:cNvPr id="0" name=""/>
            <xdr:cNvSpPr>
              <a:spLocks noTextEdit="1"/>
            </xdr:cNvSpPr>
          </xdr:nvSpPr>
          <xdr:spPr>
            <a:xfrm>
              <a:off x="4174067" y="1600201"/>
              <a:ext cx="2159000" cy="2599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319031</xdr:colOff>
      <xdr:row>1</xdr:row>
      <xdr:rowOff>182788</xdr:rowOff>
    </xdr:from>
    <xdr:to>
      <xdr:col>8</xdr:col>
      <xdr:colOff>330048</xdr:colOff>
      <xdr:row>26</xdr:row>
      <xdr:rowOff>174433</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360C211F-B33F-67ED-9D2B-F233A28F20F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369826" y="366402"/>
              <a:ext cx="1828800" cy="4582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110535</xdr:colOff>
      <xdr:row>11</xdr:row>
      <xdr:rowOff>1836</xdr:rowOff>
    </xdr:from>
    <xdr:to>
      <xdr:col>1</xdr:col>
      <xdr:colOff>1039624</xdr:colOff>
      <xdr:row>20</xdr:row>
      <xdr:rowOff>174434</xdr:rowOff>
    </xdr:to>
    <mc:AlternateContent xmlns:mc="http://schemas.openxmlformats.org/markup-compatibility/2006" xmlns:a14="http://schemas.microsoft.com/office/drawing/2010/main">
      <mc:Choice Requires="a14">
        <xdr:graphicFrame macro="">
          <xdr:nvGraphicFramePr>
            <xdr:cNvPr id="3" name="School Type 2">
              <a:extLst>
                <a:ext uri="{FF2B5EF4-FFF2-40B4-BE49-F238E27FC236}">
                  <a16:creationId xmlns:a16="http://schemas.microsoft.com/office/drawing/2014/main" id="{720C83FD-7ECB-C374-6A91-A295BE45E37F}"/>
                </a:ext>
              </a:extLst>
            </xdr:cNvPr>
            <xdr:cNvGraphicFramePr/>
          </xdr:nvGraphicFramePr>
          <xdr:xfrm>
            <a:off x="0" y="0"/>
            <a:ext cx="0" cy="0"/>
          </xdr:xfrm>
          <a:graphic>
            <a:graphicData uri="http://schemas.microsoft.com/office/drawing/2010/slicer">
              <sle:slicer xmlns:sle="http://schemas.microsoft.com/office/drawing/2010/slicer" name="School Type 2"/>
            </a:graphicData>
          </a:graphic>
        </xdr:graphicFrame>
      </mc:Choice>
      <mc:Fallback xmlns="">
        <xdr:sp macro="" textlink="">
          <xdr:nvSpPr>
            <xdr:cNvPr id="0" name=""/>
            <xdr:cNvSpPr>
              <a:spLocks noTextEdit="1"/>
            </xdr:cNvSpPr>
          </xdr:nvSpPr>
          <xdr:spPr>
            <a:xfrm>
              <a:off x="110535" y="2021595"/>
              <a:ext cx="1828800" cy="1825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11</xdr:col>
      <xdr:colOff>543650</xdr:colOff>
      <xdr:row>23</xdr:row>
      <xdr:rowOff>16409</xdr:rowOff>
    </xdr:from>
    <xdr:to>
      <xdr:col>19</xdr:col>
      <xdr:colOff>568477</xdr:colOff>
      <xdr:row>41</xdr:row>
      <xdr:rowOff>168349</xdr:rowOff>
    </xdr:to>
    <xdr:graphicFrame macro="">
      <xdr:nvGraphicFramePr>
        <xdr:cNvPr id="5" name="Chart 4">
          <a:extLst>
            <a:ext uri="{FF2B5EF4-FFF2-40B4-BE49-F238E27FC236}">
              <a16:creationId xmlns:a16="http://schemas.microsoft.com/office/drawing/2014/main" id="{C0A629F7-2D6E-4E6F-A0B3-927DDD45A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441532</xdr:colOff>
      <xdr:row>5</xdr:row>
      <xdr:rowOff>27710</xdr:rowOff>
    </xdr:from>
    <xdr:to>
      <xdr:col>11</xdr:col>
      <xdr:colOff>493057</xdr:colOff>
      <xdr:row>22</xdr:row>
      <xdr:rowOff>171006</xdr:rowOff>
    </xdr:to>
    <xdr:graphicFrame macro="">
      <xdr:nvGraphicFramePr>
        <xdr:cNvPr id="8" name="Chart 7">
          <a:extLst>
            <a:ext uri="{FF2B5EF4-FFF2-40B4-BE49-F238E27FC236}">
              <a16:creationId xmlns:a16="http://schemas.microsoft.com/office/drawing/2014/main" id="{A76BF4D5-3FE2-48B6-9B30-ED7BAE2C0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552823</xdr:colOff>
      <xdr:row>5</xdr:row>
      <xdr:rowOff>39584</xdr:rowOff>
    </xdr:from>
    <xdr:to>
      <xdr:col>19</xdr:col>
      <xdr:colOff>568477</xdr:colOff>
      <xdr:row>23</xdr:row>
      <xdr:rowOff>29882</xdr:rowOff>
    </xdr:to>
    <xdr:graphicFrame macro="">
      <xdr:nvGraphicFramePr>
        <xdr:cNvPr id="9" name="Chart 8">
          <a:extLst>
            <a:ext uri="{FF2B5EF4-FFF2-40B4-BE49-F238E27FC236}">
              <a16:creationId xmlns:a16="http://schemas.microsoft.com/office/drawing/2014/main" id="{299A35B2-CE45-456E-9531-84216F82D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441532</xdr:colOff>
      <xdr:row>23</xdr:row>
      <xdr:rowOff>35442</xdr:rowOff>
    </xdr:from>
    <xdr:to>
      <xdr:col>11</xdr:col>
      <xdr:colOff>493058</xdr:colOff>
      <xdr:row>41</xdr:row>
      <xdr:rowOff>168349</xdr:rowOff>
    </xdr:to>
    <xdr:graphicFrame macro="">
      <xdr:nvGraphicFramePr>
        <xdr:cNvPr id="10" name="Chart 9">
          <a:extLst>
            <a:ext uri="{FF2B5EF4-FFF2-40B4-BE49-F238E27FC236}">
              <a16:creationId xmlns:a16="http://schemas.microsoft.com/office/drawing/2014/main" id="{36DF30FF-CBB1-4B98-A5F1-0967A93F8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39583</xdr:colOff>
      <xdr:row>5</xdr:row>
      <xdr:rowOff>27710</xdr:rowOff>
    </xdr:from>
    <xdr:to>
      <xdr:col>3</xdr:col>
      <xdr:colOff>385947</xdr:colOff>
      <xdr:row>30</xdr:row>
      <xdr:rowOff>152399</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607D5FCB-42E4-A7B2-31C0-6E37E6C8B88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583" y="956978"/>
              <a:ext cx="2186315" cy="4771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39584</xdr:colOff>
      <xdr:row>31</xdr:row>
      <xdr:rowOff>24088</xdr:rowOff>
    </xdr:from>
    <xdr:to>
      <xdr:col>3</xdr:col>
      <xdr:colOff>374171</xdr:colOff>
      <xdr:row>41</xdr:row>
      <xdr:rowOff>168349</xdr:rowOff>
    </xdr:to>
    <mc:AlternateContent xmlns:mc="http://schemas.openxmlformats.org/markup-compatibility/2006" xmlns:a14="http://schemas.microsoft.com/office/drawing/2010/main">
      <mc:Choice Requires="a14">
        <xdr:graphicFrame macro="">
          <xdr:nvGraphicFramePr>
            <xdr:cNvPr id="16" name="School Type 1">
              <a:extLst>
                <a:ext uri="{FF2B5EF4-FFF2-40B4-BE49-F238E27FC236}">
                  <a16:creationId xmlns:a16="http://schemas.microsoft.com/office/drawing/2014/main" id="{2E325280-7475-3AB3-8C80-6F5E7EFE89F8}"/>
                </a:ext>
              </a:extLst>
            </xdr:cNvPr>
            <xdr:cNvGraphicFramePr/>
          </xdr:nvGraphicFramePr>
          <xdr:xfrm>
            <a:off x="0" y="0"/>
            <a:ext cx="0" cy="0"/>
          </xdr:xfrm>
          <a:graphic>
            <a:graphicData uri="http://schemas.microsoft.com/office/drawing/2010/slicer">
              <sle:slicer xmlns:sle="http://schemas.microsoft.com/office/drawing/2010/slicer" name="School Type 1"/>
            </a:graphicData>
          </a:graphic>
        </xdr:graphicFrame>
      </mc:Choice>
      <mc:Fallback xmlns="">
        <xdr:sp macro="" textlink="">
          <xdr:nvSpPr>
            <xdr:cNvPr id="0" name=""/>
            <xdr:cNvSpPr>
              <a:spLocks noTextEdit="1"/>
            </xdr:cNvSpPr>
          </xdr:nvSpPr>
          <xdr:spPr>
            <a:xfrm>
              <a:off x="39584" y="5785551"/>
              <a:ext cx="2174538" cy="2002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36842</xdr:colOff>
      <xdr:row>5</xdr:row>
      <xdr:rowOff>22250</xdr:rowOff>
    </xdr:from>
    <xdr:to>
      <xdr:col>24</xdr:col>
      <xdr:colOff>557892</xdr:colOff>
      <xdr:row>10</xdr:row>
      <xdr:rowOff>64341</xdr:rowOff>
    </xdr:to>
    <mc:AlternateContent xmlns:mc="http://schemas.openxmlformats.org/markup-compatibility/2006" xmlns:a14="http://schemas.microsoft.com/office/drawing/2010/main">
      <mc:Choice Requires="a14">
        <xdr:graphicFrame macro="">
          <xdr:nvGraphicFramePr>
            <xdr:cNvPr id="2" name="Integrity_CheckResult">
              <a:extLst>
                <a:ext uri="{FF2B5EF4-FFF2-40B4-BE49-F238E27FC236}">
                  <a16:creationId xmlns:a16="http://schemas.microsoft.com/office/drawing/2014/main" id="{4A35FA03-933A-6DDF-6AC1-21FBC19FF0B3}"/>
                </a:ext>
              </a:extLst>
            </xdr:cNvPr>
            <xdr:cNvGraphicFramePr/>
          </xdr:nvGraphicFramePr>
          <xdr:xfrm>
            <a:off x="0" y="0"/>
            <a:ext cx="0" cy="0"/>
          </xdr:xfrm>
          <a:graphic>
            <a:graphicData uri="http://schemas.microsoft.com/office/drawing/2010/slicer">
              <sle:slicer xmlns:sle="http://schemas.microsoft.com/office/drawing/2010/slicer" name="Integrity_CheckResult"/>
            </a:graphicData>
          </a:graphic>
        </xdr:graphicFrame>
      </mc:Choice>
      <mc:Fallback xmlns="">
        <xdr:sp macro="" textlink="">
          <xdr:nvSpPr>
            <xdr:cNvPr id="0" name=""/>
            <xdr:cNvSpPr>
              <a:spLocks noTextEdit="1"/>
            </xdr:cNvSpPr>
          </xdr:nvSpPr>
          <xdr:spPr>
            <a:xfrm>
              <a:off x="12358544" y="913952"/>
              <a:ext cx="2985391" cy="933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97.649324305552" missingItemsLimit="1048576" createdVersion="8" refreshedVersion="8" minRefreshableVersion="3" recordCount="96" xr:uid="{909D199C-A61F-4C6C-BE2E-A101142EDBF1}">
  <cacheSource type="worksheet">
    <worksheetSource name="Table1_14"/>
  </cacheSource>
  <cacheFields count="16">
    <cacheField name="Class" numFmtId="0">
      <sharedItems containsSemiMixedTypes="0" containsString="0" containsNumber="1" containsInteger="1" minValue="12" maxValue="12"/>
    </cacheField>
    <cacheField name="Year" numFmtId="0">
      <sharedItems containsSemiMixedTypes="0" containsString="0" containsNumber="1" containsInteger="1" minValue="2022" maxValue="2022"/>
    </cacheField>
    <cacheField name="Region" numFmtId="0">
      <sharedItems count="16">
        <s v="Ajmer"/>
        <s v="Bengaluru"/>
        <s v="Bhopal"/>
        <s v="Bhubaneswar"/>
        <s v="Chandigarh"/>
        <s v="Chennai"/>
        <s v="Dehradun"/>
        <s v="Delhi East"/>
        <s v="Delhi West"/>
        <s v="Guwahati"/>
        <s v="Noida"/>
        <s v="Panchkula"/>
        <s v="Patna"/>
        <s v="Prayagraj"/>
        <s v="Pune"/>
        <s v="Trivandrum"/>
      </sharedItems>
    </cacheField>
    <cacheField name="School Type" numFmtId="0">
      <sharedItems count="6">
        <s v="CTSA"/>
        <s v="GOVT"/>
        <s v="GOVT AIDED"/>
        <s v="INDEPENDENT"/>
        <s v="JNV"/>
        <s v="KV"/>
      </sharedItems>
    </cacheField>
    <cacheField name="Registered" numFmtId="0">
      <sharedItems containsSemiMixedTypes="0" containsString="0" containsNumber="1" containsInteger="1" minValue="0" maxValue="131729"/>
    </cacheField>
    <cacheField name="Appeared" numFmtId="0">
      <sharedItems containsSemiMixedTypes="0" containsString="0" containsNumber="1" containsInteger="1" minValue="0" maxValue="130263"/>
    </cacheField>
    <cacheField name="Appearance Rate" numFmtId="0">
      <sharedItems containsString="0" containsBlank="1" containsNumber="1" minValue="0.95209580838323349" maxValue="1"/>
    </cacheField>
    <cacheField name="No-show Rate" numFmtId="0">
      <sharedItems containsString="0" containsBlank="1" containsNumber="1" minValue="0" maxValue="4.7904191616766512E-2"/>
    </cacheField>
    <cacheField name="Absence Flag" numFmtId="0">
      <sharedItems containsBlank="1"/>
    </cacheField>
    <cacheField name="Base Status" numFmtId="0">
      <sharedItems/>
    </cacheField>
    <cacheField name="Base Flag" numFmtId="0">
      <sharedItems/>
    </cacheField>
    <cacheField name="Anomaly Flag" numFmtId="0">
      <sharedItems/>
    </cacheField>
    <cacheField name="Coverage Share" numFmtId="10">
      <sharedItems containsSemiMixedTypes="0" containsString="0" containsNumber="1" minValue="0" maxValue="9.1553686118526545E-2"/>
    </cacheField>
    <cacheField name="Integrity_RateCheck" numFmtId="0">
      <sharedItems/>
    </cacheField>
    <cacheField name="Integrity_RegisteredCheck" numFmtId="0">
      <sharedItems/>
    </cacheField>
    <cacheField name="Integrity_MissingCheck" numFmtId="0">
      <sharedItems/>
    </cacheField>
  </cacheFields>
  <extLst>
    <ext xmlns:x14="http://schemas.microsoft.com/office/spreadsheetml/2009/9/main" uri="{725AE2AE-9491-48be-B2B4-4EB974FC3084}">
      <x14:pivotCacheDefinition pivotCacheId="11923738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7.660968865741" createdVersion="8" refreshedVersion="8" minRefreshableVersion="3" recordCount="0" supportSubquery="1" supportAdvancedDrill="1" xr:uid="{CB6524AF-DCAE-4DBF-8A94-991DFFEB6904}">
  <cacheSource type="external" connectionId="3"/>
  <cacheFields count="1">
    <cacheField name="[Measures].[FlagCount]" caption="FlagCount" numFmtId="0" hierarchy="23" level="32767"/>
  </cacheFields>
  <cacheHierarchies count="52">
    <cacheHierarchy uniqueName="[Table1_14  2].[Class]" caption="Class" attribute="1" defaultMemberUniqueName="[Table1_14  2].[Class].[All]" allUniqueName="[Table1_14  2].[Class].[All]" dimensionUniqueName="[Table1_14  2]" displayFolder="" count="0" memberValueDatatype="20" unbalanced="0"/>
    <cacheHierarchy uniqueName="[Table1_14  2].[Year]" caption="Year" attribute="1" defaultMemberUniqueName="[Table1_14  2].[Year].[All]" allUniqueName="[Table1_14  2].[Year].[All]" dimensionUniqueName="[Table1_14  2]" displayFolder="" count="0" memberValueDatatype="20" unbalanced="0"/>
    <cacheHierarchy uniqueName="[Table1_14  2].[Region]" caption="Region" attribute="1" defaultMemberUniqueName="[Table1_14  2].[Region].[All]" allUniqueName="[Table1_14  2].[Region].[All]" dimensionUniqueName="[Table1_14  2]" displayFolder="" count="0" memberValueDatatype="130" unbalanced="0"/>
    <cacheHierarchy uniqueName="[Table1_14  2].[School Type]" caption="School Type" attribute="1" defaultMemberUniqueName="[Table1_14  2].[School Type].[All]" allUniqueName="[Table1_14  2].[School Type].[All]" dimensionUniqueName="[Table1_14  2]" displayFolder="" count="0" memberValueDatatype="130" unbalanced="0"/>
    <cacheHierarchy uniqueName="[Table1_14  2].[Registered]" caption="Registered" attribute="1" defaultMemberUniqueName="[Table1_14  2].[Registered].[All]" allUniqueName="[Table1_14  2].[Registered].[All]" dimensionUniqueName="[Table1_14  2]" displayFolder="" count="0" memberValueDatatype="20" unbalanced="0"/>
    <cacheHierarchy uniqueName="[Table1_14  2].[Appeared]" caption="Appeared" attribute="1" defaultMemberUniqueName="[Table1_14  2].[Appeared].[All]" allUniqueName="[Table1_14  2].[Appeared].[All]" dimensionUniqueName="[Table1_14  2]" displayFolder="" count="0" memberValueDatatype="20" unbalanced="0"/>
    <cacheHierarchy uniqueName="[Table1_14  2].[Appearance Rate]" caption="Appearance Rate" attribute="1" defaultMemberUniqueName="[Table1_14  2].[Appearance Rate].[All]" allUniqueName="[Table1_14  2].[Appearance Rate].[All]" dimensionUniqueName="[Table1_14  2]" displayFolder="" count="0" memberValueDatatype="5" unbalanced="0"/>
    <cacheHierarchy uniqueName="[Table1_14  2].[No-show Rate]" caption="No-show Rate" attribute="1" defaultMemberUniqueName="[Table1_14  2].[No-show Rate].[All]" allUniqueName="[Table1_14  2].[No-show Rate].[All]" dimensionUniqueName="[Table1_14  2]" displayFolder="" count="0" memberValueDatatype="5" unbalanced="0"/>
    <cacheHierarchy uniqueName="[Table1_14  2].[Absence Flag]" caption="Absence Flag" attribute="1" defaultMemberUniqueName="[Table1_14  2].[Absence Flag].[All]" allUniqueName="[Table1_14  2].[Absence Flag].[All]" dimensionUniqueName="[Table1_14  2]" displayFolder="" count="0" memberValueDatatype="130" unbalanced="0"/>
    <cacheHierarchy uniqueName="[Table1_14  2].[BaseStatus]" caption="BaseStatus" attribute="1" defaultMemberUniqueName="[Table1_14  2].[BaseStatus].[All]" allUniqueName="[Table1_14  2].[BaseStatus].[All]" dimensionUniqueName="[Table1_14  2]" displayFolder="" count="0" memberValueDatatype="130" unbalanced="0"/>
    <cacheHierarchy uniqueName="[Table1_14  2].[BaseFlag]" caption="BaseFlag" attribute="1" defaultMemberUniqueName="[Table1_14  2].[BaseFlag].[All]" allUniqueName="[Table1_14  2].[BaseFlag].[All]" dimensionUniqueName="[Table1_14  2]" displayFolder="" count="0" memberValueDatatype="130" unbalanced="0"/>
    <cacheHierarchy uniqueName="[Table1_14  2].[AnomalyFlag]" caption="AnomalyFlag" attribute="1" defaultMemberUniqueName="[Table1_14  2].[AnomalyFlag].[All]" allUniqueName="[Table1_14  2].[AnomalyFlag].[All]" dimensionUniqueName="[Table1_14  2]" displayFolder="" count="0" memberValueDatatype="130" unbalanced="0"/>
    <cacheHierarchy uniqueName="[Table1_14  2].[Integrity_CheckType]" caption="Integrity_CheckType" attribute="1" defaultMemberUniqueName="[Table1_14  2].[Integrity_CheckType].[All]" allUniqueName="[Table1_14  2].[Integrity_CheckType].[All]" dimensionUniqueName="[Table1_14  2]" displayFolder="" count="0" memberValueDatatype="130" unbalanced="0"/>
    <cacheHierarchy uniqueName="[Table1_14  2].[Integrity_CheckResult]" caption="Integrity_CheckResult" attribute="1" defaultMemberUniqueName="[Table1_14  2].[Integrity_CheckResult].[All]" allUniqueName="[Table1_14  2].[Integrity_CheckResult].[All]" dimensionUniqueName="[Table1_14  2]" displayFolder="" count="0" memberValueDatatype="130" unbalanced="0"/>
    <cacheHierarchy uniqueName="[Measures].[Count of Integrity_CheckResult]" caption="Count of Integrity_CheckResult" measure="1" displayFolder="" measureGroup="Table1_14  2" count="0">
      <extLst>
        <ext xmlns:x15="http://schemas.microsoft.com/office/spreadsheetml/2010/11/main" uri="{B97F6D7D-B522-45F9-BDA1-12C45D357490}">
          <x15:cacheHierarchy aggregatedColumn="13"/>
        </ext>
      </extLst>
    </cacheHierarchy>
    <cacheHierarchy uniqueName="[Measures].[Count of School Type]" caption="Count of School Type" measure="1" displayFolder="" measureGroup="Table1_14  2" count="0">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extLst>
        <ext xmlns:x15="http://schemas.microsoft.com/office/spreadsheetml/2010/11/main" uri="{B97F6D7D-B522-45F9-BDA1-12C45D357490}">
          <x15:cacheHierarchy aggregatedColumn="6"/>
        </ext>
      </extLst>
    </cacheHierarchy>
    <cacheHierarchy uniqueName="[Measures].[Sum of Registered]" caption="Sum of Registered" measure="1" displayFolder="" measureGroup="Table1_14  2" count="0">
      <extLst>
        <ext xmlns:x15="http://schemas.microsoft.com/office/spreadsheetml/2010/11/main" uri="{B97F6D7D-B522-45F9-BDA1-12C45D357490}">
          <x15:cacheHierarchy aggregatedColumn="4"/>
        </ext>
      </extLst>
    </cacheHierarchy>
    <cacheHierarchy uniqueName="[Measures].[Min of Registered]" caption="Min of Registered" measure="1" displayFolder="" measureGroup="Table1_14  2" count="0">
      <extLst>
        <ext xmlns:x15="http://schemas.microsoft.com/office/spreadsheetml/2010/11/main" uri="{B97F6D7D-B522-45F9-BDA1-12C45D357490}">
          <x15:cacheHierarchy aggregatedColumn="4"/>
        </ext>
      </extLst>
    </cacheHierarchy>
    <cacheHierarchy uniqueName="[Measures].[Count of BaseFlag]" caption="Count of BaseFlag" measure="1" displayFolder="" measureGroup="Table1_14  2" count="0">
      <extLst>
        <ext xmlns:x15="http://schemas.microsoft.com/office/spreadsheetml/2010/11/main" uri="{B97F6D7D-B522-45F9-BDA1-12C45D357490}">
          <x15:cacheHierarchy aggregatedColumn="10"/>
        </ext>
      </extLst>
    </cacheHierarchy>
    <cacheHierarchy uniqueName="[Measures].[Count of AnomalyFlag]" caption="Count of AnomalyFlag" measure="1" displayFolder="" measureGroup="Table1_14  2" count="0">
      <extLst>
        <ext xmlns:x15="http://schemas.microsoft.com/office/spreadsheetml/2010/11/main" uri="{B97F6D7D-B522-45F9-BDA1-12C45D357490}">
          <x15:cacheHierarchy aggregatedColumn="11"/>
        </ext>
      </extLst>
    </cacheHierarchy>
    <cacheHierarchy uniqueName="[Measures].[FlagCount]" caption="FlagCount" measure="1" displayFolder="" measureGroup="Table1_14  2" count="0" oneField="1">
      <fieldsUsage count="1">
        <fieldUsage x="0"/>
      </fieldsUsage>
    </cacheHierarchy>
    <cacheHierarchy uniqueName="[Measures].[TotalCount]" caption="TotalCount" measure="1" displayFolder="" measureGroup="Table1_14  2" count="0"/>
    <cacheHierarchy uniqueName="[Measures].[PercentFlagged]" caption="PercentFlagged" measure="1" displayFolder="" measureGroup="Table1_14  2" count="0"/>
    <cacheHierarchy uniqueName="[Measures].[Percentile25]" caption="Percentile25" measure="1" displayFolder="" measureGroup="Table1_14  2" count="0"/>
    <cacheHierarchy uniqueName="[Measures].[MinNonZeroBase]" caption="MinNonZeroBase" measure="1" displayFolder="" measureGroup="Table1_14  2" count="0"/>
    <cacheHierarchy uniqueName="[Measures].[MedianBase]" caption="MedianBase" measure="1" displayFolder="" measureGroup="Table1_14  2" count="0"/>
    <cacheHierarchy uniqueName="[Measures].[CountBelow30]" caption="CountBelow30" measure="1" displayFolder="" measureGroup="Table1_14  2" count="0"/>
    <cacheHierarchy uniqueName="[Measures].[CountBelow50]" caption="CountBelow50" measure="1" displayFolder="" measureGroup="Table1_14  2" count="0"/>
    <cacheHierarchy uniqueName="[Measures].[CountBelow100]" caption="CountBelow100" measure="1" displayFolder="" measureGroup="Table1_14  2" count="0"/>
    <cacheHierarchy uniqueName="[Measures].[CountBelow1000]" caption="CountBelow1000" measure="1" displayFolder="" measureGroup="Table1_14  2" count="0"/>
    <cacheHierarchy uniqueName="[Measures].[MinNonZeroRate]" caption="MinNonZeroRate" measure="1" displayFolder="" measureGroup="Table1_14  2" count="0"/>
    <cacheHierarchy uniqueName="[Measures].[Percentile25Rate]" caption="Percentile25Rate" measure="1" displayFolder="" measureGroup="Table1_14  2" count="0"/>
    <cacheHierarchy uniqueName="[Measures].[MedianRate]" caption="MedianRate" measure="1" displayFolder="" measureGroup="Table1_14  2" count="0"/>
    <cacheHierarchy uniqueName="[Measures].[CountBelow90]" caption="CountBelow90" measure="1" displayFolder="" measureGroup="Table1_14  2" count="0"/>
    <cacheHierarchy uniqueName="[Measures].[CountBelow95]" caption="CountBelow95" measure="1" displayFolder="" measureGroup="Table1_14  2" count="0"/>
    <cacheHierarchy uniqueName="[Measures].[CountBelow96]" caption="CountBelow96" measure="1" displayFolder="" measureGroup="Table1_14  2" count="0"/>
    <cacheHierarchy uniqueName="[Measures].[CountBelow98]" caption="CountBelow98" measure="1" displayFolder="" measureGroup="Table1_14  2" count="0"/>
    <cacheHierarchy uniqueName="[Measures].[CountBelow98.8]" caption="CountBelow98.8" measure="1" displayFolder="" measureGroup="Table1_14  2" count="0"/>
    <cacheHierarchy uniqueName="[Measures].[CountBelow98.5]" caption="CountBelow98.5" measure="1" displayFolder="" measureGroup="Table1_14  2" count="0"/>
    <cacheHierarchy uniqueName="[Measures].[CountBelow98.6]" caption="CountBelow98.6" measure="1" displayFolder="" measureGroup="Table1_14  2" count="0"/>
    <cacheHierarchy uniqueName="[Measures].[CountBelow98.7]" caption="CountBelow98.7" measure="1" displayFolder="" measureGroup="Table1_14  2" count="0"/>
    <cacheHierarchy uniqueName="[Measures].[CountBelow98.9]" caption="CountBelow98.9" measure="1" displayFolder="" measureGroup="Table1_14  2" count="0"/>
    <cacheHierarchy uniqueName="[Measures].[CountBelow99]" caption="CountBelow99" measure="1" displayFolder="" measureGroup="Table1_14  2" count="0"/>
    <cacheHierarchy uniqueName="[Measures].[Blank FieldsInAR]" caption="Blank FieldsInAR" measure="1" displayFolder="" measureGroup="Table1_14  2" count="0"/>
    <cacheHierarchy uniqueName="[Measures].[NonEmptyRowsInAR]" caption="NonEmptyRowsInAR" measure="1" displayFolder="" measureGroup="Table1_14  2" count="0"/>
    <cacheHierarchy uniqueName="[Measures].[TotalCountAR]" caption="TotalCountAR" measure="1" displayFolder="" measureGroup="Table1_14  2" count="0"/>
    <cacheHierarchy uniqueName="[Measures].[Coverage Share]" caption="Coverage Share" measure="1" displayFolder="" measureGroup="Table1_14  2" count="0"/>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ies>
  <kpis count="0"/>
  <dimensions count="2">
    <dimension measure="1" name="Measures" uniqueName="[Measures]" caption="Measures"/>
    <dimension name="Table1_14  2" uniqueName="[Table1_14  2]" caption="Table1_14  2"/>
  </dimensions>
  <measureGroups count="1">
    <measureGroup name="Table1_14  2" caption="Table1_14  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7.660969560187" createdVersion="8" refreshedVersion="8" minRefreshableVersion="3" recordCount="0" supportSubquery="1" supportAdvancedDrill="1" xr:uid="{BE3CB598-B82E-4F3B-8017-37A331E570B2}">
  <cacheSource type="external" connectionId="3"/>
  <cacheFields count="1">
    <cacheField name="[Measures].[TotalCount]" caption="TotalCount" numFmtId="0" hierarchy="24" level="32767"/>
  </cacheFields>
  <cacheHierarchies count="52">
    <cacheHierarchy uniqueName="[Table1_14  2].[Class]" caption="Class" attribute="1" defaultMemberUniqueName="[Table1_14  2].[Class].[All]" allUniqueName="[Table1_14  2].[Class].[All]" dimensionUniqueName="[Table1_14  2]" displayFolder="" count="0" memberValueDatatype="20" unbalanced="0"/>
    <cacheHierarchy uniqueName="[Table1_14  2].[Year]" caption="Year" attribute="1" defaultMemberUniqueName="[Table1_14  2].[Year].[All]" allUniqueName="[Table1_14  2].[Year].[All]" dimensionUniqueName="[Table1_14  2]" displayFolder="" count="0" memberValueDatatype="20" unbalanced="0"/>
    <cacheHierarchy uniqueName="[Table1_14  2].[Region]" caption="Region" attribute="1" defaultMemberUniqueName="[Table1_14  2].[Region].[All]" allUniqueName="[Table1_14  2].[Region].[All]" dimensionUniqueName="[Table1_14  2]" displayFolder="" count="0" memberValueDatatype="130" unbalanced="0"/>
    <cacheHierarchy uniqueName="[Table1_14  2].[School Type]" caption="School Type" attribute="1" defaultMemberUniqueName="[Table1_14  2].[School Type].[All]" allUniqueName="[Table1_14  2].[School Type].[All]" dimensionUniqueName="[Table1_14  2]" displayFolder="" count="0" memberValueDatatype="130" unbalanced="0"/>
    <cacheHierarchy uniqueName="[Table1_14  2].[Registered]" caption="Registered" attribute="1" defaultMemberUniqueName="[Table1_14  2].[Registered].[All]" allUniqueName="[Table1_14  2].[Registered].[All]" dimensionUniqueName="[Table1_14  2]" displayFolder="" count="0" memberValueDatatype="20" unbalanced="0"/>
    <cacheHierarchy uniqueName="[Table1_14  2].[Appeared]" caption="Appeared" attribute="1" defaultMemberUniqueName="[Table1_14  2].[Appeared].[All]" allUniqueName="[Table1_14  2].[Appeared].[All]" dimensionUniqueName="[Table1_14  2]" displayFolder="" count="0" memberValueDatatype="20" unbalanced="0"/>
    <cacheHierarchy uniqueName="[Table1_14  2].[Appearance Rate]" caption="Appearance Rate" attribute="1" defaultMemberUniqueName="[Table1_14  2].[Appearance Rate].[All]" allUniqueName="[Table1_14  2].[Appearance Rate].[All]" dimensionUniqueName="[Table1_14  2]" displayFolder="" count="0" memberValueDatatype="5" unbalanced="0"/>
    <cacheHierarchy uniqueName="[Table1_14  2].[No-show Rate]" caption="No-show Rate" attribute="1" defaultMemberUniqueName="[Table1_14  2].[No-show Rate].[All]" allUniqueName="[Table1_14  2].[No-show Rate].[All]" dimensionUniqueName="[Table1_14  2]" displayFolder="" count="0" memberValueDatatype="5" unbalanced="0"/>
    <cacheHierarchy uniqueName="[Table1_14  2].[Absence Flag]" caption="Absence Flag" attribute="1" defaultMemberUniqueName="[Table1_14  2].[Absence Flag].[All]" allUniqueName="[Table1_14  2].[Absence Flag].[All]" dimensionUniqueName="[Table1_14  2]" displayFolder="" count="0" memberValueDatatype="130" unbalanced="0"/>
    <cacheHierarchy uniqueName="[Table1_14  2].[BaseStatus]" caption="BaseStatus" attribute="1" defaultMemberUniqueName="[Table1_14  2].[BaseStatus].[All]" allUniqueName="[Table1_14  2].[BaseStatus].[All]" dimensionUniqueName="[Table1_14  2]" displayFolder="" count="0" memberValueDatatype="130" unbalanced="0"/>
    <cacheHierarchy uniqueName="[Table1_14  2].[BaseFlag]" caption="BaseFlag" attribute="1" defaultMemberUniqueName="[Table1_14  2].[BaseFlag].[All]" allUniqueName="[Table1_14  2].[BaseFlag].[All]" dimensionUniqueName="[Table1_14  2]" displayFolder="" count="0" memberValueDatatype="130" unbalanced="0"/>
    <cacheHierarchy uniqueName="[Table1_14  2].[AnomalyFlag]" caption="AnomalyFlag" attribute="1" defaultMemberUniqueName="[Table1_14  2].[AnomalyFlag].[All]" allUniqueName="[Table1_14  2].[AnomalyFlag].[All]" dimensionUniqueName="[Table1_14  2]" displayFolder="" count="0" memberValueDatatype="130" unbalanced="0"/>
    <cacheHierarchy uniqueName="[Table1_14  2].[Integrity_CheckType]" caption="Integrity_CheckType" attribute="1" defaultMemberUniqueName="[Table1_14  2].[Integrity_CheckType].[All]" allUniqueName="[Table1_14  2].[Integrity_CheckType].[All]" dimensionUniqueName="[Table1_14  2]" displayFolder="" count="0" memberValueDatatype="130" unbalanced="0"/>
    <cacheHierarchy uniqueName="[Table1_14  2].[Integrity_CheckResult]" caption="Integrity_CheckResult" attribute="1" defaultMemberUniqueName="[Table1_14  2].[Integrity_CheckResult].[All]" allUniqueName="[Table1_14  2].[Integrity_CheckResult].[All]" dimensionUniqueName="[Table1_14  2]" displayFolder="" count="0" memberValueDatatype="130" unbalanced="0"/>
    <cacheHierarchy uniqueName="[Measures].[Count of Integrity_CheckResult]" caption="Count of Integrity_CheckResult" measure="1" displayFolder="" measureGroup="Table1_14  2" count="0">
      <extLst>
        <ext xmlns:x15="http://schemas.microsoft.com/office/spreadsheetml/2010/11/main" uri="{B97F6D7D-B522-45F9-BDA1-12C45D357490}">
          <x15:cacheHierarchy aggregatedColumn="13"/>
        </ext>
      </extLst>
    </cacheHierarchy>
    <cacheHierarchy uniqueName="[Measures].[Count of School Type]" caption="Count of School Type" measure="1" displayFolder="" measureGroup="Table1_14  2" count="0">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extLst>
        <ext xmlns:x15="http://schemas.microsoft.com/office/spreadsheetml/2010/11/main" uri="{B97F6D7D-B522-45F9-BDA1-12C45D357490}">
          <x15:cacheHierarchy aggregatedColumn="6"/>
        </ext>
      </extLst>
    </cacheHierarchy>
    <cacheHierarchy uniqueName="[Measures].[Sum of Registered]" caption="Sum of Registered" measure="1" displayFolder="" measureGroup="Table1_14  2" count="0">
      <extLst>
        <ext xmlns:x15="http://schemas.microsoft.com/office/spreadsheetml/2010/11/main" uri="{B97F6D7D-B522-45F9-BDA1-12C45D357490}">
          <x15:cacheHierarchy aggregatedColumn="4"/>
        </ext>
      </extLst>
    </cacheHierarchy>
    <cacheHierarchy uniqueName="[Measures].[Min of Registered]" caption="Min of Registered" measure="1" displayFolder="" measureGroup="Table1_14  2" count="0">
      <extLst>
        <ext xmlns:x15="http://schemas.microsoft.com/office/spreadsheetml/2010/11/main" uri="{B97F6D7D-B522-45F9-BDA1-12C45D357490}">
          <x15:cacheHierarchy aggregatedColumn="4"/>
        </ext>
      </extLst>
    </cacheHierarchy>
    <cacheHierarchy uniqueName="[Measures].[Count of BaseFlag]" caption="Count of BaseFlag" measure="1" displayFolder="" measureGroup="Table1_14  2" count="0">
      <extLst>
        <ext xmlns:x15="http://schemas.microsoft.com/office/spreadsheetml/2010/11/main" uri="{B97F6D7D-B522-45F9-BDA1-12C45D357490}">
          <x15:cacheHierarchy aggregatedColumn="10"/>
        </ext>
      </extLst>
    </cacheHierarchy>
    <cacheHierarchy uniqueName="[Measures].[Count of AnomalyFlag]" caption="Count of AnomalyFlag" measure="1" displayFolder="" measureGroup="Table1_14  2" count="0">
      <extLst>
        <ext xmlns:x15="http://schemas.microsoft.com/office/spreadsheetml/2010/11/main" uri="{B97F6D7D-B522-45F9-BDA1-12C45D357490}">
          <x15:cacheHierarchy aggregatedColumn="11"/>
        </ext>
      </extLst>
    </cacheHierarchy>
    <cacheHierarchy uniqueName="[Measures].[FlagCount]" caption="FlagCount" measure="1" displayFolder="" measureGroup="Table1_14  2" count="0"/>
    <cacheHierarchy uniqueName="[Measures].[TotalCount]" caption="TotalCount" measure="1" displayFolder="" measureGroup="Table1_14  2" count="0" oneField="1">
      <fieldsUsage count="1">
        <fieldUsage x="0"/>
      </fieldsUsage>
    </cacheHierarchy>
    <cacheHierarchy uniqueName="[Measures].[PercentFlagged]" caption="PercentFlagged" measure="1" displayFolder="" measureGroup="Table1_14  2" count="0"/>
    <cacheHierarchy uniqueName="[Measures].[Percentile25]" caption="Percentile25" measure="1" displayFolder="" measureGroup="Table1_14  2" count="0"/>
    <cacheHierarchy uniqueName="[Measures].[MinNonZeroBase]" caption="MinNonZeroBase" measure="1" displayFolder="" measureGroup="Table1_14  2" count="0"/>
    <cacheHierarchy uniqueName="[Measures].[MedianBase]" caption="MedianBase" measure="1" displayFolder="" measureGroup="Table1_14  2" count="0"/>
    <cacheHierarchy uniqueName="[Measures].[CountBelow30]" caption="CountBelow30" measure="1" displayFolder="" measureGroup="Table1_14  2" count="0"/>
    <cacheHierarchy uniqueName="[Measures].[CountBelow50]" caption="CountBelow50" measure="1" displayFolder="" measureGroup="Table1_14  2" count="0"/>
    <cacheHierarchy uniqueName="[Measures].[CountBelow100]" caption="CountBelow100" measure="1" displayFolder="" measureGroup="Table1_14  2" count="0"/>
    <cacheHierarchy uniqueName="[Measures].[CountBelow1000]" caption="CountBelow1000" measure="1" displayFolder="" measureGroup="Table1_14  2" count="0"/>
    <cacheHierarchy uniqueName="[Measures].[MinNonZeroRate]" caption="MinNonZeroRate" measure="1" displayFolder="" measureGroup="Table1_14  2" count="0"/>
    <cacheHierarchy uniqueName="[Measures].[Percentile25Rate]" caption="Percentile25Rate" measure="1" displayFolder="" measureGroup="Table1_14  2" count="0"/>
    <cacheHierarchy uniqueName="[Measures].[MedianRate]" caption="MedianRate" measure="1" displayFolder="" measureGroup="Table1_14  2" count="0"/>
    <cacheHierarchy uniqueName="[Measures].[CountBelow90]" caption="CountBelow90" measure="1" displayFolder="" measureGroup="Table1_14  2" count="0"/>
    <cacheHierarchy uniqueName="[Measures].[CountBelow95]" caption="CountBelow95" measure="1" displayFolder="" measureGroup="Table1_14  2" count="0"/>
    <cacheHierarchy uniqueName="[Measures].[CountBelow96]" caption="CountBelow96" measure="1" displayFolder="" measureGroup="Table1_14  2" count="0"/>
    <cacheHierarchy uniqueName="[Measures].[CountBelow98]" caption="CountBelow98" measure="1" displayFolder="" measureGroup="Table1_14  2" count="0"/>
    <cacheHierarchy uniqueName="[Measures].[CountBelow98.8]" caption="CountBelow98.8" measure="1" displayFolder="" measureGroup="Table1_14  2" count="0"/>
    <cacheHierarchy uniqueName="[Measures].[CountBelow98.5]" caption="CountBelow98.5" measure="1" displayFolder="" measureGroup="Table1_14  2" count="0"/>
    <cacheHierarchy uniqueName="[Measures].[CountBelow98.6]" caption="CountBelow98.6" measure="1" displayFolder="" measureGroup="Table1_14  2" count="0"/>
    <cacheHierarchy uniqueName="[Measures].[CountBelow98.7]" caption="CountBelow98.7" measure="1" displayFolder="" measureGroup="Table1_14  2" count="0"/>
    <cacheHierarchy uniqueName="[Measures].[CountBelow98.9]" caption="CountBelow98.9" measure="1" displayFolder="" measureGroup="Table1_14  2" count="0"/>
    <cacheHierarchy uniqueName="[Measures].[CountBelow99]" caption="CountBelow99" measure="1" displayFolder="" measureGroup="Table1_14  2" count="0"/>
    <cacheHierarchy uniqueName="[Measures].[Blank FieldsInAR]" caption="Blank FieldsInAR" measure="1" displayFolder="" measureGroup="Table1_14  2" count="0"/>
    <cacheHierarchy uniqueName="[Measures].[NonEmptyRowsInAR]" caption="NonEmptyRowsInAR" measure="1" displayFolder="" measureGroup="Table1_14  2" count="0"/>
    <cacheHierarchy uniqueName="[Measures].[TotalCountAR]" caption="TotalCountAR" measure="1" displayFolder="" measureGroup="Table1_14  2" count="0"/>
    <cacheHierarchy uniqueName="[Measures].[Coverage Share]" caption="Coverage Share" measure="1" displayFolder="" measureGroup="Table1_14  2" count="0"/>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ies>
  <kpis count="0"/>
  <dimensions count="2">
    <dimension measure="1" name="Measures" uniqueName="[Measures]" caption="Measures"/>
    <dimension name="Table1_14  2" uniqueName="[Table1_14  2]" caption="Table1_14  2"/>
  </dimensions>
  <measureGroups count="1">
    <measureGroup name="Table1_14  2" caption="Table1_14  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7.660978125001" createdVersion="8" refreshedVersion="8" minRefreshableVersion="3" recordCount="0" supportSubquery="1" supportAdvancedDrill="1" xr:uid="{A47E7B49-56CE-499A-830F-EB6851C0A245}">
  <cacheSource type="external" connectionId="3"/>
  <cacheFields count="15">
    <cacheField name="[Measures].[MinNonZeroRate]" caption="MinNonZeroRate" numFmtId="0" hierarchy="33" level="32767"/>
    <cacheField name="[Measures].[Percentile25Rate]" caption="Percentile25Rate" numFmtId="0" hierarchy="34" level="32767"/>
    <cacheField name="[Measures].[MedianRate]" caption="MedianRate" numFmtId="0" hierarchy="35" level="32767"/>
    <cacheField name="[Measures].[CountBelow90]" caption="CountBelow90" numFmtId="0" hierarchy="36" level="32767"/>
    <cacheField name="[Measures].[CountBelow95]" caption="CountBelow95" numFmtId="0" hierarchy="37" level="32767"/>
    <cacheField name="[Measures].[CountBelow96]" caption="CountBelow96" numFmtId="0" hierarchy="38" level="32767"/>
    <cacheField name="[Measures].[CountBelow98]" caption="CountBelow98" numFmtId="0" hierarchy="39" level="32767"/>
    <cacheField name="[Measures].[CountBelow98.8]" caption="CountBelow98.8" numFmtId="0" hierarchy="40" level="32767"/>
    <cacheField name="[Measures].[CountBelow98.5]" caption="CountBelow98.5" numFmtId="0" hierarchy="41" level="32767"/>
    <cacheField name="[Measures].[CountBelow98.6]" caption="CountBelow98.6" numFmtId="0" hierarchy="42" level="32767"/>
    <cacheField name="[Measures].[CountBelow98.7]" caption="CountBelow98.7" numFmtId="0" hierarchy="43" level="32767"/>
    <cacheField name="[Measures].[CountBelow98.9]" caption="CountBelow98.9" numFmtId="0" hierarchy="44" level="32767"/>
    <cacheField name="[Measures].[CountBelow99]" caption="CountBelow99" numFmtId="0" hierarchy="45" level="32767"/>
    <cacheField name="[Table1_14  2].[Region].[Region]" caption="Region" numFmtId="0" hierarchy="2" level="1">
      <sharedItems containsSemiMixedTypes="0" containsNonDate="0" containsString="0"/>
    </cacheField>
    <cacheField name="[Table1_14  2].[School Type].[School Type]" caption="School Type" numFmtId="0" hierarchy="3" level="1">
      <sharedItems containsSemiMixedTypes="0" containsNonDate="0" containsString="0"/>
    </cacheField>
  </cacheFields>
  <cacheHierarchies count="52">
    <cacheHierarchy uniqueName="[Table1_14  2].[Class]" caption="Class" attribute="1" defaultMemberUniqueName="[Table1_14  2].[Class].[All]" allUniqueName="[Table1_14  2].[Class].[All]" dimensionUniqueName="[Table1_14  2]" displayFolder="" count="0" memberValueDatatype="20" unbalanced="0"/>
    <cacheHierarchy uniqueName="[Table1_14  2].[Year]" caption="Year" attribute="1" defaultMemberUniqueName="[Table1_14  2].[Year].[All]" allUniqueName="[Table1_14  2].[Year].[All]" dimensionUniqueName="[Table1_14  2]" displayFolder="" count="0" memberValueDatatype="20" unbalanced="0"/>
    <cacheHierarchy uniqueName="[Table1_14  2].[Region]" caption="Region" attribute="1" defaultMemberUniqueName="[Table1_14  2].[Region].[All]" allUniqueName="[Table1_14  2].[Region].[All]" dimensionUniqueName="[Table1_14  2]" displayFolder="" count="2" memberValueDatatype="130" unbalanced="0">
      <fieldsUsage count="2">
        <fieldUsage x="-1"/>
        <fieldUsage x="13"/>
      </fieldsUsage>
    </cacheHierarchy>
    <cacheHierarchy uniqueName="[Table1_14  2].[School Type]" caption="School Type" attribute="1" defaultMemberUniqueName="[Table1_14  2].[School Type].[All]" allUniqueName="[Table1_14  2].[School Type].[All]" dimensionUniqueName="[Table1_14  2]" displayFolder="" count="2" memberValueDatatype="130" unbalanced="0">
      <fieldsUsage count="2">
        <fieldUsage x="-1"/>
        <fieldUsage x="14"/>
      </fieldsUsage>
    </cacheHierarchy>
    <cacheHierarchy uniqueName="[Table1_14  2].[Registered]" caption="Registered" attribute="1" defaultMemberUniqueName="[Table1_14  2].[Registered].[All]" allUniqueName="[Table1_14  2].[Registered].[All]" dimensionUniqueName="[Table1_14  2]" displayFolder="" count="0" memberValueDatatype="20" unbalanced="0"/>
    <cacheHierarchy uniqueName="[Table1_14  2].[Appeared]" caption="Appeared" attribute="1" defaultMemberUniqueName="[Table1_14  2].[Appeared].[All]" allUniqueName="[Table1_14  2].[Appeared].[All]" dimensionUniqueName="[Table1_14  2]" displayFolder="" count="0" memberValueDatatype="20" unbalanced="0"/>
    <cacheHierarchy uniqueName="[Table1_14  2].[Appearance Rate]" caption="Appearance Rate" attribute="1" defaultMemberUniqueName="[Table1_14  2].[Appearance Rate].[All]" allUniqueName="[Table1_14  2].[Appearance Rate].[All]" dimensionUniqueName="[Table1_14  2]" displayFolder="" count="0" memberValueDatatype="5" unbalanced="0"/>
    <cacheHierarchy uniqueName="[Table1_14  2].[No-show Rate]" caption="No-show Rate" attribute="1" defaultMemberUniqueName="[Table1_14  2].[No-show Rate].[All]" allUniqueName="[Table1_14  2].[No-show Rate].[All]" dimensionUniqueName="[Table1_14  2]" displayFolder="" count="0" memberValueDatatype="5" unbalanced="0"/>
    <cacheHierarchy uniqueName="[Table1_14  2].[Absence Flag]" caption="Absence Flag" attribute="1" defaultMemberUniqueName="[Table1_14  2].[Absence Flag].[All]" allUniqueName="[Table1_14  2].[Absence Flag].[All]" dimensionUniqueName="[Table1_14  2]" displayFolder="" count="0" memberValueDatatype="130" unbalanced="0"/>
    <cacheHierarchy uniqueName="[Table1_14  2].[BaseStatus]" caption="BaseStatus" attribute="1" defaultMemberUniqueName="[Table1_14  2].[BaseStatus].[All]" allUniqueName="[Table1_14  2].[BaseStatus].[All]" dimensionUniqueName="[Table1_14  2]" displayFolder="" count="0" memberValueDatatype="130" unbalanced="0"/>
    <cacheHierarchy uniqueName="[Table1_14  2].[BaseFlag]" caption="BaseFlag" attribute="1" defaultMemberUniqueName="[Table1_14  2].[BaseFlag].[All]" allUniqueName="[Table1_14  2].[BaseFlag].[All]" dimensionUniqueName="[Table1_14  2]" displayFolder="" count="0" memberValueDatatype="130" unbalanced="0"/>
    <cacheHierarchy uniqueName="[Table1_14  2].[AnomalyFlag]" caption="AnomalyFlag" attribute="1" defaultMemberUniqueName="[Table1_14  2].[AnomalyFlag].[All]" allUniqueName="[Table1_14  2].[AnomalyFlag].[All]" dimensionUniqueName="[Table1_14  2]" displayFolder="" count="0" memberValueDatatype="130" unbalanced="0"/>
    <cacheHierarchy uniqueName="[Table1_14  2].[Integrity_CheckType]" caption="Integrity_CheckType" attribute="1" defaultMemberUniqueName="[Table1_14  2].[Integrity_CheckType].[All]" allUniqueName="[Table1_14  2].[Integrity_CheckType].[All]" dimensionUniqueName="[Table1_14  2]" displayFolder="" count="0" memberValueDatatype="130" unbalanced="0"/>
    <cacheHierarchy uniqueName="[Table1_14  2].[Integrity_CheckResult]" caption="Integrity_CheckResult" attribute="1" defaultMemberUniqueName="[Table1_14  2].[Integrity_CheckResult].[All]" allUniqueName="[Table1_14  2].[Integrity_CheckResult].[All]" dimensionUniqueName="[Table1_14  2]" displayFolder="" count="0" memberValueDatatype="130" unbalanced="0"/>
    <cacheHierarchy uniqueName="[Measures].[Count of Integrity_CheckResult]" caption="Count of Integrity_CheckResult" measure="1" displayFolder="" measureGroup="Table1_14  2" count="0">
      <extLst>
        <ext xmlns:x15="http://schemas.microsoft.com/office/spreadsheetml/2010/11/main" uri="{B97F6D7D-B522-45F9-BDA1-12C45D357490}">
          <x15:cacheHierarchy aggregatedColumn="13"/>
        </ext>
      </extLst>
    </cacheHierarchy>
    <cacheHierarchy uniqueName="[Measures].[Count of School Type]" caption="Count of School Type" measure="1" displayFolder="" measureGroup="Table1_14  2" count="0">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extLst>
        <ext xmlns:x15="http://schemas.microsoft.com/office/spreadsheetml/2010/11/main" uri="{B97F6D7D-B522-45F9-BDA1-12C45D357490}">
          <x15:cacheHierarchy aggregatedColumn="6"/>
        </ext>
      </extLst>
    </cacheHierarchy>
    <cacheHierarchy uniqueName="[Measures].[Sum of Registered]" caption="Sum of Registered" measure="1" displayFolder="" measureGroup="Table1_14  2" count="0">
      <extLst>
        <ext xmlns:x15="http://schemas.microsoft.com/office/spreadsheetml/2010/11/main" uri="{B97F6D7D-B522-45F9-BDA1-12C45D357490}">
          <x15:cacheHierarchy aggregatedColumn="4"/>
        </ext>
      </extLst>
    </cacheHierarchy>
    <cacheHierarchy uniqueName="[Measures].[Min of Registered]" caption="Min of Registered" measure="1" displayFolder="" measureGroup="Table1_14  2" count="0">
      <extLst>
        <ext xmlns:x15="http://schemas.microsoft.com/office/spreadsheetml/2010/11/main" uri="{B97F6D7D-B522-45F9-BDA1-12C45D357490}">
          <x15:cacheHierarchy aggregatedColumn="4"/>
        </ext>
      </extLst>
    </cacheHierarchy>
    <cacheHierarchy uniqueName="[Measures].[Count of BaseFlag]" caption="Count of BaseFlag" measure="1" displayFolder="" measureGroup="Table1_14  2" count="0">
      <extLst>
        <ext xmlns:x15="http://schemas.microsoft.com/office/spreadsheetml/2010/11/main" uri="{B97F6D7D-B522-45F9-BDA1-12C45D357490}">
          <x15:cacheHierarchy aggregatedColumn="10"/>
        </ext>
      </extLst>
    </cacheHierarchy>
    <cacheHierarchy uniqueName="[Measures].[Count of AnomalyFlag]" caption="Count of AnomalyFlag" measure="1" displayFolder="" measureGroup="Table1_14  2" count="0">
      <extLst>
        <ext xmlns:x15="http://schemas.microsoft.com/office/spreadsheetml/2010/11/main" uri="{B97F6D7D-B522-45F9-BDA1-12C45D357490}">
          <x15:cacheHierarchy aggregatedColumn="11"/>
        </ext>
      </extLst>
    </cacheHierarchy>
    <cacheHierarchy uniqueName="[Measures].[FlagCount]" caption="FlagCount" measure="1" displayFolder="" measureGroup="Table1_14  2" count="0"/>
    <cacheHierarchy uniqueName="[Measures].[TotalCount]" caption="TotalCount" measure="1" displayFolder="" measureGroup="Table1_14  2" count="0"/>
    <cacheHierarchy uniqueName="[Measures].[PercentFlagged]" caption="PercentFlagged" measure="1" displayFolder="" measureGroup="Table1_14  2" count="0"/>
    <cacheHierarchy uniqueName="[Measures].[Percentile25]" caption="Percentile25" measure="1" displayFolder="" measureGroup="Table1_14  2" count="0"/>
    <cacheHierarchy uniqueName="[Measures].[MinNonZeroBase]" caption="MinNonZeroBase" measure="1" displayFolder="" measureGroup="Table1_14  2" count="0"/>
    <cacheHierarchy uniqueName="[Measures].[MedianBase]" caption="MedianBase" measure="1" displayFolder="" measureGroup="Table1_14  2" count="0"/>
    <cacheHierarchy uniqueName="[Measures].[CountBelow30]" caption="CountBelow30" measure="1" displayFolder="" measureGroup="Table1_14  2" count="0"/>
    <cacheHierarchy uniqueName="[Measures].[CountBelow50]" caption="CountBelow50" measure="1" displayFolder="" measureGroup="Table1_14  2" count="0"/>
    <cacheHierarchy uniqueName="[Measures].[CountBelow100]" caption="CountBelow100" measure="1" displayFolder="" measureGroup="Table1_14  2" count="0"/>
    <cacheHierarchy uniqueName="[Measures].[CountBelow1000]" caption="CountBelow1000" measure="1" displayFolder="" measureGroup="Table1_14  2" count="0"/>
    <cacheHierarchy uniqueName="[Measures].[MinNonZeroRate]" caption="MinNonZeroRate" measure="1" displayFolder="" measureGroup="Table1_14  2" count="0" oneField="1">
      <fieldsUsage count="1">
        <fieldUsage x="0"/>
      </fieldsUsage>
    </cacheHierarchy>
    <cacheHierarchy uniqueName="[Measures].[Percentile25Rate]" caption="Percentile25Rate" measure="1" displayFolder="" measureGroup="Table1_14  2" count="0" oneField="1">
      <fieldsUsage count="1">
        <fieldUsage x="1"/>
      </fieldsUsage>
    </cacheHierarchy>
    <cacheHierarchy uniqueName="[Measures].[MedianRate]" caption="MedianRate" measure="1" displayFolder="" measureGroup="Table1_14  2" count="0" oneField="1">
      <fieldsUsage count="1">
        <fieldUsage x="2"/>
      </fieldsUsage>
    </cacheHierarchy>
    <cacheHierarchy uniqueName="[Measures].[CountBelow90]" caption="CountBelow90" measure="1" displayFolder="" measureGroup="Table1_14  2" count="0" oneField="1">
      <fieldsUsage count="1">
        <fieldUsage x="3"/>
      </fieldsUsage>
    </cacheHierarchy>
    <cacheHierarchy uniqueName="[Measures].[CountBelow95]" caption="CountBelow95" measure="1" displayFolder="" measureGroup="Table1_14  2" count="0" oneField="1">
      <fieldsUsage count="1">
        <fieldUsage x="4"/>
      </fieldsUsage>
    </cacheHierarchy>
    <cacheHierarchy uniqueName="[Measures].[CountBelow96]" caption="CountBelow96" measure="1" displayFolder="" measureGroup="Table1_14  2" count="0" oneField="1">
      <fieldsUsage count="1">
        <fieldUsage x="5"/>
      </fieldsUsage>
    </cacheHierarchy>
    <cacheHierarchy uniqueName="[Measures].[CountBelow98]" caption="CountBelow98" measure="1" displayFolder="" measureGroup="Table1_14  2" count="0" oneField="1">
      <fieldsUsage count="1">
        <fieldUsage x="6"/>
      </fieldsUsage>
    </cacheHierarchy>
    <cacheHierarchy uniqueName="[Measures].[CountBelow98.8]" caption="CountBelow98.8" measure="1" displayFolder="" measureGroup="Table1_14  2" count="0" oneField="1">
      <fieldsUsage count="1">
        <fieldUsage x="7"/>
      </fieldsUsage>
    </cacheHierarchy>
    <cacheHierarchy uniqueName="[Measures].[CountBelow98.5]" caption="CountBelow98.5" measure="1" displayFolder="" measureGroup="Table1_14  2" count="0" oneField="1">
      <fieldsUsage count="1">
        <fieldUsage x="8"/>
      </fieldsUsage>
    </cacheHierarchy>
    <cacheHierarchy uniqueName="[Measures].[CountBelow98.6]" caption="CountBelow98.6" measure="1" displayFolder="" measureGroup="Table1_14  2" count="0" oneField="1">
      <fieldsUsage count="1">
        <fieldUsage x="9"/>
      </fieldsUsage>
    </cacheHierarchy>
    <cacheHierarchy uniqueName="[Measures].[CountBelow98.7]" caption="CountBelow98.7" measure="1" displayFolder="" measureGroup="Table1_14  2" count="0" oneField="1">
      <fieldsUsage count="1">
        <fieldUsage x="10"/>
      </fieldsUsage>
    </cacheHierarchy>
    <cacheHierarchy uniqueName="[Measures].[CountBelow98.9]" caption="CountBelow98.9" measure="1" displayFolder="" measureGroup="Table1_14  2" count="0" oneField="1">
      <fieldsUsage count="1">
        <fieldUsage x="11"/>
      </fieldsUsage>
    </cacheHierarchy>
    <cacheHierarchy uniqueName="[Measures].[CountBelow99]" caption="CountBelow99" measure="1" displayFolder="" measureGroup="Table1_14  2" count="0" oneField="1">
      <fieldsUsage count="1">
        <fieldUsage x="12"/>
      </fieldsUsage>
    </cacheHierarchy>
    <cacheHierarchy uniqueName="[Measures].[Blank FieldsInAR]" caption="Blank FieldsInAR" measure="1" displayFolder="" measureGroup="Table1_14  2" count="0"/>
    <cacheHierarchy uniqueName="[Measures].[NonEmptyRowsInAR]" caption="NonEmptyRowsInAR" measure="1" displayFolder="" measureGroup="Table1_14  2" count="0"/>
    <cacheHierarchy uniqueName="[Measures].[TotalCountAR]" caption="TotalCountAR" measure="1" displayFolder="" measureGroup="Table1_14  2" count="0"/>
    <cacheHierarchy uniqueName="[Measures].[Coverage Share]" caption="Coverage Share" measure="1" displayFolder="" measureGroup="Table1_14  2" count="0"/>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ies>
  <kpis count="0"/>
  <dimensions count="2">
    <dimension measure="1" name="Measures" uniqueName="[Measures]" caption="Measures"/>
    <dimension name="Table1_14  2" uniqueName="[Table1_14  2]" caption="Table1_14  2"/>
  </dimensions>
  <measureGroups count="1">
    <measureGroup name="Table1_14  2" caption="Table1_14  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7.660980671295" createdVersion="8" refreshedVersion="8" minRefreshableVersion="3" recordCount="0" supportSubquery="1" supportAdvancedDrill="1" xr:uid="{EC7F7099-31CC-4B66-957B-0A1E0E80A1E9}">
  <cacheSource type="external" connectionId="3"/>
  <cacheFields count="3">
    <cacheField name="[Measures].[Blank FieldsInAR]" caption="Blank FieldsInAR" numFmtId="0" hierarchy="46" level="32767"/>
    <cacheField name="[Measures].[NonEmptyRowsInAR]" caption="NonEmptyRowsInAR" numFmtId="0" hierarchy="47" level="32767"/>
    <cacheField name="[Measures].[TotalCountAR]" caption="TotalCountAR" numFmtId="0" hierarchy="48" level="32767"/>
  </cacheFields>
  <cacheHierarchies count="52">
    <cacheHierarchy uniqueName="[Table1_14  2].[Class]" caption="Class" attribute="1" defaultMemberUniqueName="[Table1_14  2].[Class].[All]" allUniqueName="[Table1_14  2].[Class].[All]" dimensionUniqueName="[Table1_14  2]" displayFolder="" count="0" memberValueDatatype="20" unbalanced="0"/>
    <cacheHierarchy uniqueName="[Table1_14  2].[Year]" caption="Year" attribute="1" defaultMemberUniqueName="[Table1_14  2].[Year].[All]" allUniqueName="[Table1_14  2].[Year].[All]" dimensionUniqueName="[Table1_14  2]" displayFolder="" count="0" memberValueDatatype="20" unbalanced="0"/>
    <cacheHierarchy uniqueName="[Table1_14  2].[Region]" caption="Region" attribute="1" defaultMemberUniqueName="[Table1_14  2].[Region].[All]" allUniqueName="[Table1_14  2].[Region].[All]" dimensionUniqueName="[Table1_14  2]" displayFolder="" count="0" memberValueDatatype="130" unbalanced="0"/>
    <cacheHierarchy uniqueName="[Table1_14  2].[School Type]" caption="School Type" attribute="1" defaultMemberUniqueName="[Table1_14  2].[School Type].[All]" allUniqueName="[Table1_14  2].[School Type].[All]" dimensionUniqueName="[Table1_14  2]" displayFolder="" count="0" memberValueDatatype="130" unbalanced="0"/>
    <cacheHierarchy uniqueName="[Table1_14  2].[Registered]" caption="Registered" attribute="1" defaultMemberUniqueName="[Table1_14  2].[Registered].[All]" allUniqueName="[Table1_14  2].[Registered].[All]" dimensionUniqueName="[Table1_14  2]" displayFolder="" count="0" memberValueDatatype="20" unbalanced="0"/>
    <cacheHierarchy uniqueName="[Table1_14  2].[Appeared]" caption="Appeared" attribute="1" defaultMemberUniqueName="[Table1_14  2].[Appeared].[All]" allUniqueName="[Table1_14  2].[Appeared].[All]" dimensionUniqueName="[Table1_14  2]" displayFolder="" count="0" memberValueDatatype="20" unbalanced="0"/>
    <cacheHierarchy uniqueName="[Table1_14  2].[Appearance Rate]" caption="Appearance Rate" attribute="1" defaultMemberUniqueName="[Table1_14  2].[Appearance Rate].[All]" allUniqueName="[Table1_14  2].[Appearance Rate].[All]" dimensionUniqueName="[Table1_14  2]" displayFolder="" count="0" memberValueDatatype="5" unbalanced="0"/>
    <cacheHierarchy uniqueName="[Table1_14  2].[No-show Rate]" caption="No-show Rate" attribute="1" defaultMemberUniqueName="[Table1_14  2].[No-show Rate].[All]" allUniqueName="[Table1_14  2].[No-show Rate].[All]" dimensionUniqueName="[Table1_14  2]" displayFolder="" count="0" memberValueDatatype="5" unbalanced="0"/>
    <cacheHierarchy uniqueName="[Table1_14  2].[Absence Flag]" caption="Absence Flag" attribute="1" defaultMemberUniqueName="[Table1_14  2].[Absence Flag].[All]" allUniqueName="[Table1_14  2].[Absence Flag].[All]" dimensionUniqueName="[Table1_14  2]" displayFolder="" count="0" memberValueDatatype="130" unbalanced="0"/>
    <cacheHierarchy uniqueName="[Table1_14  2].[BaseStatus]" caption="BaseStatus" attribute="1" defaultMemberUniqueName="[Table1_14  2].[BaseStatus].[All]" allUniqueName="[Table1_14  2].[BaseStatus].[All]" dimensionUniqueName="[Table1_14  2]" displayFolder="" count="0" memberValueDatatype="130" unbalanced="0"/>
    <cacheHierarchy uniqueName="[Table1_14  2].[BaseFlag]" caption="BaseFlag" attribute="1" defaultMemberUniqueName="[Table1_14  2].[BaseFlag].[All]" allUniqueName="[Table1_14  2].[BaseFlag].[All]" dimensionUniqueName="[Table1_14  2]" displayFolder="" count="0" memberValueDatatype="130" unbalanced="0"/>
    <cacheHierarchy uniqueName="[Table1_14  2].[AnomalyFlag]" caption="AnomalyFlag" attribute="1" defaultMemberUniqueName="[Table1_14  2].[AnomalyFlag].[All]" allUniqueName="[Table1_14  2].[AnomalyFlag].[All]" dimensionUniqueName="[Table1_14  2]" displayFolder="" count="0" memberValueDatatype="130" unbalanced="0"/>
    <cacheHierarchy uniqueName="[Table1_14  2].[Integrity_CheckType]" caption="Integrity_CheckType" attribute="1" defaultMemberUniqueName="[Table1_14  2].[Integrity_CheckType].[All]" allUniqueName="[Table1_14  2].[Integrity_CheckType].[All]" dimensionUniqueName="[Table1_14  2]" displayFolder="" count="0" memberValueDatatype="130" unbalanced="0"/>
    <cacheHierarchy uniqueName="[Table1_14  2].[Integrity_CheckResult]" caption="Integrity_CheckResult" attribute="1" defaultMemberUniqueName="[Table1_14  2].[Integrity_CheckResult].[All]" allUniqueName="[Table1_14  2].[Integrity_CheckResult].[All]" dimensionUniqueName="[Table1_14  2]" displayFolder="" count="0" memberValueDatatype="130" unbalanced="0"/>
    <cacheHierarchy uniqueName="[Measures].[Count of Integrity_CheckResult]" caption="Count of Integrity_CheckResult" measure="1" displayFolder="" measureGroup="Table1_14  2" count="0">
      <extLst>
        <ext xmlns:x15="http://schemas.microsoft.com/office/spreadsheetml/2010/11/main" uri="{B97F6D7D-B522-45F9-BDA1-12C45D357490}">
          <x15:cacheHierarchy aggregatedColumn="13"/>
        </ext>
      </extLst>
    </cacheHierarchy>
    <cacheHierarchy uniqueName="[Measures].[Count of School Type]" caption="Count of School Type" measure="1" displayFolder="" measureGroup="Table1_14  2" count="0">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extLst>
        <ext xmlns:x15="http://schemas.microsoft.com/office/spreadsheetml/2010/11/main" uri="{B97F6D7D-B522-45F9-BDA1-12C45D357490}">
          <x15:cacheHierarchy aggregatedColumn="6"/>
        </ext>
      </extLst>
    </cacheHierarchy>
    <cacheHierarchy uniqueName="[Measures].[Sum of Registered]" caption="Sum of Registered" measure="1" displayFolder="" measureGroup="Table1_14  2" count="0">
      <extLst>
        <ext xmlns:x15="http://schemas.microsoft.com/office/spreadsheetml/2010/11/main" uri="{B97F6D7D-B522-45F9-BDA1-12C45D357490}">
          <x15:cacheHierarchy aggregatedColumn="4"/>
        </ext>
      </extLst>
    </cacheHierarchy>
    <cacheHierarchy uniqueName="[Measures].[Min of Registered]" caption="Min of Registered" measure="1" displayFolder="" measureGroup="Table1_14  2" count="0">
      <extLst>
        <ext xmlns:x15="http://schemas.microsoft.com/office/spreadsheetml/2010/11/main" uri="{B97F6D7D-B522-45F9-BDA1-12C45D357490}">
          <x15:cacheHierarchy aggregatedColumn="4"/>
        </ext>
      </extLst>
    </cacheHierarchy>
    <cacheHierarchy uniqueName="[Measures].[Count of BaseFlag]" caption="Count of BaseFlag" measure="1" displayFolder="" measureGroup="Table1_14  2" count="0">
      <extLst>
        <ext xmlns:x15="http://schemas.microsoft.com/office/spreadsheetml/2010/11/main" uri="{B97F6D7D-B522-45F9-BDA1-12C45D357490}">
          <x15:cacheHierarchy aggregatedColumn="10"/>
        </ext>
      </extLst>
    </cacheHierarchy>
    <cacheHierarchy uniqueName="[Measures].[Count of AnomalyFlag]" caption="Count of AnomalyFlag" measure="1" displayFolder="" measureGroup="Table1_14  2" count="0">
      <extLst>
        <ext xmlns:x15="http://schemas.microsoft.com/office/spreadsheetml/2010/11/main" uri="{B97F6D7D-B522-45F9-BDA1-12C45D357490}">
          <x15:cacheHierarchy aggregatedColumn="11"/>
        </ext>
      </extLst>
    </cacheHierarchy>
    <cacheHierarchy uniqueName="[Measures].[FlagCount]" caption="FlagCount" measure="1" displayFolder="" measureGroup="Table1_14  2" count="0"/>
    <cacheHierarchy uniqueName="[Measures].[TotalCount]" caption="TotalCount" measure="1" displayFolder="" measureGroup="Table1_14  2" count="0"/>
    <cacheHierarchy uniqueName="[Measures].[PercentFlagged]" caption="PercentFlagged" measure="1" displayFolder="" measureGroup="Table1_14  2" count="0"/>
    <cacheHierarchy uniqueName="[Measures].[Percentile25]" caption="Percentile25" measure="1" displayFolder="" measureGroup="Table1_14  2" count="0"/>
    <cacheHierarchy uniqueName="[Measures].[MinNonZeroBase]" caption="MinNonZeroBase" measure="1" displayFolder="" measureGroup="Table1_14  2" count="0"/>
    <cacheHierarchy uniqueName="[Measures].[MedianBase]" caption="MedianBase" measure="1" displayFolder="" measureGroup="Table1_14  2" count="0"/>
    <cacheHierarchy uniqueName="[Measures].[CountBelow30]" caption="CountBelow30" measure="1" displayFolder="" measureGroup="Table1_14  2" count="0"/>
    <cacheHierarchy uniqueName="[Measures].[CountBelow50]" caption="CountBelow50" measure="1" displayFolder="" measureGroup="Table1_14  2" count="0"/>
    <cacheHierarchy uniqueName="[Measures].[CountBelow100]" caption="CountBelow100" measure="1" displayFolder="" measureGroup="Table1_14  2" count="0"/>
    <cacheHierarchy uniqueName="[Measures].[CountBelow1000]" caption="CountBelow1000" measure="1" displayFolder="" measureGroup="Table1_14  2" count="0"/>
    <cacheHierarchy uniqueName="[Measures].[MinNonZeroRate]" caption="MinNonZeroRate" measure="1" displayFolder="" measureGroup="Table1_14  2" count="0"/>
    <cacheHierarchy uniqueName="[Measures].[Percentile25Rate]" caption="Percentile25Rate" measure="1" displayFolder="" measureGroup="Table1_14  2" count="0"/>
    <cacheHierarchy uniqueName="[Measures].[MedianRate]" caption="MedianRate" measure="1" displayFolder="" measureGroup="Table1_14  2" count="0"/>
    <cacheHierarchy uniqueName="[Measures].[CountBelow90]" caption="CountBelow90" measure="1" displayFolder="" measureGroup="Table1_14  2" count="0"/>
    <cacheHierarchy uniqueName="[Measures].[CountBelow95]" caption="CountBelow95" measure="1" displayFolder="" measureGroup="Table1_14  2" count="0"/>
    <cacheHierarchy uniqueName="[Measures].[CountBelow96]" caption="CountBelow96" measure="1" displayFolder="" measureGroup="Table1_14  2" count="0"/>
    <cacheHierarchy uniqueName="[Measures].[CountBelow98]" caption="CountBelow98" measure="1" displayFolder="" measureGroup="Table1_14  2" count="0"/>
    <cacheHierarchy uniqueName="[Measures].[CountBelow98.8]" caption="CountBelow98.8" measure="1" displayFolder="" measureGroup="Table1_14  2" count="0"/>
    <cacheHierarchy uniqueName="[Measures].[CountBelow98.5]" caption="CountBelow98.5" measure="1" displayFolder="" measureGroup="Table1_14  2" count="0"/>
    <cacheHierarchy uniqueName="[Measures].[CountBelow98.6]" caption="CountBelow98.6" measure="1" displayFolder="" measureGroup="Table1_14  2" count="0"/>
    <cacheHierarchy uniqueName="[Measures].[CountBelow98.7]" caption="CountBelow98.7" measure="1" displayFolder="" measureGroup="Table1_14  2" count="0"/>
    <cacheHierarchy uniqueName="[Measures].[CountBelow98.9]" caption="CountBelow98.9" measure="1" displayFolder="" measureGroup="Table1_14  2" count="0"/>
    <cacheHierarchy uniqueName="[Measures].[CountBelow99]" caption="CountBelow99" measure="1" displayFolder="" measureGroup="Table1_14  2" count="0"/>
    <cacheHierarchy uniqueName="[Measures].[Blank FieldsInAR]" caption="Blank FieldsInAR" measure="1" displayFolder="" measureGroup="Table1_14  2" count="0" oneField="1">
      <fieldsUsage count="1">
        <fieldUsage x="0"/>
      </fieldsUsage>
    </cacheHierarchy>
    <cacheHierarchy uniqueName="[Measures].[NonEmptyRowsInAR]" caption="NonEmptyRowsInAR" measure="1" displayFolder="" measureGroup="Table1_14  2" count="0" oneField="1">
      <fieldsUsage count="1">
        <fieldUsage x="1"/>
      </fieldsUsage>
    </cacheHierarchy>
    <cacheHierarchy uniqueName="[Measures].[TotalCountAR]" caption="TotalCountAR" measure="1" displayFolder="" measureGroup="Table1_14  2" count="0" oneField="1">
      <fieldsUsage count="1">
        <fieldUsage x="2"/>
      </fieldsUsage>
    </cacheHierarchy>
    <cacheHierarchy uniqueName="[Measures].[Coverage Share]" caption="Coverage Share" measure="1" displayFolder="" measureGroup="Table1_14  2" count="0"/>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ies>
  <kpis count="0"/>
  <dimensions count="2">
    <dimension measure="1" name="Measures" uniqueName="[Measures]" caption="Measures"/>
    <dimension name="Table1_14  2" uniqueName="[Table1_14  2]" caption="Table1_14  2"/>
  </dimensions>
  <measureGroups count="1">
    <measureGroup name="Table1_14  2" caption="Table1_14  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7.71714803241" createdVersion="8" refreshedVersion="8" minRefreshableVersion="3" recordCount="0" supportSubquery="1" supportAdvancedDrill="1" xr:uid="{D280E1B8-B47A-4AAA-B4EF-3DB70DC8CA5C}">
  <cacheSource type="external" connectionId="3"/>
  <cacheFields count="9">
    <cacheField name="[Measures].[Percentile25]" caption="Percentile25" numFmtId="0" hierarchy="26" level="32767"/>
    <cacheField name="[Measures].[MinNonZeroBase]" caption="MinNonZeroBase" numFmtId="0" hierarchy="27" level="32767"/>
    <cacheField name="[Measures].[MedianBase]" caption="MedianBase" numFmtId="0" hierarchy="28" level="32767"/>
    <cacheField name="[Measures].[CountBelow30]" caption="CountBelow30" numFmtId="0" hierarchy="29" level="32767"/>
    <cacheField name="[Measures].[CountBelow50]" caption="CountBelow50" numFmtId="0" hierarchy="30" level="32767"/>
    <cacheField name="[Measures].[CountBelow100]" caption="CountBelow100" numFmtId="0" hierarchy="31" level="32767"/>
    <cacheField name="[Measures].[CountBelow1000]" caption="CountBelow1000" numFmtId="0" hierarchy="32" level="32767"/>
    <cacheField name="[Table1_14  2].[Registered].[Registered]" caption="Registered" numFmtId="0" hierarchy="4" level="1">
      <sharedItems containsSemiMixedTypes="0" containsNonDate="0" containsString="0"/>
    </cacheField>
    <cacheField name="[Table1_14  2].[Region].[Region]" caption="Region" numFmtId="0" hierarchy="2" level="1">
      <sharedItems containsSemiMixedTypes="0" containsNonDate="0" containsString="0"/>
    </cacheField>
  </cacheFields>
  <cacheHierarchies count="52">
    <cacheHierarchy uniqueName="[Table1_14  2].[Class]" caption="Class" attribute="1" defaultMemberUniqueName="[Table1_14  2].[Class].[All]" allUniqueName="[Table1_14  2].[Class].[All]" dimensionUniqueName="[Table1_14  2]" displayFolder="" count="0" memberValueDatatype="20" unbalanced="0"/>
    <cacheHierarchy uniqueName="[Table1_14  2].[Year]" caption="Year" attribute="1" defaultMemberUniqueName="[Table1_14  2].[Year].[All]" allUniqueName="[Table1_14  2].[Year].[All]" dimensionUniqueName="[Table1_14  2]" displayFolder="" count="0" memberValueDatatype="20" unbalanced="0"/>
    <cacheHierarchy uniqueName="[Table1_14  2].[Region]" caption="Region" attribute="1" defaultMemberUniqueName="[Table1_14  2].[Region].[All]" allUniqueName="[Table1_14  2].[Region].[All]" dimensionUniqueName="[Table1_14  2]" displayFolder="" count="2" memberValueDatatype="130" unbalanced="0">
      <fieldsUsage count="2">
        <fieldUsage x="-1"/>
        <fieldUsage x="8"/>
      </fieldsUsage>
    </cacheHierarchy>
    <cacheHierarchy uniqueName="[Table1_14  2].[School Type]" caption="School Type" attribute="1" defaultMemberUniqueName="[Table1_14  2].[School Type].[All]" allUniqueName="[Table1_14  2].[School Type].[All]" dimensionUniqueName="[Table1_14  2]" displayFolder="" count="2" memberValueDatatype="130" unbalanced="0"/>
    <cacheHierarchy uniqueName="[Table1_14  2].[Registered]" caption="Registered" attribute="1" defaultMemberUniqueName="[Table1_14  2].[Registered].[All]" allUniqueName="[Table1_14  2].[Registered].[All]" dimensionUniqueName="[Table1_14  2]" displayFolder="" count="2" memberValueDatatype="20" unbalanced="0">
      <fieldsUsage count="2">
        <fieldUsage x="-1"/>
        <fieldUsage x="7"/>
      </fieldsUsage>
    </cacheHierarchy>
    <cacheHierarchy uniqueName="[Table1_14  2].[Appeared]" caption="Appeared" attribute="1" defaultMemberUniqueName="[Table1_14  2].[Appeared].[All]" allUniqueName="[Table1_14  2].[Appeared].[All]" dimensionUniqueName="[Table1_14  2]" displayFolder="" count="0" memberValueDatatype="20" unbalanced="0"/>
    <cacheHierarchy uniqueName="[Table1_14  2].[Appearance Rate]" caption="Appearance Rate" attribute="1" defaultMemberUniqueName="[Table1_14  2].[Appearance Rate].[All]" allUniqueName="[Table1_14  2].[Appearance Rate].[All]" dimensionUniqueName="[Table1_14  2]" displayFolder="" count="0" memberValueDatatype="5" unbalanced="0"/>
    <cacheHierarchy uniqueName="[Table1_14  2].[No-show Rate]" caption="No-show Rate" attribute="1" defaultMemberUniqueName="[Table1_14  2].[No-show Rate].[All]" allUniqueName="[Table1_14  2].[No-show Rate].[All]" dimensionUniqueName="[Table1_14  2]" displayFolder="" count="0" memberValueDatatype="5" unbalanced="0"/>
    <cacheHierarchy uniqueName="[Table1_14  2].[Absence Flag]" caption="Absence Flag" attribute="1" defaultMemberUniqueName="[Table1_14  2].[Absence Flag].[All]" allUniqueName="[Table1_14  2].[Absence Flag].[All]" dimensionUniqueName="[Table1_14  2]" displayFolder="" count="0" memberValueDatatype="130" unbalanced="0"/>
    <cacheHierarchy uniqueName="[Table1_14  2].[BaseStatus]" caption="BaseStatus" attribute="1" defaultMemberUniqueName="[Table1_14  2].[BaseStatus].[All]" allUniqueName="[Table1_14  2].[BaseStatus].[All]" dimensionUniqueName="[Table1_14  2]" displayFolder="" count="0" memberValueDatatype="130" unbalanced="0"/>
    <cacheHierarchy uniqueName="[Table1_14  2].[BaseFlag]" caption="BaseFlag" attribute="1" defaultMemberUniqueName="[Table1_14  2].[BaseFlag].[All]" allUniqueName="[Table1_14  2].[BaseFlag].[All]" dimensionUniqueName="[Table1_14  2]" displayFolder="" count="0" memberValueDatatype="130" unbalanced="0"/>
    <cacheHierarchy uniqueName="[Table1_14  2].[AnomalyFlag]" caption="AnomalyFlag" attribute="1" defaultMemberUniqueName="[Table1_14  2].[AnomalyFlag].[All]" allUniqueName="[Table1_14  2].[AnomalyFlag].[All]" dimensionUniqueName="[Table1_14  2]" displayFolder="" count="0" memberValueDatatype="130" unbalanced="0"/>
    <cacheHierarchy uniqueName="[Table1_14  2].[Integrity_CheckType]" caption="Integrity_CheckType" attribute="1" defaultMemberUniqueName="[Table1_14  2].[Integrity_CheckType].[All]" allUniqueName="[Table1_14  2].[Integrity_CheckType].[All]" dimensionUniqueName="[Table1_14  2]" displayFolder="" count="0" memberValueDatatype="130" unbalanced="0"/>
    <cacheHierarchy uniqueName="[Table1_14  2].[Integrity_CheckResult]" caption="Integrity_CheckResult" attribute="1" defaultMemberUniqueName="[Table1_14  2].[Integrity_CheckResult].[All]" allUniqueName="[Table1_14  2].[Integrity_CheckResult].[All]" dimensionUniqueName="[Table1_14  2]" displayFolder="" count="0" memberValueDatatype="130" unbalanced="0"/>
    <cacheHierarchy uniqueName="[Measures].[Count of Integrity_CheckResult]" caption="Count of Integrity_CheckResult" measure="1" displayFolder="" measureGroup="Table1_14  2" count="0">
      <extLst>
        <ext xmlns:x15="http://schemas.microsoft.com/office/spreadsheetml/2010/11/main" uri="{B97F6D7D-B522-45F9-BDA1-12C45D357490}">
          <x15:cacheHierarchy aggregatedColumn="13"/>
        </ext>
      </extLst>
    </cacheHierarchy>
    <cacheHierarchy uniqueName="[Measures].[Count of School Type]" caption="Count of School Type" measure="1" displayFolder="" measureGroup="Table1_14  2" count="0">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extLst>
        <ext xmlns:x15="http://schemas.microsoft.com/office/spreadsheetml/2010/11/main" uri="{B97F6D7D-B522-45F9-BDA1-12C45D357490}">
          <x15:cacheHierarchy aggregatedColumn="6"/>
        </ext>
      </extLst>
    </cacheHierarchy>
    <cacheHierarchy uniqueName="[Measures].[Sum of Registered]" caption="Sum of Registered" measure="1" displayFolder="" measureGroup="Table1_14  2" count="0">
      <extLst>
        <ext xmlns:x15="http://schemas.microsoft.com/office/spreadsheetml/2010/11/main" uri="{B97F6D7D-B522-45F9-BDA1-12C45D357490}">
          <x15:cacheHierarchy aggregatedColumn="4"/>
        </ext>
      </extLst>
    </cacheHierarchy>
    <cacheHierarchy uniqueName="[Measures].[Min of Registered]" caption="Min of Registered" measure="1" displayFolder="" measureGroup="Table1_14  2" count="0">
      <extLst>
        <ext xmlns:x15="http://schemas.microsoft.com/office/spreadsheetml/2010/11/main" uri="{B97F6D7D-B522-45F9-BDA1-12C45D357490}">
          <x15:cacheHierarchy aggregatedColumn="4"/>
        </ext>
      </extLst>
    </cacheHierarchy>
    <cacheHierarchy uniqueName="[Measures].[Count of BaseFlag]" caption="Count of BaseFlag" measure="1" displayFolder="" measureGroup="Table1_14  2" count="0">
      <extLst>
        <ext xmlns:x15="http://schemas.microsoft.com/office/spreadsheetml/2010/11/main" uri="{B97F6D7D-B522-45F9-BDA1-12C45D357490}">
          <x15:cacheHierarchy aggregatedColumn="10"/>
        </ext>
      </extLst>
    </cacheHierarchy>
    <cacheHierarchy uniqueName="[Measures].[Count of AnomalyFlag]" caption="Count of AnomalyFlag" measure="1" displayFolder="" measureGroup="Table1_14  2" count="0">
      <extLst>
        <ext xmlns:x15="http://schemas.microsoft.com/office/spreadsheetml/2010/11/main" uri="{B97F6D7D-B522-45F9-BDA1-12C45D357490}">
          <x15:cacheHierarchy aggregatedColumn="11"/>
        </ext>
      </extLst>
    </cacheHierarchy>
    <cacheHierarchy uniqueName="[Measures].[FlagCount]" caption="FlagCount" measure="1" displayFolder="" measureGroup="Table1_14  2" count="0"/>
    <cacheHierarchy uniqueName="[Measures].[TotalCount]" caption="TotalCount" measure="1" displayFolder="" measureGroup="Table1_14  2" count="0"/>
    <cacheHierarchy uniqueName="[Measures].[PercentFlagged]" caption="PercentFlagged" measure="1" displayFolder="" measureGroup="Table1_14  2" count="0"/>
    <cacheHierarchy uniqueName="[Measures].[Percentile25]" caption="Percentile25" measure="1" displayFolder="" measureGroup="Table1_14  2" count="0" oneField="1">
      <fieldsUsage count="1">
        <fieldUsage x="0"/>
      </fieldsUsage>
    </cacheHierarchy>
    <cacheHierarchy uniqueName="[Measures].[MinNonZeroBase]" caption="MinNonZeroBase" measure="1" displayFolder="" measureGroup="Table1_14  2" count="0" oneField="1">
      <fieldsUsage count="1">
        <fieldUsage x="1"/>
      </fieldsUsage>
    </cacheHierarchy>
    <cacheHierarchy uniqueName="[Measures].[MedianBase]" caption="MedianBase" measure="1" displayFolder="" measureGroup="Table1_14  2" count="0" oneField="1">
      <fieldsUsage count="1">
        <fieldUsage x="2"/>
      </fieldsUsage>
    </cacheHierarchy>
    <cacheHierarchy uniqueName="[Measures].[CountBelow30]" caption="CountBelow30" measure="1" displayFolder="" measureGroup="Table1_14  2" count="0" oneField="1">
      <fieldsUsage count="1">
        <fieldUsage x="3"/>
      </fieldsUsage>
    </cacheHierarchy>
    <cacheHierarchy uniqueName="[Measures].[CountBelow50]" caption="CountBelow50" measure="1" displayFolder="" measureGroup="Table1_14  2" count="0" oneField="1">
      <fieldsUsage count="1">
        <fieldUsage x="4"/>
      </fieldsUsage>
    </cacheHierarchy>
    <cacheHierarchy uniqueName="[Measures].[CountBelow100]" caption="CountBelow100" measure="1" displayFolder="" measureGroup="Table1_14  2" count="0" oneField="1">
      <fieldsUsage count="1">
        <fieldUsage x="5"/>
      </fieldsUsage>
    </cacheHierarchy>
    <cacheHierarchy uniqueName="[Measures].[CountBelow1000]" caption="CountBelow1000" measure="1" displayFolder="" measureGroup="Table1_14  2" count="0" oneField="1">
      <fieldsUsage count="1">
        <fieldUsage x="6"/>
      </fieldsUsage>
    </cacheHierarchy>
    <cacheHierarchy uniqueName="[Measures].[MinNonZeroRate]" caption="MinNonZeroRate" measure="1" displayFolder="" measureGroup="Table1_14  2" count="0"/>
    <cacheHierarchy uniqueName="[Measures].[Percentile25Rate]" caption="Percentile25Rate" measure="1" displayFolder="" measureGroup="Table1_14  2" count="0"/>
    <cacheHierarchy uniqueName="[Measures].[MedianRate]" caption="MedianRate" measure="1" displayFolder="" measureGroup="Table1_14  2" count="0"/>
    <cacheHierarchy uniqueName="[Measures].[CountBelow90]" caption="CountBelow90" measure="1" displayFolder="" measureGroup="Table1_14  2" count="0"/>
    <cacheHierarchy uniqueName="[Measures].[CountBelow95]" caption="CountBelow95" measure="1" displayFolder="" measureGroup="Table1_14  2" count="0"/>
    <cacheHierarchy uniqueName="[Measures].[CountBelow96]" caption="CountBelow96" measure="1" displayFolder="" measureGroup="Table1_14  2" count="0"/>
    <cacheHierarchy uniqueName="[Measures].[CountBelow98]" caption="CountBelow98" measure="1" displayFolder="" measureGroup="Table1_14  2" count="0"/>
    <cacheHierarchy uniqueName="[Measures].[CountBelow98.8]" caption="CountBelow98.8" measure="1" displayFolder="" measureGroup="Table1_14  2" count="0"/>
    <cacheHierarchy uniqueName="[Measures].[CountBelow98.5]" caption="CountBelow98.5" measure="1" displayFolder="" measureGroup="Table1_14  2" count="0"/>
    <cacheHierarchy uniqueName="[Measures].[CountBelow98.6]" caption="CountBelow98.6" measure="1" displayFolder="" measureGroup="Table1_14  2" count="0"/>
    <cacheHierarchy uniqueName="[Measures].[CountBelow98.7]" caption="CountBelow98.7" measure="1" displayFolder="" measureGroup="Table1_14  2" count="0"/>
    <cacheHierarchy uniqueName="[Measures].[CountBelow98.9]" caption="CountBelow98.9" measure="1" displayFolder="" measureGroup="Table1_14  2" count="0"/>
    <cacheHierarchy uniqueName="[Measures].[CountBelow99]" caption="CountBelow99" measure="1" displayFolder="" measureGroup="Table1_14  2" count="0"/>
    <cacheHierarchy uniqueName="[Measures].[Blank FieldsInAR]" caption="Blank FieldsInAR" measure="1" displayFolder="" measureGroup="Table1_14  2" count="0"/>
    <cacheHierarchy uniqueName="[Measures].[NonEmptyRowsInAR]" caption="NonEmptyRowsInAR" measure="1" displayFolder="" measureGroup="Table1_14  2" count="0"/>
    <cacheHierarchy uniqueName="[Measures].[TotalCountAR]" caption="TotalCountAR" measure="1" displayFolder="" measureGroup="Table1_14  2" count="0"/>
    <cacheHierarchy uniqueName="[Measures].[Coverage Share]" caption="Coverage Share" measure="1" displayFolder="" measureGroup="Table1_14  2" count="0"/>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ies>
  <kpis count="0"/>
  <dimensions count="2">
    <dimension measure="1" name="Measures" uniqueName="[Measures]" caption="Measures"/>
    <dimension name="Table1_14  2" uniqueName="[Table1_14  2]" caption="Table1_14  2"/>
  </dimensions>
  <measureGroups count="1">
    <measureGroup name="Table1_14  2" caption="Table1_14  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7.738040509263" createdVersion="8" refreshedVersion="8" minRefreshableVersion="3" recordCount="0" supportSubquery="1" supportAdvancedDrill="1" xr:uid="{B1C71EE1-668C-42D3-B3E5-2E206245D230}">
  <cacheSource type="external" connectionId="3"/>
  <cacheFields count="4">
    <cacheField name="[Table1_14  2].[AnomalyFlag].[AnomalyFlag]" caption="AnomalyFlag" numFmtId="0" hierarchy="11" level="1">
      <sharedItems count="4">
        <s v="ABSENT"/>
        <s v="LOW_RATE"/>
        <s v="NORMAL"/>
        <s v="SUSPICIOUS_PERFECTION"/>
      </sharedItems>
      <extLst>
        <ext xmlns:x15="http://schemas.microsoft.com/office/spreadsheetml/2010/11/main" uri="{4F2E5C28-24EA-4eb8-9CBF-B6C8F9C3D259}">
          <x15:cachedUniqueNames>
            <x15:cachedUniqueName index="0" name="[Table1_14  2].[AnomalyFlag].&amp;[ABSENT]"/>
            <x15:cachedUniqueName index="1" name="[Table1_14  2].[AnomalyFlag].&amp;[LOW_RATE]"/>
            <x15:cachedUniqueName index="2" name="[Table1_14  2].[AnomalyFlag].&amp;[NORMAL]"/>
            <x15:cachedUniqueName index="3" name="[Table1_14  2].[AnomalyFlag].&amp;[SUSPICIOUS_PERFECTION]"/>
          </x15:cachedUniqueNames>
        </ext>
      </extLst>
    </cacheField>
    <cacheField name="[Measures].[Count of AnomalyFlag]" caption="Count of AnomalyFlag" numFmtId="0" hierarchy="22" level="32767"/>
    <cacheField name="[Measures].[Coverage Share]" caption="Coverage Share" numFmtId="0" hierarchy="49" level="32767"/>
    <cacheField name="[Table1_14  2].[Region].[Region]" caption="Region" numFmtId="0" hierarchy="2" level="1">
      <sharedItems containsSemiMixedTypes="0" containsNonDate="0" containsString="0"/>
    </cacheField>
  </cacheFields>
  <cacheHierarchies count="52">
    <cacheHierarchy uniqueName="[Table1_14  2].[Class]" caption="Class" attribute="1" defaultMemberUniqueName="[Table1_14  2].[Class].[All]" allUniqueName="[Table1_14  2].[Class].[All]" dimensionUniqueName="[Table1_14  2]" displayFolder="" count="0" memberValueDatatype="20" unbalanced="0"/>
    <cacheHierarchy uniqueName="[Table1_14  2].[Year]" caption="Year" attribute="1" defaultMemberUniqueName="[Table1_14  2].[Year].[All]" allUniqueName="[Table1_14  2].[Year].[All]" dimensionUniqueName="[Table1_14  2]" displayFolder="" count="0" memberValueDatatype="20" unbalanced="0"/>
    <cacheHierarchy uniqueName="[Table1_14  2].[Region]" caption="Region" attribute="1" defaultMemberUniqueName="[Table1_14  2].[Region].[All]" allUniqueName="[Table1_14  2].[Region].[All]" dimensionUniqueName="[Table1_14  2]" displayFolder="" count="2" memberValueDatatype="130" unbalanced="0">
      <fieldsUsage count="2">
        <fieldUsage x="-1"/>
        <fieldUsage x="3"/>
      </fieldsUsage>
    </cacheHierarchy>
    <cacheHierarchy uniqueName="[Table1_14  2].[School Type]" caption="School Type" attribute="1" defaultMemberUniqueName="[Table1_14  2].[School Type].[All]" allUniqueName="[Table1_14  2].[School Type].[All]" dimensionUniqueName="[Table1_14  2]" displayFolder="" count="2" memberValueDatatype="130" unbalanced="0"/>
    <cacheHierarchy uniqueName="[Table1_14  2].[Registered]" caption="Registered" attribute="1" defaultMemberUniqueName="[Table1_14  2].[Registered].[All]" allUniqueName="[Table1_14  2].[Registered].[All]" dimensionUniqueName="[Table1_14  2]" displayFolder="" count="0" memberValueDatatype="20" unbalanced="0"/>
    <cacheHierarchy uniqueName="[Table1_14  2].[Appeared]" caption="Appeared" attribute="1" defaultMemberUniqueName="[Table1_14  2].[Appeared].[All]" allUniqueName="[Table1_14  2].[Appeared].[All]" dimensionUniqueName="[Table1_14  2]" displayFolder="" count="0" memberValueDatatype="20" unbalanced="0"/>
    <cacheHierarchy uniqueName="[Table1_14  2].[Appearance Rate]" caption="Appearance Rate" attribute="1" defaultMemberUniqueName="[Table1_14  2].[Appearance Rate].[All]" allUniqueName="[Table1_14  2].[Appearance Rate].[All]" dimensionUniqueName="[Table1_14  2]" displayFolder="" count="0" memberValueDatatype="5" unbalanced="0"/>
    <cacheHierarchy uniqueName="[Table1_14  2].[No-show Rate]" caption="No-show Rate" attribute="1" defaultMemberUniqueName="[Table1_14  2].[No-show Rate].[All]" allUniqueName="[Table1_14  2].[No-show Rate].[All]" dimensionUniqueName="[Table1_14  2]" displayFolder="" count="0" memberValueDatatype="5" unbalanced="0"/>
    <cacheHierarchy uniqueName="[Table1_14  2].[Absence Flag]" caption="Absence Flag" attribute="1" defaultMemberUniqueName="[Table1_14  2].[Absence Flag].[All]" allUniqueName="[Table1_14  2].[Absence Flag].[All]" dimensionUniqueName="[Table1_14  2]" displayFolder="" count="0" memberValueDatatype="130" unbalanced="0"/>
    <cacheHierarchy uniqueName="[Table1_14  2].[BaseStatus]" caption="BaseStatus" attribute="1" defaultMemberUniqueName="[Table1_14  2].[BaseStatus].[All]" allUniqueName="[Table1_14  2].[BaseStatus].[All]" dimensionUniqueName="[Table1_14  2]" displayFolder="" count="0" memberValueDatatype="130" unbalanced="0"/>
    <cacheHierarchy uniqueName="[Table1_14  2].[BaseFlag]" caption="BaseFlag" attribute="1" defaultMemberUniqueName="[Table1_14  2].[BaseFlag].[All]" allUniqueName="[Table1_14  2].[BaseFlag].[All]" dimensionUniqueName="[Table1_14  2]" displayFolder="" count="0" memberValueDatatype="130" unbalanced="0"/>
    <cacheHierarchy uniqueName="[Table1_14  2].[AnomalyFlag]" caption="AnomalyFlag" attribute="1" defaultMemberUniqueName="[Table1_14  2].[AnomalyFlag].[All]" allUniqueName="[Table1_14  2].[AnomalyFlag].[All]" dimensionUniqueName="[Table1_14  2]" displayFolder="" count="2" memberValueDatatype="130" unbalanced="0">
      <fieldsUsage count="2">
        <fieldUsage x="-1"/>
        <fieldUsage x="0"/>
      </fieldsUsage>
    </cacheHierarchy>
    <cacheHierarchy uniqueName="[Table1_14  2].[Integrity_CheckType]" caption="Integrity_CheckType" attribute="1" defaultMemberUniqueName="[Table1_14  2].[Integrity_CheckType].[All]" allUniqueName="[Table1_14  2].[Integrity_CheckType].[All]" dimensionUniqueName="[Table1_14  2]" displayFolder="" count="0" memberValueDatatype="130" unbalanced="0"/>
    <cacheHierarchy uniqueName="[Table1_14  2].[Integrity_CheckResult]" caption="Integrity_CheckResult" attribute="1" defaultMemberUniqueName="[Table1_14  2].[Integrity_CheckResult].[All]" allUniqueName="[Table1_14  2].[Integrity_CheckResult].[All]" dimensionUniqueName="[Table1_14  2]" displayFolder="" count="2" memberValueDatatype="130" unbalanced="0"/>
    <cacheHierarchy uniqueName="[Measures].[Count of Integrity_CheckResult]" caption="Count of Integrity_CheckResult" measure="1" displayFolder="" measureGroup="Table1_14  2" count="0">
      <extLst>
        <ext xmlns:x15="http://schemas.microsoft.com/office/spreadsheetml/2010/11/main" uri="{B97F6D7D-B522-45F9-BDA1-12C45D357490}">
          <x15:cacheHierarchy aggregatedColumn="13"/>
        </ext>
      </extLst>
    </cacheHierarchy>
    <cacheHierarchy uniqueName="[Measures].[Count of School Type]" caption="Count of School Type" measure="1" displayFolder="" measureGroup="Table1_14  2" count="0">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extLst>
        <ext xmlns:x15="http://schemas.microsoft.com/office/spreadsheetml/2010/11/main" uri="{B97F6D7D-B522-45F9-BDA1-12C45D357490}">
          <x15:cacheHierarchy aggregatedColumn="6"/>
        </ext>
      </extLst>
    </cacheHierarchy>
    <cacheHierarchy uniqueName="[Measures].[Sum of Registered]" caption="Sum of Registered" measure="1" displayFolder="" measureGroup="Table1_14  2" count="0">
      <extLst>
        <ext xmlns:x15="http://schemas.microsoft.com/office/spreadsheetml/2010/11/main" uri="{B97F6D7D-B522-45F9-BDA1-12C45D357490}">
          <x15:cacheHierarchy aggregatedColumn="4"/>
        </ext>
      </extLst>
    </cacheHierarchy>
    <cacheHierarchy uniqueName="[Measures].[Min of Registered]" caption="Min of Registered" measure="1" displayFolder="" measureGroup="Table1_14  2" count="0">
      <extLst>
        <ext xmlns:x15="http://schemas.microsoft.com/office/spreadsheetml/2010/11/main" uri="{B97F6D7D-B522-45F9-BDA1-12C45D357490}">
          <x15:cacheHierarchy aggregatedColumn="4"/>
        </ext>
      </extLst>
    </cacheHierarchy>
    <cacheHierarchy uniqueName="[Measures].[Count of BaseFlag]" caption="Count of BaseFlag" measure="1" displayFolder="" measureGroup="Table1_14  2" count="0">
      <extLst>
        <ext xmlns:x15="http://schemas.microsoft.com/office/spreadsheetml/2010/11/main" uri="{B97F6D7D-B522-45F9-BDA1-12C45D357490}">
          <x15:cacheHierarchy aggregatedColumn="10"/>
        </ext>
      </extLst>
    </cacheHierarchy>
    <cacheHierarchy uniqueName="[Measures].[Count of AnomalyFlag]" caption="Count of AnomalyFlag" measure="1" displayFolder="" measureGroup="Table1_14  2" count="0" oneField="1">
      <fieldsUsage count="1">
        <fieldUsage x="1"/>
      </fieldsUsage>
      <extLst>
        <ext xmlns:x15="http://schemas.microsoft.com/office/spreadsheetml/2010/11/main" uri="{B97F6D7D-B522-45F9-BDA1-12C45D357490}">
          <x15:cacheHierarchy aggregatedColumn="11"/>
        </ext>
      </extLst>
    </cacheHierarchy>
    <cacheHierarchy uniqueName="[Measures].[FlagCount]" caption="FlagCount" measure="1" displayFolder="" measureGroup="Table1_14  2" count="0"/>
    <cacheHierarchy uniqueName="[Measures].[TotalCount]" caption="TotalCount" measure="1" displayFolder="" measureGroup="Table1_14  2" count="0"/>
    <cacheHierarchy uniqueName="[Measures].[PercentFlagged]" caption="PercentFlagged" measure="1" displayFolder="" measureGroup="Table1_14  2" count="0"/>
    <cacheHierarchy uniqueName="[Measures].[Percentile25]" caption="Percentile25" measure="1" displayFolder="" measureGroup="Table1_14  2" count="0"/>
    <cacheHierarchy uniqueName="[Measures].[MinNonZeroBase]" caption="MinNonZeroBase" measure="1" displayFolder="" measureGroup="Table1_14  2" count="0"/>
    <cacheHierarchy uniqueName="[Measures].[MedianBase]" caption="MedianBase" measure="1" displayFolder="" measureGroup="Table1_14  2" count="0"/>
    <cacheHierarchy uniqueName="[Measures].[CountBelow30]" caption="CountBelow30" measure="1" displayFolder="" measureGroup="Table1_14  2" count="0"/>
    <cacheHierarchy uniqueName="[Measures].[CountBelow50]" caption="CountBelow50" measure="1" displayFolder="" measureGroup="Table1_14  2" count="0"/>
    <cacheHierarchy uniqueName="[Measures].[CountBelow100]" caption="CountBelow100" measure="1" displayFolder="" measureGroup="Table1_14  2" count="0"/>
    <cacheHierarchy uniqueName="[Measures].[CountBelow1000]" caption="CountBelow1000" measure="1" displayFolder="" measureGroup="Table1_14  2" count="0"/>
    <cacheHierarchy uniqueName="[Measures].[MinNonZeroRate]" caption="MinNonZeroRate" measure="1" displayFolder="" measureGroup="Table1_14  2" count="0"/>
    <cacheHierarchy uniqueName="[Measures].[Percentile25Rate]" caption="Percentile25Rate" measure="1" displayFolder="" measureGroup="Table1_14  2" count="0"/>
    <cacheHierarchy uniqueName="[Measures].[MedianRate]" caption="MedianRate" measure="1" displayFolder="" measureGroup="Table1_14  2" count="0"/>
    <cacheHierarchy uniqueName="[Measures].[CountBelow90]" caption="CountBelow90" measure="1" displayFolder="" measureGroup="Table1_14  2" count="0"/>
    <cacheHierarchy uniqueName="[Measures].[CountBelow95]" caption="CountBelow95" measure="1" displayFolder="" measureGroup="Table1_14  2" count="0"/>
    <cacheHierarchy uniqueName="[Measures].[CountBelow96]" caption="CountBelow96" measure="1" displayFolder="" measureGroup="Table1_14  2" count="0"/>
    <cacheHierarchy uniqueName="[Measures].[CountBelow98]" caption="CountBelow98" measure="1" displayFolder="" measureGroup="Table1_14  2" count="0"/>
    <cacheHierarchy uniqueName="[Measures].[CountBelow98.8]" caption="CountBelow98.8" measure="1" displayFolder="" measureGroup="Table1_14  2" count="0"/>
    <cacheHierarchy uniqueName="[Measures].[CountBelow98.5]" caption="CountBelow98.5" measure="1" displayFolder="" measureGroup="Table1_14  2" count="0"/>
    <cacheHierarchy uniqueName="[Measures].[CountBelow98.6]" caption="CountBelow98.6" measure="1" displayFolder="" measureGroup="Table1_14  2" count="0"/>
    <cacheHierarchy uniqueName="[Measures].[CountBelow98.7]" caption="CountBelow98.7" measure="1" displayFolder="" measureGroup="Table1_14  2" count="0"/>
    <cacheHierarchy uniqueName="[Measures].[CountBelow98.9]" caption="CountBelow98.9" measure="1" displayFolder="" measureGroup="Table1_14  2" count="0"/>
    <cacheHierarchy uniqueName="[Measures].[CountBelow99]" caption="CountBelow99" measure="1" displayFolder="" measureGroup="Table1_14  2" count="0"/>
    <cacheHierarchy uniqueName="[Measures].[Blank FieldsInAR]" caption="Blank FieldsInAR" measure="1" displayFolder="" measureGroup="Table1_14  2" count="0"/>
    <cacheHierarchy uniqueName="[Measures].[NonEmptyRowsInAR]" caption="NonEmptyRowsInAR" measure="1" displayFolder="" measureGroup="Table1_14  2" count="0"/>
    <cacheHierarchy uniqueName="[Measures].[TotalCountAR]" caption="TotalCountAR" measure="1" displayFolder="" measureGroup="Table1_14  2" count="0"/>
    <cacheHierarchy uniqueName="[Measures].[Coverage Share]" caption="Coverage Share" measure="1" displayFolder="" measureGroup="Table1_14  2" count="0" oneField="1">
      <fieldsUsage count="1">
        <fieldUsage x="2"/>
      </fieldsUsage>
    </cacheHierarchy>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ies>
  <kpis count="0"/>
  <dimensions count="2">
    <dimension measure="1" name="Measures" uniqueName="[Measures]" caption="Measures"/>
    <dimension name="Table1_14  2" uniqueName="[Table1_14  2]" caption="Table1_14  2"/>
  </dimensions>
  <measureGroups count="1">
    <measureGroup name="Table1_14  2" caption="Table1_14  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7.738040856479" createdVersion="8" refreshedVersion="8" minRefreshableVersion="3" recordCount="0" supportSubquery="1" supportAdvancedDrill="1" xr:uid="{E9D5C1B1-65A9-43A2-AEE9-228382EEBE40}">
  <cacheSource type="external" connectionId="3"/>
  <cacheFields count="5">
    <cacheField name="[Table1_14  2].[BaseFlag].[BaseFlag]" caption="BaseFlag" numFmtId="0" hierarchy="10" level="1">
      <sharedItems count="3">
        <s v="ABSENT_BASE"/>
        <s v="SMALL_BASE"/>
        <s v="VALID_BASE"/>
      </sharedItems>
      <extLst>
        <ext xmlns:x15="http://schemas.microsoft.com/office/spreadsheetml/2010/11/main" uri="{4F2E5C28-24EA-4eb8-9CBF-B6C8F9C3D259}">
          <x15:cachedUniqueNames>
            <x15:cachedUniqueName index="0" name="[Table1_14  2].[BaseFlag].&amp;[ABSENT_BASE]"/>
            <x15:cachedUniqueName index="1" name="[Table1_14  2].[BaseFlag].&amp;[SMALL_BASE]"/>
            <x15:cachedUniqueName index="2" name="[Table1_14  2].[BaseFlag].&amp;[VALID_BASE]"/>
          </x15:cachedUniqueNames>
        </ext>
      </extLst>
    </cacheField>
    <cacheField name="[Measures].[Coverage Share]" caption="Coverage Share" numFmtId="0" hierarchy="49" level="32767"/>
    <cacheField name="[Measures].[Count of BaseFlag]" caption="Count of BaseFlag" numFmtId="0" hierarchy="21" level="32767"/>
    <cacheField name="[Measures].[Sum of Registered]" caption="Sum of Registered" numFmtId="0" hierarchy="19" level="32767"/>
    <cacheField name="[Table1_14  2].[Region].[Region]" caption="Region" numFmtId="0" hierarchy="2" level="1">
      <sharedItems containsSemiMixedTypes="0" containsNonDate="0" containsString="0"/>
    </cacheField>
  </cacheFields>
  <cacheHierarchies count="52">
    <cacheHierarchy uniqueName="[Table1_14  2].[Class]" caption="Class" attribute="1" defaultMemberUniqueName="[Table1_14  2].[Class].[All]" allUniqueName="[Table1_14  2].[Class].[All]" dimensionUniqueName="[Table1_14  2]" displayFolder="" count="2" memberValueDatatype="20" unbalanced="0"/>
    <cacheHierarchy uniqueName="[Table1_14  2].[Year]" caption="Year" attribute="1" defaultMemberUniqueName="[Table1_14  2].[Year].[All]" allUniqueName="[Table1_14  2].[Year].[All]" dimensionUniqueName="[Table1_14  2]" displayFolder="" count="2" memberValueDatatype="20" unbalanced="0"/>
    <cacheHierarchy uniqueName="[Table1_14  2].[Region]" caption="Region" attribute="1" defaultMemberUniqueName="[Table1_14  2].[Region].[All]" allUniqueName="[Table1_14  2].[Region].[All]" dimensionUniqueName="[Table1_14  2]" displayFolder="" count="2" memberValueDatatype="130" unbalanced="0">
      <fieldsUsage count="2">
        <fieldUsage x="-1"/>
        <fieldUsage x="4"/>
      </fieldsUsage>
    </cacheHierarchy>
    <cacheHierarchy uniqueName="[Table1_14  2].[School Type]" caption="School Type" attribute="1" defaultMemberUniqueName="[Table1_14  2].[School Type].[All]" allUniqueName="[Table1_14  2].[School Type].[All]" dimensionUniqueName="[Table1_14  2]" displayFolder="" count="2" memberValueDatatype="130" unbalanced="0"/>
    <cacheHierarchy uniqueName="[Table1_14  2].[Registered]" caption="Registered" attribute="1" defaultMemberUniqueName="[Table1_14  2].[Registered].[All]" allUniqueName="[Table1_14  2].[Registered].[All]" dimensionUniqueName="[Table1_14  2]" displayFolder="" count="2" memberValueDatatype="20" unbalanced="0"/>
    <cacheHierarchy uniqueName="[Table1_14  2].[Appeared]" caption="Appeared" attribute="1" defaultMemberUniqueName="[Table1_14  2].[Appeared].[All]" allUniqueName="[Table1_14  2].[Appeared].[All]" dimensionUniqueName="[Table1_14  2]" displayFolder="" count="2" memberValueDatatype="20" unbalanced="0"/>
    <cacheHierarchy uniqueName="[Table1_14  2].[Appearance Rate]" caption="Appearance Rate" attribute="1" defaultMemberUniqueName="[Table1_14  2].[Appearance Rate].[All]" allUniqueName="[Table1_14  2].[Appearance Rate].[All]" dimensionUniqueName="[Table1_14  2]" displayFolder="" count="2" memberValueDatatype="5" unbalanced="0"/>
    <cacheHierarchy uniqueName="[Table1_14  2].[No-show Rate]" caption="No-show Rate" attribute="1" defaultMemberUniqueName="[Table1_14  2].[No-show Rate].[All]" allUniqueName="[Table1_14  2].[No-show Rate].[All]" dimensionUniqueName="[Table1_14  2]" displayFolder="" count="2" memberValueDatatype="5" unbalanced="0"/>
    <cacheHierarchy uniqueName="[Table1_14  2].[Absence Flag]" caption="Absence Flag" attribute="1" defaultMemberUniqueName="[Table1_14  2].[Absence Flag].[All]" allUniqueName="[Table1_14  2].[Absence Flag].[All]" dimensionUniqueName="[Table1_14  2]" displayFolder="" count="2" memberValueDatatype="130" unbalanced="0"/>
    <cacheHierarchy uniqueName="[Table1_14  2].[BaseStatus]" caption="BaseStatus" attribute="1" defaultMemberUniqueName="[Table1_14  2].[BaseStatus].[All]" allUniqueName="[Table1_14  2].[BaseStatus].[All]" dimensionUniqueName="[Table1_14  2]" displayFolder="" count="2" memberValueDatatype="130" unbalanced="0"/>
    <cacheHierarchy uniqueName="[Table1_14  2].[BaseFlag]" caption="BaseFlag" attribute="1" defaultMemberUniqueName="[Table1_14  2].[BaseFlag].[All]" allUniqueName="[Table1_14  2].[BaseFlag].[All]" dimensionUniqueName="[Table1_14  2]" displayFolder="" count="2" memberValueDatatype="130" unbalanced="0">
      <fieldsUsage count="2">
        <fieldUsage x="-1"/>
        <fieldUsage x="0"/>
      </fieldsUsage>
    </cacheHierarchy>
    <cacheHierarchy uniqueName="[Table1_14  2].[AnomalyFlag]" caption="AnomalyFlag" attribute="1" defaultMemberUniqueName="[Table1_14  2].[AnomalyFlag].[All]" allUniqueName="[Table1_14  2].[AnomalyFlag].[All]" dimensionUniqueName="[Table1_14  2]" displayFolder="" count="2" memberValueDatatype="130" unbalanced="0"/>
    <cacheHierarchy uniqueName="[Table1_14  2].[Integrity_CheckType]" caption="Integrity_CheckType" attribute="1" defaultMemberUniqueName="[Table1_14  2].[Integrity_CheckType].[All]" allUniqueName="[Table1_14  2].[Integrity_CheckType].[All]" dimensionUniqueName="[Table1_14  2]" displayFolder="" count="2" memberValueDatatype="130" unbalanced="0"/>
    <cacheHierarchy uniqueName="[Table1_14  2].[Integrity_CheckResult]" caption="Integrity_CheckResult" attribute="1" defaultMemberUniqueName="[Table1_14  2].[Integrity_CheckResult].[All]" allUniqueName="[Table1_14  2].[Integrity_CheckResult].[All]" dimensionUniqueName="[Table1_14  2]" displayFolder="" count="2" memberValueDatatype="130" unbalanced="0"/>
    <cacheHierarchy uniqueName="[Measures].[Count of Integrity_CheckResult]" caption="Count of Integrity_CheckResult" measure="1" displayFolder="" measureGroup="Table1_14  2" count="0">
      <extLst>
        <ext xmlns:x15="http://schemas.microsoft.com/office/spreadsheetml/2010/11/main" uri="{B97F6D7D-B522-45F9-BDA1-12C45D357490}">
          <x15:cacheHierarchy aggregatedColumn="13"/>
        </ext>
      </extLst>
    </cacheHierarchy>
    <cacheHierarchy uniqueName="[Measures].[Count of School Type]" caption="Count of School Type" measure="1" displayFolder="" measureGroup="Table1_14  2" count="0">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extLst>
        <ext xmlns:x15="http://schemas.microsoft.com/office/spreadsheetml/2010/11/main" uri="{B97F6D7D-B522-45F9-BDA1-12C45D357490}">
          <x15:cacheHierarchy aggregatedColumn="6"/>
        </ext>
      </extLst>
    </cacheHierarchy>
    <cacheHierarchy uniqueName="[Measures].[Sum of Registered]" caption="Sum of Registered" measure="1" displayFolder="" measureGroup="Table1_14  2" count="0" oneField="1">
      <fieldsUsage count="1">
        <fieldUsage x="3"/>
      </fieldsUsage>
      <extLst>
        <ext xmlns:x15="http://schemas.microsoft.com/office/spreadsheetml/2010/11/main" uri="{B97F6D7D-B522-45F9-BDA1-12C45D357490}">
          <x15:cacheHierarchy aggregatedColumn="4"/>
        </ext>
      </extLst>
    </cacheHierarchy>
    <cacheHierarchy uniqueName="[Measures].[Min of Registered]" caption="Min of Registered" measure="1" displayFolder="" measureGroup="Table1_14  2" count="0">
      <extLst>
        <ext xmlns:x15="http://schemas.microsoft.com/office/spreadsheetml/2010/11/main" uri="{B97F6D7D-B522-45F9-BDA1-12C45D357490}">
          <x15:cacheHierarchy aggregatedColumn="4"/>
        </ext>
      </extLst>
    </cacheHierarchy>
    <cacheHierarchy uniqueName="[Measures].[Count of BaseFlag]" caption="Count of BaseFlag" measure="1" displayFolder="" measureGroup="Table1_14  2" count="0" oneField="1">
      <fieldsUsage count="1">
        <fieldUsage x="2"/>
      </fieldsUsage>
      <extLst>
        <ext xmlns:x15="http://schemas.microsoft.com/office/spreadsheetml/2010/11/main" uri="{B97F6D7D-B522-45F9-BDA1-12C45D357490}">
          <x15:cacheHierarchy aggregatedColumn="10"/>
        </ext>
      </extLst>
    </cacheHierarchy>
    <cacheHierarchy uniqueName="[Measures].[Count of AnomalyFlag]" caption="Count of AnomalyFlag" measure="1" displayFolder="" measureGroup="Table1_14  2" count="0">
      <extLst>
        <ext xmlns:x15="http://schemas.microsoft.com/office/spreadsheetml/2010/11/main" uri="{B97F6D7D-B522-45F9-BDA1-12C45D357490}">
          <x15:cacheHierarchy aggregatedColumn="11"/>
        </ext>
      </extLst>
    </cacheHierarchy>
    <cacheHierarchy uniqueName="[Measures].[FlagCount]" caption="FlagCount" measure="1" displayFolder="" measureGroup="Table1_14  2" count="0"/>
    <cacheHierarchy uniqueName="[Measures].[TotalCount]" caption="TotalCount" measure="1" displayFolder="" measureGroup="Table1_14  2" count="0"/>
    <cacheHierarchy uniqueName="[Measures].[PercentFlagged]" caption="PercentFlagged" measure="1" displayFolder="" measureGroup="Table1_14  2" count="0"/>
    <cacheHierarchy uniqueName="[Measures].[Percentile25]" caption="Percentile25" measure="1" displayFolder="" measureGroup="Table1_14  2" count="0"/>
    <cacheHierarchy uniqueName="[Measures].[MinNonZeroBase]" caption="MinNonZeroBase" measure="1" displayFolder="" measureGroup="Table1_14  2" count="0"/>
    <cacheHierarchy uniqueName="[Measures].[MedianBase]" caption="MedianBase" measure="1" displayFolder="" measureGroup="Table1_14  2" count="0"/>
    <cacheHierarchy uniqueName="[Measures].[CountBelow30]" caption="CountBelow30" measure="1" displayFolder="" measureGroup="Table1_14  2" count="0"/>
    <cacheHierarchy uniqueName="[Measures].[CountBelow50]" caption="CountBelow50" measure="1" displayFolder="" measureGroup="Table1_14  2" count="0"/>
    <cacheHierarchy uniqueName="[Measures].[CountBelow100]" caption="CountBelow100" measure="1" displayFolder="" measureGroup="Table1_14  2" count="0"/>
    <cacheHierarchy uniqueName="[Measures].[CountBelow1000]" caption="CountBelow1000" measure="1" displayFolder="" measureGroup="Table1_14  2" count="0"/>
    <cacheHierarchy uniqueName="[Measures].[MinNonZeroRate]" caption="MinNonZeroRate" measure="1" displayFolder="" measureGroup="Table1_14  2" count="0"/>
    <cacheHierarchy uniqueName="[Measures].[Percentile25Rate]" caption="Percentile25Rate" measure="1" displayFolder="" measureGroup="Table1_14  2" count="0"/>
    <cacheHierarchy uniqueName="[Measures].[MedianRate]" caption="MedianRate" measure="1" displayFolder="" measureGroup="Table1_14  2" count="0"/>
    <cacheHierarchy uniqueName="[Measures].[CountBelow90]" caption="CountBelow90" measure="1" displayFolder="" measureGroup="Table1_14  2" count="0"/>
    <cacheHierarchy uniqueName="[Measures].[CountBelow95]" caption="CountBelow95" measure="1" displayFolder="" measureGroup="Table1_14  2" count="0"/>
    <cacheHierarchy uniqueName="[Measures].[CountBelow96]" caption="CountBelow96" measure="1" displayFolder="" measureGroup="Table1_14  2" count="0"/>
    <cacheHierarchy uniqueName="[Measures].[CountBelow98]" caption="CountBelow98" measure="1" displayFolder="" measureGroup="Table1_14  2" count="0"/>
    <cacheHierarchy uniqueName="[Measures].[CountBelow98.8]" caption="CountBelow98.8" measure="1" displayFolder="" measureGroup="Table1_14  2" count="0"/>
    <cacheHierarchy uniqueName="[Measures].[CountBelow98.5]" caption="CountBelow98.5" measure="1" displayFolder="" measureGroup="Table1_14  2" count="0"/>
    <cacheHierarchy uniqueName="[Measures].[CountBelow98.6]" caption="CountBelow98.6" measure="1" displayFolder="" measureGroup="Table1_14  2" count="0"/>
    <cacheHierarchy uniqueName="[Measures].[CountBelow98.7]" caption="CountBelow98.7" measure="1" displayFolder="" measureGroup="Table1_14  2" count="0"/>
    <cacheHierarchy uniqueName="[Measures].[CountBelow98.9]" caption="CountBelow98.9" measure="1" displayFolder="" measureGroup="Table1_14  2" count="0"/>
    <cacheHierarchy uniqueName="[Measures].[CountBelow99]" caption="CountBelow99" measure="1" displayFolder="" measureGroup="Table1_14  2" count="0"/>
    <cacheHierarchy uniqueName="[Measures].[Blank FieldsInAR]" caption="Blank FieldsInAR" measure="1" displayFolder="" measureGroup="Table1_14  2" count="0"/>
    <cacheHierarchy uniqueName="[Measures].[NonEmptyRowsInAR]" caption="NonEmptyRowsInAR" measure="1" displayFolder="" measureGroup="Table1_14  2" count="0"/>
    <cacheHierarchy uniqueName="[Measures].[TotalCountAR]" caption="TotalCountAR" measure="1" displayFolder="" measureGroup="Table1_14  2" count="0"/>
    <cacheHierarchy uniqueName="[Measures].[Coverage Share]" caption="Coverage Share" measure="1" displayFolder="" measureGroup="Table1_14  2" count="0" oneField="1">
      <fieldsUsage count="1">
        <fieldUsage x="1"/>
      </fieldsUsage>
    </cacheHierarchy>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ies>
  <kpis count="0"/>
  <dimensions count="2">
    <dimension measure="1" name="Measures" uniqueName="[Measures]" caption="Measures"/>
    <dimension name="Table1_14  2" uniqueName="[Table1_14  2]" caption="Table1_14  2"/>
  </dimensions>
  <measureGroups count="1">
    <measureGroup name="Table1_14  2" caption="Table1_14  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7.738041435186" createdVersion="8" refreshedVersion="8" minRefreshableVersion="3" recordCount="0" supportSubquery="1" supportAdvancedDrill="1" xr:uid="{F2C0133C-14AE-4100-9792-173F764601F4}">
  <cacheSource type="external" connectionId="3"/>
  <cacheFields count="4">
    <cacheField name="[Table1_14  2].[Integrity_CheckType].[Integrity_CheckType]" caption="Integrity_CheckType" numFmtId="0" hierarchy="12" level="1">
      <sharedItems count="3">
        <s v="MissingCheck"/>
        <s v="RateCheck"/>
        <s v="RegisteredCheck"/>
      </sharedItems>
      <extLst>
        <ext xmlns:x15="http://schemas.microsoft.com/office/spreadsheetml/2010/11/main" uri="{4F2E5C28-24EA-4eb8-9CBF-B6C8F9C3D259}">
          <x15:cachedUniqueNames>
            <x15:cachedUniqueName index="0" name="[Table1_14  2].[Integrity_CheckType].&amp;[MissingCheck]"/>
            <x15:cachedUniqueName index="1" name="[Table1_14  2].[Integrity_CheckType].&amp;[RateCheck]"/>
            <x15:cachedUniqueName index="2" name="[Table1_14  2].[Integrity_CheckType].&amp;[RegisteredCheck]"/>
          </x15:cachedUniqueNames>
        </ext>
      </extLst>
    </cacheField>
    <cacheField name="[Table1_14  2].[Integrity_CheckResult].[Integrity_CheckResult]" caption="Integrity_CheckResult" numFmtId="0" hierarchy="13" level="1">
      <sharedItems count="2">
        <s v="FLAG"/>
        <s v="OK"/>
      </sharedItems>
      <extLst>
        <ext xmlns:x15="http://schemas.microsoft.com/office/spreadsheetml/2010/11/main" uri="{4F2E5C28-24EA-4eb8-9CBF-B6C8F9C3D259}">
          <x15:cachedUniqueNames>
            <x15:cachedUniqueName index="0" name="[Table1_14  2].[Integrity_CheckResult].&amp;[FLAG]"/>
            <x15:cachedUniqueName index="1" name="[Table1_14  2].[Integrity_CheckResult].&amp;[OK]"/>
          </x15:cachedUniqueNames>
        </ext>
      </extLst>
    </cacheField>
    <cacheField name="[Measures].[Count of Integrity_CheckResult]" caption="Count of Integrity_CheckResult" numFmtId="0" hierarchy="14" level="32767"/>
    <cacheField name="[Table1_14  2].[Region].[Region]" caption="Region" numFmtId="0" hierarchy="2" level="1">
      <sharedItems containsSemiMixedTypes="0" containsNonDate="0" containsString="0"/>
    </cacheField>
  </cacheFields>
  <cacheHierarchies count="52">
    <cacheHierarchy uniqueName="[Table1_14  2].[Class]" caption="Class" attribute="1" defaultMemberUniqueName="[Table1_14  2].[Class].[All]" allUniqueName="[Table1_14  2].[Class].[All]" dimensionUniqueName="[Table1_14  2]" displayFolder="" count="0" memberValueDatatype="20" unbalanced="0"/>
    <cacheHierarchy uniqueName="[Table1_14  2].[Year]" caption="Year" attribute="1" defaultMemberUniqueName="[Table1_14  2].[Year].[All]" allUniqueName="[Table1_14  2].[Year].[All]" dimensionUniqueName="[Table1_14  2]" displayFolder="" count="0" memberValueDatatype="20" unbalanced="0"/>
    <cacheHierarchy uniqueName="[Table1_14  2].[Region]" caption="Region" attribute="1" defaultMemberUniqueName="[Table1_14  2].[Region].[All]" allUniqueName="[Table1_14  2].[Region].[All]" dimensionUniqueName="[Table1_14  2]" displayFolder="" count="2" memberValueDatatype="130" unbalanced="0">
      <fieldsUsage count="2">
        <fieldUsage x="-1"/>
        <fieldUsage x="3"/>
      </fieldsUsage>
    </cacheHierarchy>
    <cacheHierarchy uniqueName="[Table1_14  2].[School Type]" caption="School Type" attribute="1" defaultMemberUniqueName="[Table1_14  2].[School Type].[All]" allUniqueName="[Table1_14  2].[School Type].[All]" dimensionUniqueName="[Table1_14  2]" displayFolder="" count="2" memberValueDatatype="130" unbalanced="0"/>
    <cacheHierarchy uniqueName="[Table1_14  2].[Registered]" caption="Registered" attribute="1" defaultMemberUniqueName="[Table1_14  2].[Registered].[All]" allUniqueName="[Table1_14  2].[Registered].[All]" dimensionUniqueName="[Table1_14  2]" displayFolder="" count="0" memberValueDatatype="20" unbalanced="0"/>
    <cacheHierarchy uniqueName="[Table1_14  2].[Appeared]" caption="Appeared" attribute="1" defaultMemberUniqueName="[Table1_14  2].[Appeared].[All]" allUniqueName="[Table1_14  2].[Appeared].[All]" dimensionUniqueName="[Table1_14  2]" displayFolder="" count="0" memberValueDatatype="20" unbalanced="0"/>
    <cacheHierarchy uniqueName="[Table1_14  2].[Appearance Rate]" caption="Appearance Rate" attribute="1" defaultMemberUniqueName="[Table1_14  2].[Appearance Rate].[All]" allUniqueName="[Table1_14  2].[Appearance Rate].[All]" dimensionUniqueName="[Table1_14  2]" displayFolder="" count="0" memberValueDatatype="5" unbalanced="0"/>
    <cacheHierarchy uniqueName="[Table1_14  2].[No-show Rate]" caption="No-show Rate" attribute="1" defaultMemberUniqueName="[Table1_14  2].[No-show Rate].[All]" allUniqueName="[Table1_14  2].[No-show Rate].[All]" dimensionUniqueName="[Table1_14  2]" displayFolder="" count="0" memberValueDatatype="5" unbalanced="0"/>
    <cacheHierarchy uniqueName="[Table1_14  2].[Absence Flag]" caption="Absence Flag" attribute="1" defaultMemberUniqueName="[Table1_14  2].[Absence Flag].[All]" allUniqueName="[Table1_14  2].[Absence Flag].[All]" dimensionUniqueName="[Table1_14  2]" displayFolder="" count="0" memberValueDatatype="130" unbalanced="0"/>
    <cacheHierarchy uniqueName="[Table1_14  2].[BaseStatus]" caption="BaseStatus" attribute="1" defaultMemberUniqueName="[Table1_14  2].[BaseStatus].[All]" allUniqueName="[Table1_14  2].[BaseStatus].[All]" dimensionUniqueName="[Table1_14  2]" displayFolder="" count="0" memberValueDatatype="130" unbalanced="0"/>
    <cacheHierarchy uniqueName="[Table1_14  2].[BaseFlag]" caption="BaseFlag" attribute="1" defaultMemberUniqueName="[Table1_14  2].[BaseFlag].[All]" allUniqueName="[Table1_14  2].[BaseFlag].[All]" dimensionUniqueName="[Table1_14  2]" displayFolder="" count="0" memberValueDatatype="130" unbalanced="0"/>
    <cacheHierarchy uniqueName="[Table1_14  2].[AnomalyFlag]" caption="AnomalyFlag" attribute="1" defaultMemberUniqueName="[Table1_14  2].[AnomalyFlag].[All]" allUniqueName="[Table1_14  2].[AnomalyFlag].[All]" dimensionUniqueName="[Table1_14  2]" displayFolder="" count="0" memberValueDatatype="130" unbalanced="0"/>
    <cacheHierarchy uniqueName="[Table1_14  2].[Integrity_CheckType]" caption="Integrity_CheckType" attribute="1" defaultMemberUniqueName="[Table1_14  2].[Integrity_CheckType].[All]" allUniqueName="[Table1_14  2].[Integrity_CheckType].[All]" dimensionUniqueName="[Table1_14  2]" displayFolder="" count="2" memberValueDatatype="130" unbalanced="0">
      <fieldsUsage count="2">
        <fieldUsage x="-1"/>
        <fieldUsage x="0"/>
      </fieldsUsage>
    </cacheHierarchy>
    <cacheHierarchy uniqueName="[Table1_14  2].[Integrity_CheckResult]" caption="Integrity_CheckResult" attribute="1" defaultMemberUniqueName="[Table1_14  2].[Integrity_CheckResult].[All]" allUniqueName="[Table1_14  2].[Integrity_CheckResult].[All]" dimensionUniqueName="[Table1_14  2]" displayFolder="" count="2" memberValueDatatype="130" unbalanced="0">
      <fieldsUsage count="2">
        <fieldUsage x="-1"/>
        <fieldUsage x="1"/>
      </fieldsUsage>
    </cacheHierarchy>
    <cacheHierarchy uniqueName="[Measures].[Count of Integrity_CheckResult]" caption="Count of Integrity_CheckResult" measure="1" displayFolder="" measureGroup="Table1_14  2" count="0" oneField="1">
      <fieldsUsage count="1">
        <fieldUsage x="2"/>
      </fieldsUsage>
      <extLst>
        <ext xmlns:x15="http://schemas.microsoft.com/office/spreadsheetml/2010/11/main" uri="{B97F6D7D-B522-45F9-BDA1-12C45D357490}">
          <x15:cacheHierarchy aggregatedColumn="13"/>
        </ext>
      </extLst>
    </cacheHierarchy>
    <cacheHierarchy uniqueName="[Measures].[Count of School Type]" caption="Count of School Type" measure="1" displayFolder="" measureGroup="Table1_14  2" count="0">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extLst>
        <ext xmlns:x15="http://schemas.microsoft.com/office/spreadsheetml/2010/11/main" uri="{B97F6D7D-B522-45F9-BDA1-12C45D357490}">
          <x15:cacheHierarchy aggregatedColumn="6"/>
        </ext>
      </extLst>
    </cacheHierarchy>
    <cacheHierarchy uniqueName="[Measures].[Sum of Registered]" caption="Sum of Registered" measure="1" displayFolder="" measureGroup="Table1_14  2" count="0">
      <extLst>
        <ext xmlns:x15="http://schemas.microsoft.com/office/spreadsheetml/2010/11/main" uri="{B97F6D7D-B522-45F9-BDA1-12C45D357490}">
          <x15:cacheHierarchy aggregatedColumn="4"/>
        </ext>
      </extLst>
    </cacheHierarchy>
    <cacheHierarchy uniqueName="[Measures].[Min of Registered]" caption="Min of Registered" measure="1" displayFolder="" measureGroup="Table1_14  2" count="0">
      <extLst>
        <ext xmlns:x15="http://schemas.microsoft.com/office/spreadsheetml/2010/11/main" uri="{B97F6D7D-B522-45F9-BDA1-12C45D357490}">
          <x15:cacheHierarchy aggregatedColumn="4"/>
        </ext>
      </extLst>
    </cacheHierarchy>
    <cacheHierarchy uniqueName="[Measures].[Count of BaseFlag]" caption="Count of BaseFlag" measure="1" displayFolder="" measureGroup="Table1_14  2" count="0">
      <extLst>
        <ext xmlns:x15="http://schemas.microsoft.com/office/spreadsheetml/2010/11/main" uri="{B97F6D7D-B522-45F9-BDA1-12C45D357490}">
          <x15:cacheHierarchy aggregatedColumn="10"/>
        </ext>
      </extLst>
    </cacheHierarchy>
    <cacheHierarchy uniqueName="[Measures].[Count of AnomalyFlag]" caption="Count of AnomalyFlag" measure="1" displayFolder="" measureGroup="Table1_14  2" count="0">
      <extLst>
        <ext xmlns:x15="http://schemas.microsoft.com/office/spreadsheetml/2010/11/main" uri="{B97F6D7D-B522-45F9-BDA1-12C45D357490}">
          <x15:cacheHierarchy aggregatedColumn="11"/>
        </ext>
      </extLst>
    </cacheHierarchy>
    <cacheHierarchy uniqueName="[Measures].[FlagCount]" caption="FlagCount" measure="1" displayFolder="" measureGroup="Table1_14  2" count="0"/>
    <cacheHierarchy uniqueName="[Measures].[TotalCount]" caption="TotalCount" measure="1" displayFolder="" measureGroup="Table1_14  2" count="0"/>
    <cacheHierarchy uniqueName="[Measures].[PercentFlagged]" caption="PercentFlagged" measure="1" displayFolder="" measureGroup="Table1_14  2" count="0"/>
    <cacheHierarchy uniqueName="[Measures].[Percentile25]" caption="Percentile25" measure="1" displayFolder="" measureGroup="Table1_14  2" count="0"/>
    <cacheHierarchy uniqueName="[Measures].[MinNonZeroBase]" caption="MinNonZeroBase" measure="1" displayFolder="" measureGroup="Table1_14  2" count="0"/>
    <cacheHierarchy uniqueName="[Measures].[MedianBase]" caption="MedianBase" measure="1" displayFolder="" measureGroup="Table1_14  2" count="0"/>
    <cacheHierarchy uniqueName="[Measures].[CountBelow30]" caption="CountBelow30" measure="1" displayFolder="" measureGroup="Table1_14  2" count="0"/>
    <cacheHierarchy uniqueName="[Measures].[CountBelow50]" caption="CountBelow50" measure="1" displayFolder="" measureGroup="Table1_14  2" count="0"/>
    <cacheHierarchy uniqueName="[Measures].[CountBelow100]" caption="CountBelow100" measure="1" displayFolder="" measureGroup="Table1_14  2" count="0"/>
    <cacheHierarchy uniqueName="[Measures].[CountBelow1000]" caption="CountBelow1000" measure="1" displayFolder="" measureGroup="Table1_14  2" count="0"/>
    <cacheHierarchy uniqueName="[Measures].[MinNonZeroRate]" caption="MinNonZeroRate" measure="1" displayFolder="" measureGroup="Table1_14  2" count="0"/>
    <cacheHierarchy uniqueName="[Measures].[Percentile25Rate]" caption="Percentile25Rate" measure="1" displayFolder="" measureGroup="Table1_14  2" count="0"/>
    <cacheHierarchy uniqueName="[Measures].[MedianRate]" caption="MedianRate" measure="1" displayFolder="" measureGroup="Table1_14  2" count="0"/>
    <cacheHierarchy uniqueName="[Measures].[CountBelow90]" caption="CountBelow90" measure="1" displayFolder="" measureGroup="Table1_14  2" count="0"/>
    <cacheHierarchy uniqueName="[Measures].[CountBelow95]" caption="CountBelow95" measure="1" displayFolder="" measureGroup="Table1_14  2" count="0"/>
    <cacheHierarchy uniqueName="[Measures].[CountBelow96]" caption="CountBelow96" measure="1" displayFolder="" measureGroup="Table1_14  2" count="0"/>
    <cacheHierarchy uniqueName="[Measures].[CountBelow98]" caption="CountBelow98" measure="1" displayFolder="" measureGroup="Table1_14  2" count="0"/>
    <cacheHierarchy uniqueName="[Measures].[CountBelow98.8]" caption="CountBelow98.8" measure="1" displayFolder="" measureGroup="Table1_14  2" count="0"/>
    <cacheHierarchy uniqueName="[Measures].[CountBelow98.5]" caption="CountBelow98.5" measure="1" displayFolder="" measureGroup="Table1_14  2" count="0"/>
    <cacheHierarchy uniqueName="[Measures].[CountBelow98.6]" caption="CountBelow98.6" measure="1" displayFolder="" measureGroup="Table1_14  2" count="0"/>
    <cacheHierarchy uniqueName="[Measures].[CountBelow98.7]" caption="CountBelow98.7" measure="1" displayFolder="" measureGroup="Table1_14  2" count="0"/>
    <cacheHierarchy uniqueName="[Measures].[CountBelow98.9]" caption="CountBelow98.9" measure="1" displayFolder="" measureGroup="Table1_14  2" count="0"/>
    <cacheHierarchy uniqueName="[Measures].[CountBelow99]" caption="CountBelow99" measure="1" displayFolder="" measureGroup="Table1_14  2" count="0"/>
    <cacheHierarchy uniqueName="[Measures].[Blank FieldsInAR]" caption="Blank FieldsInAR" measure="1" displayFolder="" measureGroup="Table1_14  2" count="0"/>
    <cacheHierarchy uniqueName="[Measures].[NonEmptyRowsInAR]" caption="NonEmptyRowsInAR" measure="1" displayFolder="" measureGroup="Table1_14  2" count="0"/>
    <cacheHierarchy uniqueName="[Measures].[TotalCountAR]" caption="TotalCountAR" measure="1" displayFolder="" measureGroup="Table1_14  2" count="0"/>
    <cacheHierarchy uniqueName="[Measures].[Coverage Share]" caption="Coverage Share" measure="1" displayFolder="" measureGroup="Table1_14  2" count="0"/>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ies>
  <kpis count="0"/>
  <dimensions count="2">
    <dimension measure="1" name="Measures" uniqueName="[Measures]" caption="Measures"/>
    <dimension name="Table1_14  2" uniqueName="[Table1_14  2]" caption="Table1_14  2"/>
  </dimensions>
  <measureGroups count="1">
    <measureGroup name="Table1_14  2" caption="Table1_14  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7.738041550925" createdVersion="8" refreshedVersion="8" minRefreshableVersion="3" recordCount="0" supportSubquery="1" supportAdvancedDrill="1" xr:uid="{6F38FFB3-C2EA-43DE-9D62-BC4E299293BB}">
  <cacheSource type="external" connectionId="3"/>
  <cacheFields count="2">
    <cacheField name="[Measures].[PercentFlagged]" caption="PercentFlagged" numFmtId="0" hierarchy="25" level="32767"/>
    <cacheField name="[Table1_14  2].[Region].[Region]" caption="Region" numFmtId="0" hierarchy="2" level="1">
      <sharedItems containsSemiMixedTypes="0" containsNonDate="0" containsString="0"/>
    </cacheField>
  </cacheFields>
  <cacheHierarchies count="52">
    <cacheHierarchy uniqueName="[Table1_14  2].[Class]" caption="Class" attribute="1" defaultMemberUniqueName="[Table1_14  2].[Class].[All]" allUniqueName="[Table1_14  2].[Class].[All]" dimensionUniqueName="[Table1_14  2]" displayFolder="" count="0" memberValueDatatype="20" unbalanced="0"/>
    <cacheHierarchy uniqueName="[Table1_14  2].[Year]" caption="Year" attribute="1" defaultMemberUniqueName="[Table1_14  2].[Year].[All]" allUniqueName="[Table1_14  2].[Year].[All]" dimensionUniqueName="[Table1_14  2]" displayFolder="" count="0" memberValueDatatype="20" unbalanced="0"/>
    <cacheHierarchy uniqueName="[Table1_14  2].[Region]" caption="Region" attribute="1" defaultMemberUniqueName="[Table1_14  2].[Region].[All]" allUniqueName="[Table1_14  2].[Region].[All]" dimensionUniqueName="[Table1_14  2]" displayFolder="" count="2" memberValueDatatype="130" unbalanced="0">
      <fieldsUsage count="2">
        <fieldUsage x="-1"/>
        <fieldUsage x="1"/>
      </fieldsUsage>
    </cacheHierarchy>
    <cacheHierarchy uniqueName="[Table1_14  2].[School Type]" caption="School Type" attribute="1" defaultMemberUniqueName="[Table1_14  2].[School Type].[All]" allUniqueName="[Table1_14  2].[School Type].[All]" dimensionUniqueName="[Table1_14  2]" displayFolder="" count="2" memberValueDatatype="130" unbalanced="0"/>
    <cacheHierarchy uniqueName="[Table1_14  2].[Registered]" caption="Registered" attribute="1" defaultMemberUniqueName="[Table1_14  2].[Registered].[All]" allUniqueName="[Table1_14  2].[Registered].[All]" dimensionUniqueName="[Table1_14  2]" displayFolder="" count="0" memberValueDatatype="20" unbalanced="0"/>
    <cacheHierarchy uniqueName="[Table1_14  2].[Appeared]" caption="Appeared" attribute="1" defaultMemberUniqueName="[Table1_14  2].[Appeared].[All]" allUniqueName="[Table1_14  2].[Appeared].[All]" dimensionUniqueName="[Table1_14  2]" displayFolder="" count="0" memberValueDatatype="20" unbalanced="0"/>
    <cacheHierarchy uniqueName="[Table1_14  2].[Appearance Rate]" caption="Appearance Rate" attribute="1" defaultMemberUniqueName="[Table1_14  2].[Appearance Rate].[All]" allUniqueName="[Table1_14  2].[Appearance Rate].[All]" dimensionUniqueName="[Table1_14  2]" displayFolder="" count="0" memberValueDatatype="5" unbalanced="0"/>
    <cacheHierarchy uniqueName="[Table1_14  2].[No-show Rate]" caption="No-show Rate" attribute="1" defaultMemberUniqueName="[Table1_14  2].[No-show Rate].[All]" allUniqueName="[Table1_14  2].[No-show Rate].[All]" dimensionUniqueName="[Table1_14  2]" displayFolder="" count="0" memberValueDatatype="5" unbalanced="0"/>
    <cacheHierarchy uniqueName="[Table1_14  2].[Absence Flag]" caption="Absence Flag" attribute="1" defaultMemberUniqueName="[Table1_14  2].[Absence Flag].[All]" allUniqueName="[Table1_14  2].[Absence Flag].[All]" dimensionUniqueName="[Table1_14  2]" displayFolder="" count="0" memberValueDatatype="130" unbalanced="0"/>
    <cacheHierarchy uniqueName="[Table1_14  2].[BaseStatus]" caption="BaseStatus" attribute="1" defaultMemberUniqueName="[Table1_14  2].[BaseStatus].[All]" allUniqueName="[Table1_14  2].[BaseStatus].[All]" dimensionUniqueName="[Table1_14  2]" displayFolder="" count="0" memberValueDatatype="130" unbalanced="0"/>
    <cacheHierarchy uniqueName="[Table1_14  2].[BaseFlag]" caption="BaseFlag" attribute="1" defaultMemberUniqueName="[Table1_14  2].[BaseFlag].[All]" allUniqueName="[Table1_14  2].[BaseFlag].[All]" dimensionUniqueName="[Table1_14  2]" displayFolder="" count="0" memberValueDatatype="130" unbalanced="0"/>
    <cacheHierarchy uniqueName="[Table1_14  2].[AnomalyFlag]" caption="AnomalyFlag" attribute="1" defaultMemberUniqueName="[Table1_14  2].[AnomalyFlag].[All]" allUniqueName="[Table1_14  2].[AnomalyFlag].[All]" dimensionUniqueName="[Table1_14  2]" displayFolder="" count="0" memberValueDatatype="130" unbalanced="0"/>
    <cacheHierarchy uniqueName="[Table1_14  2].[Integrity_CheckType]" caption="Integrity_CheckType" attribute="1" defaultMemberUniqueName="[Table1_14  2].[Integrity_CheckType].[All]" allUniqueName="[Table1_14  2].[Integrity_CheckType].[All]" dimensionUniqueName="[Table1_14  2]" displayFolder="" count="0" memberValueDatatype="130" unbalanced="0"/>
    <cacheHierarchy uniqueName="[Table1_14  2].[Integrity_CheckResult]" caption="Integrity_CheckResult" attribute="1" defaultMemberUniqueName="[Table1_14  2].[Integrity_CheckResult].[All]" allUniqueName="[Table1_14  2].[Integrity_CheckResult].[All]" dimensionUniqueName="[Table1_14  2]" displayFolder="" count="2" memberValueDatatype="130" unbalanced="0"/>
    <cacheHierarchy uniqueName="[Measures].[Count of Integrity_CheckResult]" caption="Count of Integrity_CheckResult" measure="1" displayFolder="" measureGroup="Table1_14  2" count="0">
      <extLst>
        <ext xmlns:x15="http://schemas.microsoft.com/office/spreadsheetml/2010/11/main" uri="{B97F6D7D-B522-45F9-BDA1-12C45D357490}">
          <x15:cacheHierarchy aggregatedColumn="13"/>
        </ext>
      </extLst>
    </cacheHierarchy>
    <cacheHierarchy uniqueName="[Measures].[Count of School Type]" caption="Count of School Type" measure="1" displayFolder="" measureGroup="Table1_14  2" count="0">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extLst>
        <ext xmlns:x15="http://schemas.microsoft.com/office/spreadsheetml/2010/11/main" uri="{B97F6D7D-B522-45F9-BDA1-12C45D357490}">
          <x15:cacheHierarchy aggregatedColumn="6"/>
        </ext>
      </extLst>
    </cacheHierarchy>
    <cacheHierarchy uniqueName="[Measures].[Sum of Registered]" caption="Sum of Registered" measure="1" displayFolder="" measureGroup="Table1_14  2" count="0">
      <extLst>
        <ext xmlns:x15="http://schemas.microsoft.com/office/spreadsheetml/2010/11/main" uri="{B97F6D7D-B522-45F9-BDA1-12C45D357490}">
          <x15:cacheHierarchy aggregatedColumn="4"/>
        </ext>
      </extLst>
    </cacheHierarchy>
    <cacheHierarchy uniqueName="[Measures].[Min of Registered]" caption="Min of Registered" measure="1" displayFolder="" measureGroup="Table1_14  2" count="0">
      <extLst>
        <ext xmlns:x15="http://schemas.microsoft.com/office/spreadsheetml/2010/11/main" uri="{B97F6D7D-B522-45F9-BDA1-12C45D357490}">
          <x15:cacheHierarchy aggregatedColumn="4"/>
        </ext>
      </extLst>
    </cacheHierarchy>
    <cacheHierarchy uniqueName="[Measures].[Count of BaseFlag]" caption="Count of BaseFlag" measure="1" displayFolder="" measureGroup="Table1_14  2" count="0">
      <extLst>
        <ext xmlns:x15="http://schemas.microsoft.com/office/spreadsheetml/2010/11/main" uri="{B97F6D7D-B522-45F9-BDA1-12C45D357490}">
          <x15:cacheHierarchy aggregatedColumn="10"/>
        </ext>
      </extLst>
    </cacheHierarchy>
    <cacheHierarchy uniqueName="[Measures].[Count of AnomalyFlag]" caption="Count of AnomalyFlag" measure="1" displayFolder="" measureGroup="Table1_14  2" count="0">
      <extLst>
        <ext xmlns:x15="http://schemas.microsoft.com/office/spreadsheetml/2010/11/main" uri="{B97F6D7D-B522-45F9-BDA1-12C45D357490}">
          <x15:cacheHierarchy aggregatedColumn="11"/>
        </ext>
      </extLst>
    </cacheHierarchy>
    <cacheHierarchy uniqueName="[Measures].[FlagCount]" caption="FlagCount" measure="1" displayFolder="" measureGroup="Table1_14  2" count="0"/>
    <cacheHierarchy uniqueName="[Measures].[TotalCount]" caption="TotalCount" measure="1" displayFolder="" measureGroup="Table1_14  2" count="0"/>
    <cacheHierarchy uniqueName="[Measures].[PercentFlagged]" caption="PercentFlagged" measure="1" displayFolder="" measureGroup="Table1_14  2" count="0" oneField="1">
      <fieldsUsage count="1">
        <fieldUsage x="0"/>
      </fieldsUsage>
    </cacheHierarchy>
    <cacheHierarchy uniqueName="[Measures].[Percentile25]" caption="Percentile25" measure="1" displayFolder="" measureGroup="Table1_14  2" count="0"/>
    <cacheHierarchy uniqueName="[Measures].[MinNonZeroBase]" caption="MinNonZeroBase" measure="1" displayFolder="" measureGroup="Table1_14  2" count="0"/>
    <cacheHierarchy uniqueName="[Measures].[MedianBase]" caption="MedianBase" measure="1" displayFolder="" measureGroup="Table1_14  2" count="0"/>
    <cacheHierarchy uniqueName="[Measures].[CountBelow30]" caption="CountBelow30" measure="1" displayFolder="" measureGroup="Table1_14  2" count="0"/>
    <cacheHierarchy uniqueName="[Measures].[CountBelow50]" caption="CountBelow50" measure="1" displayFolder="" measureGroup="Table1_14  2" count="0"/>
    <cacheHierarchy uniqueName="[Measures].[CountBelow100]" caption="CountBelow100" measure="1" displayFolder="" measureGroup="Table1_14  2" count="0"/>
    <cacheHierarchy uniqueName="[Measures].[CountBelow1000]" caption="CountBelow1000" measure="1" displayFolder="" measureGroup="Table1_14  2" count="0"/>
    <cacheHierarchy uniqueName="[Measures].[MinNonZeroRate]" caption="MinNonZeroRate" measure="1" displayFolder="" measureGroup="Table1_14  2" count="0"/>
    <cacheHierarchy uniqueName="[Measures].[Percentile25Rate]" caption="Percentile25Rate" measure="1" displayFolder="" measureGroup="Table1_14  2" count="0"/>
    <cacheHierarchy uniqueName="[Measures].[MedianRate]" caption="MedianRate" measure="1" displayFolder="" measureGroup="Table1_14  2" count="0"/>
    <cacheHierarchy uniqueName="[Measures].[CountBelow90]" caption="CountBelow90" measure="1" displayFolder="" measureGroup="Table1_14  2" count="0"/>
    <cacheHierarchy uniqueName="[Measures].[CountBelow95]" caption="CountBelow95" measure="1" displayFolder="" measureGroup="Table1_14  2" count="0"/>
    <cacheHierarchy uniqueName="[Measures].[CountBelow96]" caption="CountBelow96" measure="1" displayFolder="" measureGroup="Table1_14  2" count="0"/>
    <cacheHierarchy uniqueName="[Measures].[CountBelow98]" caption="CountBelow98" measure="1" displayFolder="" measureGroup="Table1_14  2" count="0"/>
    <cacheHierarchy uniqueName="[Measures].[CountBelow98.8]" caption="CountBelow98.8" measure="1" displayFolder="" measureGroup="Table1_14  2" count="0"/>
    <cacheHierarchy uniqueName="[Measures].[CountBelow98.5]" caption="CountBelow98.5" measure="1" displayFolder="" measureGroup="Table1_14  2" count="0"/>
    <cacheHierarchy uniqueName="[Measures].[CountBelow98.6]" caption="CountBelow98.6" measure="1" displayFolder="" measureGroup="Table1_14  2" count="0"/>
    <cacheHierarchy uniqueName="[Measures].[CountBelow98.7]" caption="CountBelow98.7" measure="1" displayFolder="" measureGroup="Table1_14  2" count="0"/>
    <cacheHierarchy uniqueName="[Measures].[CountBelow98.9]" caption="CountBelow98.9" measure="1" displayFolder="" measureGroup="Table1_14  2" count="0"/>
    <cacheHierarchy uniqueName="[Measures].[CountBelow99]" caption="CountBelow99" measure="1" displayFolder="" measureGroup="Table1_14  2" count="0"/>
    <cacheHierarchy uniqueName="[Measures].[Blank FieldsInAR]" caption="Blank FieldsInAR" measure="1" displayFolder="" measureGroup="Table1_14  2" count="0"/>
    <cacheHierarchy uniqueName="[Measures].[NonEmptyRowsInAR]" caption="NonEmptyRowsInAR" measure="1" displayFolder="" measureGroup="Table1_14  2" count="0"/>
    <cacheHierarchy uniqueName="[Measures].[TotalCountAR]" caption="TotalCountAR" measure="1" displayFolder="" measureGroup="Table1_14  2" count="0"/>
    <cacheHierarchy uniqueName="[Measures].[Coverage Share]" caption="Coverage Share" measure="1" displayFolder="" measureGroup="Table1_14  2" count="0"/>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ies>
  <kpis count="0"/>
  <dimensions count="2">
    <dimension measure="1" name="Measures" uniqueName="[Measures]" caption="Measures"/>
    <dimension name="Table1_14  2" uniqueName="[Table1_14  2]" caption="Table1_14  2"/>
  </dimensions>
  <measureGroups count="1">
    <measureGroup name="Table1_14  2" caption="Table1_14  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7.738041898148" createdVersion="8" refreshedVersion="8" minRefreshableVersion="3" recordCount="0" supportSubquery="1" supportAdvancedDrill="1" xr:uid="{90099950-746A-4488-86AD-87A5ACBBF44B}">
  <cacheSource type="external" connectionId="3"/>
  <cacheFields count="4">
    <cacheField name="[Table1_14  2].[Region].[Region]" caption="Region" numFmtId="0" hierarchy="2" level="1">
      <sharedItems count="16">
        <s v="Ajmer"/>
        <s v="Bengaluru"/>
        <s v="Bhopal"/>
        <s v="Bhubaneswar"/>
        <s v="Chandigarh"/>
        <s v="Chennai"/>
        <s v="Dehradun"/>
        <s v="Delhi East"/>
        <s v="Delhi West"/>
        <s v="Guwahati"/>
        <s v="Noida"/>
        <s v="Panchkula"/>
        <s v="Patna"/>
        <s v="Prayagraj"/>
        <s v="Pune"/>
        <s v="Trivandrum"/>
      </sharedItems>
      <extLst>
        <ext xmlns:x15="http://schemas.microsoft.com/office/spreadsheetml/2010/11/main" uri="{4F2E5C28-24EA-4eb8-9CBF-B6C8F9C3D259}">
          <x15:cachedUniqueNames>
            <x15:cachedUniqueName index="0" name="[Table1_14  2].[Region].&amp;[Ajmer]"/>
            <x15:cachedUniqueName index="1" name="[Table1_14  2].[Region].&amp;[Bengaluru]"/>
            <x15:cachedUniqueName index="2" name="[Table1_14  2].[Region].&amp;[Bhopal]"/>
            <x15:cachedUniqueName index="3" name="[Table1_14  2].[Region].&amp;[Bhubaneswar]"/>
            <x15:cachedUniqueName index="4" name="[Table1_14  2].[Region].&amp;[Chandigarh]"/>
            <x15:cachedUniqueName index="5" name="[Table1_14  2].[Region].&amp;[Chennai]"/>
            <x15:cachedUniqueName index="6" name="[Table1_14  2].[Region].&amp;[Dehradun]"/>
            <x15:cachedUniqueName index="7" name="[Table1_14  2].[Region].&amp;[Delhi East]"/>
            <x15:cachedUniqueName index="8" name="[Table1_14  2].[Region].&amp;[Delhi West]"/>
            <x15:cachedUniqueName index="9" name="[Table1_14  2].[Region].&amp;[Guwahati]"/>
            <x15:cachedUniqueName index="10" name="[Table1_14  2].[Region].&amp;[Noida]"/>
            <x15:cachedUniqueName index="11" name="[Table1_14  2].[Region].&amp;[Panchkula]"/>
            <x15:cachedUniqueName index="12" name="[Table1_14  2].[Region].&amp;[Patna]"/>
            <x15:cachedUniqueName index="13" name="[Table1_14  2].[Region].&amp;[Prayagraj]"/>
            <x15:cachedUniqueName index="14" name="[Table1_14  2].[Region].&amp;[Pune]"/>
            <x15:cachedUniqueName index="15" name="[Table1_14  2].[Region].&amp;[Trivandrum]"/>
          </x15:cachedUniqueNames>
        </ext>
      </extLst>
    </cacheField>
    <cacheField name="[Table1_14  2].[School Type].[School Type]" caption="School Type" numFmtId="0" hierarchy="3" level="1">
      <sharedItems count="6">
        <s v="CTSA"/>
        <s v="GOVT"/>
        <s v="GOVT AIDED"/>
        <s v="INDEPENDENT"/>
        <s v="JNV"/>
        <s v="KV"/>
      </sharedItems>
      <extLst>
        <ext xmlns:x15="http://schemas.microsoft.com/office/spreadsheetml/2010/11/main" uri="{4F2E5C28-24EA-4eb8-9CBF-B6C8F9C3D259}">
          <x15:cachedUniqueNames>
            <x15:cachedUniqueName index="0" name="[Table1_14  2].[School Type].&amp;[CTSA]"/>
            <x15:cachedUniqueName index="1" name="[Table1_14  2].[School Type].&amp;[GOVT]"/>
            <x15:cachedUniqueName index="2" name="[Table1_14  2].[School Type].&amp;[GOVT AIDED]"/>
            <x15:cachedUniqueName index="3" name="[Table1_14  2].[School Type].&amp;[INDEPENDENT]"/>
            <x15:cachedUniqueName index="4" name="[Table1_14  2].[School Type].&amp;[JNV]"/>
            <x15:cachedUniqueName index="5" name="[Table1_14  2].[School Type].&amp;[KV]"/>
          </x15:cachedUniqueNames>
        </ext>
      </extLst>
    </cacheField>
    <cacheField name="[Measures].[Min of Registered]" caption="Min of Registered" numFmtId="0" hierarchy="20" level="32767"/>
    <cacheField name="[Measures].[Coverage Share]" caption="Coverage Share" numFmtId="0" hierarchy="49" level="32767"/>
  </cacheFields>
  <cacheHierarchies count="52">
    <cacheHierarchy uniqueName="[Table1_14  2].[Class]" caption="Class" attribute="1" defaultMemberUniqueName="[Table1_14  2].[Class].[All]" allUniqueName="[Table1_14  2].[Class].[All]" dimensionUniqueName="[Table1_14  2]" displayFolder="" count="0" memberValueDatatype="20" unbalanced="0"/>
    <cacheHierarchy uniqueName="[Table1_14  2].[Year]" caption="Year" attribute="1" defaultMemberUniqueName="[Table1_14  2].[Year].[All]" allUniqueName="[Table1_14  2].[Year].[All]" dimensionUniqueName="[Table1_14  2]" displayFolder="" count="0" memberValueDatatype="20" unbalanced="0"/>
    <cacheHierarchy uniqueName="[Table1_14  2].[Region]" caption="Region" attribute="1" defaultMemberUniqueName="[Table1_14  2].[Region].[All]" allUniqueName="[Table1_14  2].[Region].[All]" dimensionUniqueName="[Table1_14  2]" displayFolder="" count="2" memberValueDatatype="130" unbalanced="0">
      <fieldsUsage count="2">
        <fieldUsage x="-1"/>
        <fieldUsage x="0"/>
      </fieldsUsage>
    </cacheHierarchy>
    <cacheHierarchy uniqueName="[Table1_14  2].[School Type]" caption="School Type" attribute="1" defaultMemberUniqueName="[Table1_14  2].[School Type].[All]" allUniqueName="[Table1_14  2].[School Type].[All]" dimensionUniqueName="[Table1_14  2]" displayFolder="" count="2" memberValueDatatype="130" unbalanced="0">
      <fieldsUsage count="2">
        <fieldUsage x="-1"/>
        <fieldUsage x="1"/>
      </fieldsUsage>
    </cacheHierarchy>
    <cacheHierarchy uniqueName="[Table1_14  2].[Registered]" caption="Registered" attribute="1" defaultMemberUniqueName="[Table1_14  2].[Registered].[All]" allUniqueName="[Table1_14  2].[Registered].[All]" dimensionUniqueName="[Table1_14  2]" displayFolder="" count="0" memberValueDatatype="20" unbalanced="0"/>
    <cacheHierarchy uniqueName="[Table1_14  2].[Appeared]" caption="Appeared" attribute="1" defaultMemberUniqueName="[Table1_14  2].[Appeared].[All]" allUniqueName="[Table1_14  2].[Appeared].[All]" dimensionUniqueName="[Table1_14  2]" displayFolder="" count="0" memberValueDatatype="20" unbalanced="0"/>
    <cacheHierarchy uniqueName="[Table1_14  2].[Appearance Rate]" caption="Appearance Rate" attribute="1" defaultMemberUniqueName="[Table1_14  2].[Appearance Rate].[All]" allUniqueName="[Table1_14  2].[Appearance Rate].[All]" dimensionUniqueName="[Table1_14  2]" displayFolder="" count="0" memberValueDatatype="5" unbalanced="0"/>
    <cacheHierarchy uniqueName="[Table1_14  2].[No-show Rate]" caption="No-show Rate" attribute="1" defaultMemberUniqueName="[Table1_14  2].[No-show Rate].[All]" allUniqueName="[Table1_14  2].[No-show Rate].[All]" dimensionUniqueName="[Table1_14  2]" displayFolder="" count="0" memberValueDatatype="5" unbalanced="0"/>
    <cacheHierarchy uniqueName="[Table1_14  2].[Absence Flag]" caption="Absence Flag" attribute="1" defaultMemberUniqueName="[Table1_14  2].[Absence Flag].[All]" allUniqueName="[Table1_14  2].[Absence Flag].[All]" dimensionUniqueName="[Table1_14  2]" displayFolder="" count="0" memberValueDatatype="130" unbalanced="0"/>
    <cacheHierarchy uniqueName="[Table1_14  2].[BaseStatus]" caption="BaseStatus" attribute="1" defaultMemberUniqueName="[Table1_14  2].[BaseStatus].[All]" allUniqueName="[Table1_14  2].[BaseStatus].[All]" dimensionUniqueName="[Table1_14  2]" displayFolder="" count="0" memberValueDatatype="130" unbalanced="0"/>
    <cacheHierarchy uniqueName="[Table1_14  2].[BaseFlag]" caption="BaseFlag" attribute="1" defaultMemberUniqueName="[Table1_14  2].[BaseFlag].[All]" allUniqueName="[Table1_14  2].[BaseFlag].[All]" dimensionUniqueName="[Table1_14  2]" displayFolder="" count="0" memberValueDatatype="130" unbalanced="0"/>
    <cacheHierarchy uniqueName="[Table1_14  2].[AnomalyFlag]" caption="AnomalyFlag" attribute="1" defaultMemberUniqueName="[Table1_14  2].[AnomalyFlag].[All]" allUniqueName="[Table1_14  2].[AnomalyFlag].[All]" dimensionUniqueName="[Table1_14  2]" displayFolder="" count="0" memberValueDatatype="130" unbalanced="0"/>
    <cacheHierarchy uniqueName="[Table1_14  2].[Integrity_CheckType]" caption="Integrity_CheckType" attribute="1" defaultMemberUniqueName="[Table1_14  2].[Integrity_CheckType].[All]" allUniqueName="[Table1_14  2].[Integrity_CheckType].[All]" dimensionUniqueName="[Table1_14  2]" displayFolder="" count="0" memberValueDatatype="130" unbalanced="0"/>
    <cacheHierarchy uniqueName="[Table1_14  2].[Integrity_CheckResult]" caption="Integrity_CheckResult" attribute="1" defaultMemberUniqueName="[Table1_14  2].[Integrity_CheckResult].[All]" allUniqueName="[Table1_14  2].[Integrity_CheckResult].[All]" dimensionUniqueName="[Table1_14  2]" displayFolder="" count="2" memberValueDatatype="130" unbalanced="0"/>
    <cacheHierarchy uniqueName="[Measures].[Count of Integrity_CheckResult]" caption="Count of Integrity_CheckResult" measure="1" displayFolder="" measureGroup="Table1_14  2" count="0">
      <extLst>
        <ext xmlns:x15="http://schemas.microsoft.com/office/spreadsheetml/2010/11/main" uri="{B97F6D7D-B522-45F9-BDA1-12C45D357490}">
          <x15:cacheHierarchy aggregatedColumn="13"/>
        </ext>
      </extLst>
    </cacheHierarchy>
    <cacheHierarchy uniqueName="[Measures].[Count of School Type]" caption="Count of School Type" measure="1" displayFolder="" measureGroup="Table1_14  2" count="0">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extLst>
        <ext xmlns:x15="http://schemas.microsoft.com/office/spreadsheetml/2010/11/main" uri="{B97F6D7D-B522-45F9-BDA1-12C45D357490}">
          <x15:cacheHierarchy aggregatedColumn="6"/>
        </ext>
      </extLst>
    </cacheHierarchy>
    <cacheHierarchy uniqueName="[Measures].[Sum of Registered]" caption="Sum of Registered" measure="1" displayFolder="" measureGroup="Table1_14  2" count="0">
      <extLst>
        <ext xmlns:x15="http://schemas.microsoft.com/office/spreadsheetml/2010/11/main" uri="{B97F6D7D-B522-45F9-BDA1-12C45D357490}">
          <x15:cacheHierarchy aggregatedColumn="4"/>
        </ext>
      </extLst>
    </cacheHierarchy>
    <cacheHierarchy uniqueName="[Measures].[Min of Registered]" caption="Min of Registered" measure="1" displayFolder="" measureGroup="Table1_14  2" count="0" oneField="1">
      <fieldsUsage count="1">
        <fieldUsage x="2"/>
      </fieldsUsage>
      <extLst>
        <ext xmlns:x15="http://schemas.microsoft.com/office/spreadsheetml/2010/11/main" uri="{B97F6D7D-B522-45F9-BDA1-12C45D357490}">
          <x15:cacheHierarchy aggregatedColumn="4"/>
        </ext>
      </extLst>
    </cacheHierarchy>
    <cacheHierarchy uniqueName="[Measures].[Count of BaseFlag]" caption="Count of BaseFlag" measure="1" displayFolder="" measureGroup="Table1_14  2" count="0">
      <extLst>
        <ext xmlns:x15="http://schemas.microsoft.com/office/spreadsheetml/2010/11/main" uri="{B97F6D7D-B522-45F9-BDA1-12C45D357490}">
          <x15:cacheHierarchy aggregatedColumn="10"/>
        </ext>
      </extLst>
    </cacheHierarchy>
    <cacheHierarchy uniqueName="[Measures].[Count of AnomalyFlag]" caption="Count of AnomalyFlag" measure="1" displayFolder="" measureGroup="Table1_14  2" count="0">
      <extLst>
        <ext xmlns:x15="http://schemas.microsoft.com/office/spreadsheetml/2010/11/main" uri="{B97F6D7D-B522-45F9-BDA1-12C45D357490}">
          <x15:cacheHierarchy aggregatedColumn="11"/>
        </ext>
      </extLst>
    </cacheHierarchy>
    <cacheHierarchy uniqueName="[Measures].[FlagCount]" caption="FlagCount" measure="1" displayFolder="" measureGroup="Table1_14  2" count="0"/>
    <cacheHierarchy uniqueName="[Measures].[TotalCount]" caption="TotalCount" measure="1" displayFolder="" measureGroup="Table1_14  2" count="0"/>
    <cacheHierarchy uniqueName="[Measures].[PercentFlagged]" caption="PercentFlagged" measure="1" displayFolder="" measureGroup="Table1_14  2" count="0"/>
    <cacheHierarchy uniqueName="[Measures].[Percentile25]" caption="Percentile25" measure="1" displayFolder="" measureGroup="Table1_14  2" count="0"/>
    <cacheHierarchy uniqueName="[Measures].[MinNonZeroBase]" caption="MinNonZeroBase" measure="1" displayFolder="" measureGroup="Table1_14  2" count="0"/>
    <cacheHierarchy uniqueName="[Measures].[MedianBase]" caption="MedianBase" measure="1" displayFolder="" measureGroup="Table1_14  2" count="0"/>
    <cacheHierarchy uniqueName="[Measures].[CountBelow30]" caption="CountBelow30" measure="1" displayFolder="" measureGroup="Table1_14  2" count="0"/>
    <cacheHierarchy uniqueName="[Measures].[CountBelow50]" caption="CountBelow50" measure="1" displayFolder="" measureGroup="Table1_14  2" count="0"/>
    <cacheHierarchy uniqueName="[Measures].[CountBelow100]" caption="CountBelow100" measure="1" displayFolder="" measureGroup="Table1_14  2" count="0"/>
    <cacheHierarchy uniqueName="[Measures].[CountBelow1000]" caption="CountBelow1000" measure="1" displayFolder="" measureGroup="Table1_14  2" count="0"/>
    <cacheHierarchy uniqueName="[Measures].[MinNonZeroRate]" caption="MinNonZeroRate" measure="1" displayFolder="" measureGroup="Table1_14  2" count="0"/>
    <cacheHierarchy uniqueName="[Measures].[Percentile25Rate]" caption="Percentile25Rate" measure="1" displayFolder="" measureGroup="Table1_14  2" count="0"/>
    <cacheHierarchy uniqueName="[Measures].[MedianRate]" caption="MedianRate" measure="1" displayFolder="" measureGroup="Table1_14  2" count="0"/>
    <cacheHierarchy uniqueName="[Measures].[CountBelow90]" caption="CountBelow90" measure="1" displayFolder="" measureGroup="Table1_14  2" count="0"/>
    <cacheHierarchy uniqueName="[Measures].[CountBelow95]" caption="CountBelow95" measure="1" displayFolder="" measureGroup="Table1_14  2" count="0"/>
    <cacheHierarchy uniqueName="[Measures].[CountBelow96]" caption="CountBelow96" measure="1" displayFolder="" measureGroup="Table1_14  2" count="0"/>
    <cacheHierarchy uniqueName="[Measures].[CountBelow98]" caption="CountBelow98" measure="1" displayFolder="" measureGroup="Table1_14  2" count="0"/>
    <cacheHierarchy uniqueName="[Measures].[CountBelow98.8]" caption="CountBelow98.8" measure="1" displayFolder="" measureGroup="Table1_14  2" count="0"/>
    <cacheHierarchy uniqueName="[Measures].[CountBelow98.5]" caption="CountBelow98.5" measure="1" displayFolder="" measureGroup="Table1_14  2" count="0"/>
    <cacheHierarchy uniqueName="[Measures].[CountBelow98.6]" caption="CountBelow98.6" measure="1" displayFolder="" measureGroup="Table1_14  2" count="0"/>
    <cacheHierarchy uniqueName="[Measures].[CountBelow98.7]" caption="CountBelow98.7" measure="1" displayFolder="" measureGroup="Table1_14  2" count="0"/>
    <cacheHierarchy uniqueName="[Measures].[CountBelow98.9]" caption="CountBelow98.9" measure="1" displayFolder="" measureGroup="Table1_14  2" count="0"/>
    <cacheHierarchy uniqueName="[Measures].[CountBelow99]" caption="CountBelow99" measure="1" displayFolder="" measureGroup="Table1_14  2" count="0"/>
    <cacheHierarchy uniqueName="[Measures].[Blank FieldsInAR]" caption="Blank FieldsInAR" measure="1" displayFolder="" measureGroup="Table1_14  2" count="0"/>
    <cacheHierarchy uniqueName="[Measures].[NonEmptyRowsInAR]" caption="NonEmptyRowsInAR" measure="1" displayFolder="" measureGroup="Table1_14  2" count="0"/>
    <cacheHierarchy uniqueName="[Measures].[TotalCountAR]" caption="TotalCountAR" measure="1" displayFolder="" measureGroup="Table1_14  2" count="0"/>
    <cacheHierarchy uniqueName="[Measures].[Coverage Share]" caption="Coverage Share" measure="1" displayFolder="" measureGroup="Table1_14  2" count="0" oneField="1">
      <fieldsUsage count="1">
        <fieldUsage x="3"/>
      </fieldsUsage>
    </cacheHierarchy>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ies>
  <kpis count="0"/>
  <dimensions count="2">
    <dimension measure="1" name="Measures" uniqueName="[Measures]" caption="Measures"/>
    <dimension name="Table1_14  2" uniqueName="[Table1_14  2]" caption="Table1_14  2"/>
  </dimensions>
  <measureGroups count="1">
    <measureGroup name="Table1_14  2" caption="Table1_14  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7.660965740739" createdVersion="3" refreshedVersion="8" minRefreshableVersion="3" recordCount="0" supportSubquery="1" supportAdvancedDrill="1" xr:uid="{51BFFCA5-A123-4713-B86B-B3F83472EFAA}">
  <cacheSource type="external" connectionId="3">
    <extLst>
      <ext xmlns:x14="http://schemas.microsoft.com/office/spreadsheetml/2009/9/main" uri="{F057638F-6D5F-4e77-A914-E7F072B9BCA8}">
        <x14:sourceConnection name="ThisWorkbookDataModel"/>
      </ext>
    </extLst>
  </cacheSource>
  <cacheFields count="0"/>
  <cacheHierarchies count="52">
    <cacheHierarchy uniqueName="[Table1_14  2].[Class]" caption="Class" attribute="1" defaultMemberUniqueName="[Table1_14  2].[Class].[All]" allUniqueName="[Table1_14  2].[Class].[All]" dimensionUniqueName="[Table1_14  2]" displayFolder="" count="0" memberValueDatatype="20" unbalanced="0"/>
    <cacheHierarchy uniqueName="[Table1_14  2].[Year]" caption="Year" attribute="1" defaultMemberUniqueName="[Table1_14  2].[Year].[All]" allUniqueName="[Table1_14  2].[Year].[All]" dimensionUniqueName="[Table1_14  2]" displayFolder="" count="0" memberValueDatatype="20" unbalanced="0"/>
    <cacheHierarchy uniqueName="[Table1_14  2].[Region]" caption="Region" attribute="1" defaultMemberUniqueName="[Table1_14  2].[Region].[All]" allUniqueName="[Table1_14  2].[Region].[All]" dimensionUniqueName="[Table1_14  2]" displayFolder="" count="2" memberValueDatatype="130" unbalanced="0"/>
    <cacheHierarchy uniqueName="[Table1_14  2].[School Type]" caption="School Type" attribute="1" defaultMemberUniqueName="[Table1_14  2].[School Type].[All]" allUniqueName="[Table1_14  2].[School Type].[All]" dimensionUniqueName="[Table1_14  2]" displayFolder="" count="2" memberValueDatatype="130" unbalanced="0"/>
    <cacheHierarchy uniqueName="[Table1_14  2].[Registered]" caption="Registered" attribute="1" defaultMemberUniqueName="[Table1_14  2].[Registered].[All]" allUniqueName="[Table1_14  2].[Registered].[All]" dimensionUniqueName="[Table1_14  2]" displayFolder="" count="0" memberValueDatatype="20" unbalanced="0"/>
    <cacheHierarchy uniqueName="[Table1_14  2].[Appeared]" caption="Appeared" attribute="1" defaultMemberUniqueName="[Table1_14  2].[Appeared].[All]" allUniqueName="[Table1_14  2].[Appeared].[All]" dimensionUniqueName="[Table1_14  2]" displayFolder="" count="0" memberValueDatatype="20" unbalanced="0"/>
    <cacheHierarchy uniqueName="[Table1_14  2].[Appearance Rate]" caption="Appearance Rate" attribute="1" defaultMemberUniqueName="[Table1_14  2].[Appearance Rate].[All]" allUniqueName="[Table1_14  2].[Appearance Rate].[All]" dimensionUniqueName="[Table1_14  2]" displayFolder="" count="0" memberValueDatatype="5" unbalanced="0"/>
    <cacheHierarchy uniqueName="[Table1_14  2].[No-show Rate]" caption="No-show Rate" attribute="1" defaultMemberUniqueName="[Table1_14  2].[No-show Rate].[All]" allUniqueName="[Table1_14  2].[No-show Rate].[All]" dimensionUniqueName="[Table1_14  2]" displayFolder="" count="0" memberValueDatatype="5" unbalanced="0"/>
    <cacheHierarchy uniqueName="[Table1_14  2].[Absence Flag]" caption="Absence Flag" attribute="1" defaultMemberUniqueName="[Table1_14  2].[Absence Flag].[All]" allUniqueName="[Table1_14  2].[Absence Flag].[All]" dimensionUniqueName="[Table1_14  2]" displayFolder="" count="0" memberValueDatatype="130" unbalanced="0"/>
    <cacheHierarchy uniqueName="[Table1_14  2].[BaseStatus]" caption="BaseStatus" attribute="1" defaultMemberUniqueName="[Table1_14  2].[BaseStatus].[All]" allUniqueName="[Table1_14  2].[BaseStatus].[All]" dimensionUniqueName="[Table1_14  2]" displayFolder="" count="0" memberValueDatatype="130" unbalanced="0"/>
    <cacheHierarchy uniqueName="[Table1_14  2].[BaseFlag]" caption="BaseFlag" attribute="1" defaultMemberUniqueName="[Table1_14  2].[BaseFlag].[All]" allUniqueName="[Table1_14  2].[BaseFlag].[All]" dimensionUniqueName="[Table1_14  2]" displayFolder="" count="0" memberValueDatatype="130" unbalanced="0"/>
    <cacheHierarchy uniqueName="[Table1_14  2].[AnomalyFlag]" caption="AnomalyFlag" attribute="1" defaultMemberUniqueName="[Table1_14  2].[AnomalyFlag].[All]" allUniqueName="[Table1_14  2].[AnomalyFlag].[All]" dimensionUniqueName="[Table1_14  2]" displayFolder="" count="0" memberValueDatatype="130" unbalanced="0"/>
    <cacheHierarchy uniqueName="[Table1_14  2].[Integrity_CheckType]" caption="Integrity_CheckType" attribute="1" defaultMemberUniqueName="[Table1_14  2].[Integrity_CheckType].[All]" allUniqueName="[Table1_14  2].[Integrity_CheckType].[All]" dimensionUniqueName="[Table1_14  2]" displayFolder="" count="0" memberValueDatatype="130" unbalanced="0"/>
    <cacheHierarchy uniqueName="[Table1_14  2].[Integrity_CheckResult]" caption="Integrity_CheckResult" attribute="1" defaultMemberUniqueName="[Table1_14  2].[Integrity_CheckResult].[All]" allUniqueName="[Table1_14  2].[Integrity_CheckResult].[All]" dimensionUniqueName="[Table1_14  2]" displayFolder="" count="0" memberValueDatatype="130" unbalanced="0"/>
    <cacheHierarchy uniqueName="[Measures].[Count of Integrity_CheckResult]" caption="Count of Integrity_CheckResult" measure="1" displayFolder="" measureGroup="Table1_14  2" count="0">
      <extLst>
        <ext xmlns:x15="http://schemas.microsoft.com/office/spreadsheetml/2010/11/main" uri="{B97F6D7D-B522-45F9-BDA1-12C45D357490}">
          <x15:cacheHierarchy aggregatedColumn="13"/>
        </ext>
      </extLst>
    </cacheHierarchy>
    <cacheHierarchy uniqueName="[Measures].[Count of School Type]" caption="Count of School Type" measure="1" displayFolder="" measureGroup="Table1_14  2" count="0">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extLst>
        <ext xmlns:x15="http://schemas.microsoft.com/office/spreadsheetml/2010/11/main" uri="{B97F6D7D-B522-45F9-BDA1-12C45D357490}">
          <x15:cacheHierarchy aggregatedColumn="6"/>
        </ext>
      </extLst>
    </cacheHierarchy>
    <cacheHierarchy uniqueName="[Measures].[Sum of Registered]" caption="Sum of Registered" measure="1" displayFolder="" measureGroup="Table1_14  2" count="0">
      <extLst>
        <ext xmlns:x15="http://schemas.microsoft.com/office/spreadsheetml/2010/11/main" uri="{B97F6D7D-B522-45F9-BDA1-12C45D357490}">
          <x15:cacheHierarchy aggregatedColumn="4"/>
        </ext>
      </extLst>
    </cacheHierarchy>
    <cacheHierarchy uniqueName="[Measures].[Min of Registered]" caption="Min of Registered" measure="1" displayFolder="" measureGroup="Table1_14  2" count="0">
      <extLst>
        <ext xmlns:x15="http://schemas.microsoft.com/office/spreadsheetml/2010/11/main" uri="{B97F6D7D-B522-45F9-BDA1-12C45D357490}">
          <x15:cacheHierarchy aggregatedColumn="4"/>
        </ext>
      </extLst>
    </cacheHierarchy>
    <cacheHierarchy uniqueName="[Measures].[Count of BaseFlag]" caption="Count of BaseFlag" measure="1" displayFolder="" measureGroup="Table1_14  2" count="0">
      <extLst>
        <ext xmlns:x15="http://schemas.microsoft.com/office/spreadsheetml/2010/11/main" uri="{B97F6D7D-B522-45F9-BDA1-12C45D357490}">
          <x15:cacheHierarchy aggregatedColumn="10"/>
        </ext>
      </extLst>
    </cacheHierarchy>
    <cacheHierarchy uniqueName="[Measures].[Count of AnomalyFlag]" caption="Count of AnomalyFlag" measure="1" displayFolder="" measureGroup="Table1_14  2" count="0">
      <extLst>
        <ext xmlns:x15="http://schemas.microsoft.com/office/spreadsheetml/2010/11/main" uri="{B97F6D7D-B522-45F9-BDA1-12C45D357490}">
          <x15:cacheHierarchy aggregatedColumn="11"/>
        </ext>
      </extLst>
    </cacheHierarchy>
    <cacheHierarchy uniqueName="[Measures].[FlagCount]" caption="FlagCount" measure="1" displayFolder="" measureGroup="Table1_14  2" count="0"/>
    <cacheHierarchy uniqueName="[Measures].[TotalCount]" caption="TotalCount" measure="1" displayFolder="" measureGroup="Table1_14  2" count="0"/>
    <cacheHierarchy uniqueName="[Measures].[PercentFlagged]" caption="PercentFlagged" measure="1" displayFolder="" measureGroup="Table1_14  2" count="0"/>
    <cacheHierarchy uniqueName="[Measures].[Percentile25]" caption="Percentile25" measure="1" displayFolder="" measureGroup="Table1_14  2" count="0"/>
    <cacheHierarchy uniqueName="[Measures].[MinNonZeroBase]" caption="MinNonZeroBase" measure="1" displayFolder="" measureGroup="Table1_14  2" count="0"/>
    <cacheHierarchy uniqueName="[Measures].[MedianBase]" caption="MedianBase" measure="1" displayFolder="" measureGroup="Table1_14  2" count="0"/>
    <cacheHierarchy uniqueName="[Measures].[CountBelow30]" caption="CountBelow30" measure="1" displayFolder="" measureGroup="Table1_14  2" count="0"/>
    <cacheHierarchy uniqueName="[Measures].[CountBelow50]" caption="CountBelow50" measure="1" displayFolder="" measureGroup="Table1_14  2" count="0"/>
    <cacheHierarchy uniqueName="[Measures].[CountBelow100]" caption="CountBelow100" measure="1" displayFolder="" measureGroup="Table1_14  2" count="0"/>
    <cacheHierarchy uniqueName="[Measures].[CountBelow1000]" caption="CountBelow1000" measure="1" displayFolder="" measureGroup="Table1_14  2" count="0"/>
    <cacheHierarchy uniqueName="[Measures].[MinNonZeroRate]" caption="MinNonZeroRate" measure="1" displayFolder="" measureGroup="Table1_14  2" count="0"/>
    <cacheHierarchy uniqueName="[Measures].[Percentile25Rate]" caption="Percentile25Rate" measure="1" displayFolder="" measureGroup="Table1_14  2" count="0"/>
    <cacheHierarchy uniqueName="[Measures].[MedianRate]" caption="MedianRate" measure="1" displayFolder="" measureGroup="Table1_14  2" count="0"/>
    <cacheHierarchy uniqueName="[Measures].[CountBelow90]" caption="CountBelow90" measure="1" displayFolder="" measureGroup="Table1_14  2" count="0"/>
    <cacheHierarchy uniqueName="[Measures].[CountBelow95]" caption="CountBelow95" measure="1" displayFolder="" measureGroup="Table1_14  2" count="0"/>
    <cacheHierarchy uniqueName="[Measures].[CountBelow96]" caption="CountBelow96" measure="1" displayFolder="" measureGroup="Table1_14  2" count="0"/>
    <cacheHierarchy uniqueName="[Measures].[CountBelow98]" caption="CountBelow98" measure="1" displayFolder="" measureGroup="Table1_14  2" count="0"/>
    <cacheHierarchy uniqueName="[Measures].[CountBelow98.8]" caption="CountBelow98.8" measure="1" displayFolder="" measureGroup="Table1_14  2" count="0"/>
    <cacheHierarchy uniqueName="[Measures].[CountBelow98.5]" caption="CountBelow98.5" measure="1" displayFolder="" measureGroup="Table1_14  2" count="0"/>
    <cacheHierarchy uniqueName="[Measures].[CountBelow98.6]" caption="CountBelow98.6" measure="1" displayFolder="" measureGroup="Table1_14  2" count="0"/>
    <cacheHierarchy uniqueName="[Measures].[CountBelow98.7]" caption="CountBelow98.7" measure="1" displayFolder="" measureGroup="Table1_14  2" count="0"/>
    <cacheHierarchy uniqueName="[Measures].[CountBelow98.9]" caption="CountBelow98.9" measure="1" displayFolder="" measureGroup="Table1_14  2" count="0"/>
    <cacheHierarchy uniqueName="[Measures].[CountBelow99]" caption="CountBelow99" measure="1" displayFolder="" measureGroup="Table1_14  2" count="0"/>
    <cacheHierarchy uniqueName="[Measures].[Blank FieldsInAR]" caption="Blank FieldsInAR" measure="1" displayFolder="" measureGroup="Table1_14  2" count="0"/>
    <cacheHierarchy uniqueName="[Measures].[NonEmptyRowsInAR]" caption="NonEmptyRowsInAR" measure="1" displayFolder="" measureGroup="Table1_14  2" count="0"/>
    <cacheHierarchy uniqueName="[Measures].[TotalCountAR]" caption="TotalCountAR" measure="1" displayFolder="" measureGroup="Table1_14  2" count="0"/>
    <cacheHierarchy uniqueName="[Measures].[Coverage Share]" caption="Coverage Share" measure="1" displayFolder="" measureGroup="Table1_14  2" count="0"/>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4217362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7.660970254627" createdVersion="3" refreshedVersion="8" minRefreshableVersion="3" recordCount="0" supportSubquery="1" supportAdvancedDrill="1" xr:uid="{BEB38060-E97B-4C71-8B49-537B11860A37}">
  <cacheSource type="external" connectionId="3">
    <extLst>
      <ext xmlns:x14="http://schemas.microsoft.com/office/spreadsheetml/2009/9/main" uri="{F057638F-6D5F-4e77-A914-E7F072B9BCA8}">
        <x14:sourceConnection name="ThisWorkbookDataModel"/>
      </ext>
    </extLst>
  </cacheSource>
  <cacheFields count="0"/>
  <cacheHierarchies count="52">
    <cacheHierarchy uniqueName="[Table1_14  2].[Class]" caption="Class" attribute="1" defaultMemberUniqueName="[Table1_14  2].[Class].[All]" allUniqueName="[Table1_14  2].[Class].[All]" dimensionUniqueName="[Table1_14  2]" displayFolder="" count="0" memberValueDatatype="20" unbalanced="0"/>
    <cacheHierarchy uniqueName="[Table1_14  2].[Year]" caption="Year" attribute="1" defaultMemberUniqueName="[Table1_14  2].[Year].[All]" allUniqueName="[Table1_14  2].[Year].[All]" dimensionUniqueName="[Table1_14  2]" displayFolder="" count="0" memberValueDatatype="20" unbalanced="0"/>
    <cacheHierarchy uniqueName="[Table1_14  2].[Region]" caption="Region" attribute="1" defaultMemberUniqueName="[Table1_14  2].[Region].[All]" allUniqueName="[Table1_14  2].[Region].[All]" dimensionUniqueName="[Table1_14  2]" displayFolder="" count="2" memberValueDatatype="130" unbalanced="0"/>
    <cacheHierarchy uniqueName="[Table1_14  2].[School Type]" caption="School Type" attribute="1" defaultMemberUniqueName="[Table1_14  2].[School Type].[All]" allUniqueName="[Table1_14  2].[School Type].[All]" dimensionUniqueName="[Table1_14  2]" displayFolder="" count="2" memberValueDatatype="130" unbalanced="0"/>
    <cacheHierarchy uniqueName="[Table1_14  2].[Registered]" caption="Registered" attribute="1" defaultMemberUniqueName="[Table1_14  2].[Registered].[All]" allUniqueName="[Table1_14  2].[Registered].[All]" dimensionUniqueName="[Table1_14  2]" displayFolder="" count="0" memberValueDatatype="20" unbalanced="0"/>
    <cacheHierarchy uniqueName="[Table1_14  2].[Appeared]" caption="Appeared" attribute="1" defaultMemberUniqueName="[Table1_14  2].[Appeared].[All]" allUniqueName="[Table1_14  2].[Appeared].[All]" dimensionUniqueName="[Table1_14  2]" displayFolder="" count="0" memberValueDatatype="20" unbalanced="0"/>
    <cacheHierarchy uniqueName="[Table1_14  2].[Appearance Rate]" caption="Appearance Rate" attribute="1" defaultMemberUniqueName="[Table1_14  2].[Appearance Rate].[All]" allUniqueName="[Table1_14  2].[Appearance Rate].[All]" dimensionUniqueName="[Table1_14  2]" displayFolder="" count="0" memberValueDatatype="5" unbalanced="0"/>
    <cacheHierarchy uniqueName="[Table1_14  2].[No-show Rate]" caption="No-show Rate" attribute="1" defaultMemberUniqueName="[Table1_14  2].[No-show Rate].[All]" allUniqueName="[Table1_14  2].[No-show Rate].[All]" dimensionUniqueName="[Table1_14  2]" displayFolder="" count="0" memberValueDatatype="5" unbalanced="0"/>
    <cacheHierarchy uniqueName="[Table1_14  2].[Absence Flag]" caption="Absence Flag" attribute="1" defaultMemberUniqueName="[Table1_14  2].[Absence Flag].[All]" allUniqueName="[Table1_14  2].[Absence Flag].[All]" dimensionUniqueName="[Table1_14  2]" displayFolder="" count="0" memberValueDatatype="130" unbalanced="0"/>
    <cacheHierarchy uniqueName="[Table1_14  2].[BaseStatus]" caption="BaseStatus" attribute="1" defaultMemberUniqueName="[Table1_14  2].[BaseStatus].[All]" allUniqueName="[Table1_14  2].[BaseStatus].[All]" dimensionUniqueName="[Table1_14  2]" displayFolder="" count="0" memberValueDatatype="130" unbalanced="0"/>
    <cacheHierarchy uniqueName="[Table1_14  2].[BaseFlag]" caption="BaseFlag" attribute="1" defaultMemberUniqueName="[Table1_14  2].[BaseFlag].[All]" allUniqueName="[Table1_14  2].[BaseFlag].[All]" dimensionUniqueName="[Table1_14  2]" displayFolder="" count="0" memberValueDatatype="130" unbalanced="0"/>
    <cacheHierarchy uniqueName="[Table1_14  2].[AnomalyFlag]" caption="AnomalyFlag" attribute="1" defaultMemberUniqueName="[Table1_14  2].[AnomalyFlag].[All]" allUniqueName="[Table1_14  2].[AnomalyFlag].[All]" dimensionUniqueName="[Table1_14  2]" displayFolder="" count="0" memberValueDatatype="130" unbalanced="0"/>
    <cacheHierarchy uniqueName="[Table1_14  2].[Integrity_CheckType]" caption="Integrity_CheckType" attribute="1" defaultMemberUniqueName="[Table1_14  2].[Integrity_CheckType].[All]" allUniqueName="[Table1_14  2].[Integrity_CheckType].[All]" dimensionUniqueName="[Table1_14  2]" displayFolder="" count="0" memberValueDatatype="130" unbalanced="0"/>
    <cacheHierarchy uniqueName="[Table1_14  2].[Integrity_CheckResult]" caption="Integrity_CheckResult" attribute="1" defaultMemberUniqueName="[Table1_14  2].[Integrity_CheckResult].[All]" allUniqueName="[Table1_14  2].[Integrity_CheckResult].[All]" dimensionUniqueName="[Table1_14  2]" displayFolder="" count="2" memberValueDatatype="130" unbalanced="0"/>
    <cacheHierarchy uniqueName="[Measures].[Count of Integrity_CheckResult]" caption="Count of Integrity_CheckResult" measure="1" displayFolder="" measureGroup="Table1_14  2" count="0">
      <extLst>
        <ext xmlns:x15="http://schemas.microsoft.com/office/spreadsheetml/2010/11/main" uri="{B97F6D7D-B522-45F9-BDA1-12C45D357490}">
          <x15:cacheHierarchy aggregatedColumn="13"/>
        </ext>
      </extLst>
    </cacheHierarchy>
    <cacheHierarchy uniqueName="[Measures].[Count of School Type]" caption="Count of School Type" measure="1" displayFolder="" measureGroup="Table1_14  2" count="0">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extLst>
        <ext xmlns:x15="http://schemas.microsoft.com/office/spreadsheetml/2010/11/main" uri="{B97F6D7D-B522-45F9-BDA1-12C45D357490}">
          <x15:cacheHierarchy aggregatedColumn="6"/>
        </ext>
      </extLst>
    </cacheHierarchy>
    <cacheHierarchy uniqueName="[Measures].[Sum of Registered]" caption="Sum of Registered" measure="1" displayFolder="" measureGroup="Table1_14  2" count="0">
      <extLst>
        <ext xmlns:x15="http://schemas.microsoft.com/office/spreadsheetml/2010/11/main" uri="{B97F6D7D-B522-45F9-BDA1-12C45D357490}">
          <x15:cacheHierarchy aggregatedColumn="4"/>
        </ext>
      </extLst>
    </cacheHierarchy>
    <cacheHierarchy uniqueName="[Measures].[Min of Registered]" caption="Min of Registered" measure="1" displayFolder="" measureGroup="Table1_14  2" count="0">
      <extLst>
        <ext xmlns:x15="http://schemas.microsoft.com/office/spreadsheetml/2010/11/main" uri="{B97F6D7D-B522-45F9-BDA1-12C45D357490}">
          <x15:cacheHierarchy aggregatedColumn="4"/>
        </ext>
      </extLst>
    </cacheHierarchy>
    <cacheHierarchy uniqueName="[Measures].[Count of BaseFlag]" caption="Count of BaseFlag" measure="1" displayFolder="" measureGroup="Table1_14  2" count="0">
      <extLst>
        <ext xmlns:x15="http://schemas.microsoft.com/office/spreadsheetml/2010/11/main" uri="{B97F6D7D-B522-45F9-BDA1-12C45D357490}">
          <x15:cacheHierarchy aggregatedColumn="10"/>
        </ext>
      </extLst>
    </cacheHierarchy>
    <cacheHierarchy uniqueName="[Measures].[Count of AnomalyFlag]" caption="Count of AnomalyFlag" measure="1" displayFolder="" measureGroup="Table1_14  2" count="0">
      <extLst>
        <ext xmlns:x15="http://schemas.microsoft.com/office/spreadsheetml/2010/11/main" uri="{B97F6D7D-B522-45F9-BDA1-12C45D357490}">
          <x15:cacheHierarchy aggregatedColumn="11"/>
        </ext>
      </extLst>
    </cacheHierarchy>
    <cacheHierarchy uniqueName="[Measures].[FlagCount]" caption="FlagCount" measure="1" displayFolder="" measureGroup="Table1_14  2" count="0"/>
    <cacheHierarchy uniqueName="[Measures].[TotalCount]" caption="TotalCount" measure="1" displayFolder="" measureGroup="Table1_14  2" count="0"/>
    <cacheHierarchy uniqueName="[Measures].[PercentFlagged]" caption="PercentFlagged" measure="1" displayFolder="" measureGroup="Table1_14  2" count="0"/>
    <cacheHierarchy uniqueName="[Measures].[Percentile25]" caption="Percentile25" measure="1" displayFolder="" measureGroup="Table1_14  2" count="0"/>
    <cacheHierarchy uniqueName="[Measures].[MinNonZeroBase]" caption="MinNonZeroBase" measure="1" displayFolder="" measureGroup="Table1_14  2" count="0"/>
    <cacheHierarchy uniqueName="[Measures].[MedianBase]" caption="MedianBase" measure="1" displayFolder="" measureGroup="Table1_14  2" count="0"/>
    <cacheHierarchy uniqueName="[Measures].[CountBelow30]" caption="CountBelow30" measure="1" displayFolder="" measureGroup="Table1_14  2" count="0"/>
    <cacheHierarchy uniqueName="[Measures].[CountBelow50]" caption="CountBelow50" measure="1" displayFolder="" measureGroup="Table1_14  2" count="0"/>
    <cacheHierarchy uniqueName="[Measures].[CountBelow100]" caption="CountBelow100" measure="1" displayFolder="" measureGroup="Table1_14  2" count="0"/>
    <cacheHierarchy uniqueName="[Measures].[CountBelow1000]" caption="CountBelow1000" measure="1" displayFolder="" measureGroup="Table1_14  2" count="0"/>
    <cacheHierarchy uniqueName="[Measures].[MinNonZeroRate]" caption="MinNonZeroRate" measure="1" displayFolder="" measureGroup="Table1_14  2" count="0"/>
    <cacheHierarchy uniqueName="[Measures].[Percentile25Rate]" caption="Percentile25Rate" measure="1" displayFolder="" measureGroup="Table1_14  2" count="0"/>
    <cacheHierarchy uniqueName="[Measures].[MedianRate]" caption="MedianRate" measure="1" displayFolder="" measureGroup="Table1_14  2" count="0"/>
    <cacheHierarchy uniqueName="[Measures].[CountBelow90]" caption="CountBelow90" measure="1" displayFolder="" measureGroup="Table1_14  2" count="0"/>
    <cacheHierarchy uniqueName="[Measures].[CountBelow95]" caption="CountBelow95" measure="1" displayFolder="" measureGroup="Table1_14  2" count="0"/>
    <cacheHierarchy uniqueName="[Measures].[CountBelow96]" caption="CountBelow96" measure="1" displayFolder="" measureGroup="Table1_14  2" count="0"/>
    <cacheHierarchy uniqueName="[Measures].[CountBelow98]" caption="CountBelow98" measure="1" displayFolder="" measureGroup="Table1_14  2" count="0"/>
    <cacheHierarchy uniqueName="[Measures].[CountBelow98.8]" caption="CountBelow98.8" measure="1" displayFolder="" measureGroup="Table1_14  2" count="0"/>
    <cacheHierarchy uniqueName="[Measures].[CountBelow98.5]" caption="CountBelow98.5" measure="1" displayFolder="" measureGroup="Table1_14  2" count="0"/>
    <cacheHierarchy uniqueName="[Measures].[CountBelow98.6]" caption="CountBelow98.6" measure="1" displayFolder="" measureGroup="Table1_14  2" count="0"/>
    <cacheHierarchy uniqueName="[Measures].[CountBelow98.7]" caption="CountBelow98.7" measure="1" displayFolder="" measureGroup="Table1_14  2" count="0"/>
    <cacheHierarchy uniqueName="[Measures].[CountBelow98.9]" caption="CountBelow98.9" measure="1" displayFolder="" measureGroup="Table1_14  2" count="0"/>
    <cacheHierarchy uniqueName="[Measures].[CountBelow99]" caption="CountBelow99" measure="1" displayFolder="" measureGroup="Table1_14  2" count="0"/>
    <cacheHierarchy uniqueName="[Measures].[Blank FieldsInAR]" caption="Blank FieldsInAR" measure="1" displayFolder="" measureGroup="Table1_14  2" count="0"/>
    <cacheHierarchy uniqueName="[Measures].[NonEmptyRowsInAR]" caption="NonEmptyRowsInAR" measure="1" displayFolder="" measureGroup="Table1_14  2" count="0"/>
    <cacheHierarchy uniqueName="[Measures].[TotalCountAR]" caption="TotalCountAR" measure="1" displayFolder="" measureGroup="Table1_14  2" count="0"/>
    <cacheHierarchy uniqueName="[Measures].[Coverage Share]" caption="Coverage Share" measure="1" displayFolder="" measureGroup="Table1_14  2" count="0"/>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23999742"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97.660977083331" createdVersion="3" refreshedVersion="8" minRefreshableVersion="3" recordCount="0" supportSubquery="1" supportAdvancedDrill="1" xr:uid="{DB7E91B4-A76C-4F17-ABAD-BC63D87522A1}">
  <cacheSource type="external" connectionId="3">
    <extLst>
      <ext xmlns:x14="http://schemas.microsoft.com/office/spreadsheetml/2009/9/main" uri="{F057638F-6D5F-4e77-A914-E7F072B9BCA8}">
        <x14:sourceConnection name="ThisWorkbookDataModel"/>
      </ext>
    </extLst>
  </cacheSource>
  <cacheFields count="0"/>
  <cacheHierarchies count="52">
    <cacheHierarchy uniqueName="[Table1_14  2].[Class]" caption="Class" attribute="1" defaultMemberUniqueName="[Table1_14  2].[Class].[All]" allUniqueName="[Table1_14  2].[Class].[All]" dimensionUniqueName="[Table1_14  2]" displayFolder="" count="0" memberValueDatatype="20" unbalanced="0"/>
    <cacheHierarchy uniqueName="[Table1_14  2].[Year]" caption="Year" attribute="1" defaultMemberUniqueName="[Table1_14  2].[Year].[All]" allUniqueName="[Table1_14  2].[Year].[All]" dimensionUniqueName="[Table1_14  2]" displayFolder="" count="0" memberValueDatatype="20" unbalanced="0"/>
    <cacheHierarchy uniqueName="[Table1_14  2].[Region]" caption="Region" attribute="1" defaultMemberUniqueName="[Table1_14  2].[Region].[All]" allUniqueName="[Table1_14  2].[Region].[All]" dimensionUniqueName="[Table1_14  2]" displayFolder="" count="2" memberValueDatatype="130" unbalanced="0"/>
    <cacheHierarchy uniqueName="[Table1_14  2].[School Type]" caption="School Type" attribute="1" defaultMemberUniqueName="[Table1_14  2].[School Type].[All]" allUniqueName="[Table1_14  2].[School Type].[All]" dimensionUniqueName="[Table1_14  2]" displayFolder="" count="2" memberValueDatatype="130" unbalanced="0"/>
    <cacheHierarchy uniqueName="[Table1_14  2].[Registered]" caption="Registered" attribute="1" defaultMemberUniqueName="[Table1_14  2].[Registered].[All]" allUniqueName="[Table1_14  2].[Registered].[All]" dimensionUniqueName="[Table1_14  2]" displayFolder="" count="0" memberValueDatatype="20" unbalanced="0"/>
    <cacheHierarchy uniqueName="[Table1_14  2].[Appeared]" caption="Appeared" attribute="1" defaultMemberUniqueName="[Table1_14  2].[Appeared].[All]" allUniqueName="[Table1_14  2].[Appeared].[All]" dimensionUniqueName="[Table1_14  2]" displayFolder="" count="0" memberValueDatatype="20" unbalanced="0"/>
    <cacheHierarchy uniqueName="[Table1_14  2].[Appearance Rate]" caption="Appearance Rate" attribute="1" defaultMemberUniqueName="[Table1_14  2].[Appearance Rate].[All]" allUniqueName="[Table1_14  2].[Appearance Rate].[All]" dimensionUniqueName="[Table1_14  2]" displayFolder="" count="0" memberValueDatatype="5" unbalanced="0"/>
    <cacheHierarchy uniqueName="[Table1_14  2].[No-show Rate]" caption="No-show Rate" attribute="1" defaultMemberUniqueName="[Table1_14  2].[No-show Rate].[All]" allUniqueName="[Table1_14  2].[No-show Rate].[All]" dimensionUniqueName="[Table1_14  2]" displayFolder="" count="0" memberValueDatatype="5" unbalanced="0"/>
    <cacheHierarchy uniqueName="[Table1_14  2].[Absence Flag]" caption="Absence Flag" attribute="1" defaultMemberUniqueName="[Table1_14  2].[Absence Flag].[All]" allUniqueName="[Table1_14  2].[Absence Flag].[All]" dimensionUniqueName="[Table1_14  2]" displayFolder="" count="0" memberValueDatatype="130" unbalanced="0"/>
    <cacheHierarchy uniqueName="[Table1_14  2].[BaseStatus]" caption="BaseStatus" attribute="1" defaultMemberUniqueName="[Table1_14  2].[BaseStatus].[All]" allUniqueName="[Table1_14  2].[BaseStatus].[All]" dimensionUniqueName="[Table1_14  2]" displayFolder="" count="0" memberValueDatatype="130" unbalanced="0"/>
    <cacheHierarchy uniqueName="[Table1_14  2].[BaseFlag]" caption="BaseFlag" attribute="1" defaultMemberUniqueName="[Table1_14  2].[BaseFlag].[All]" allUniqueName="[Table1_14  2].[BaseFlag].[All]" dimensionUniqueName="[Table1_14  2]" displayFolder="" count="0" memberValueDatatype="130" unbalanced="0"/>
    <cacheHierarchy uniqueName="[Table1_14  2].[AnomalyFlag]" caption="AnomalyFlag" attribute="1" defaultMemberUniqueName="[Table1_14  2].[AnomalyFlag].[All]" allUniqueName="[Table1_14  2].[AnomalyFlag].[All]" dimensionUniqueName="[Table1_14  2]" displayFolder="" count="0" memberValueDatatype="130" unbalanced="0"/>
    <cacheHierarchy uniqueName="[Table1_14  2].[Integrity_CheckType]" caption="Integrity_CheckType" attribute="1" defaultMemberUniqueName="[Table1_14  2].[Integrity_CheckType].[All]" allUniqueName="[Table1_14  2].[Integrity_CheckType].[All]" dimensionUniqueName="[Table1_14  2]" displayFolder="" count="0" memberValueDatatype="130" unbalanced="0"/>
    <cacheHierarchy uniqueName="[Table1_14  2].[Integrity_CheckResult]" caption="Integrity_CheckResult" attribute="1" defaultMemberUniqueName="[Table1_14  2].[Integrity_CheckResult].[All]" allUniqueName="[Table1_14  2].[Integrity_CheckResult].[All]" dimensionUniqueName="[Table1_14  2]" displayFolder="" count="0" memberValueDatatype="130" unbalanced="0"/>
    <cacheHierarchy uniqueName="[Measures].[Count of Integrity_CheckResult]" caption="Count of Integrity_CheckResult" measure="1" displayFolder="" measureGroup="Table1_14  2" count="0">
      <extLst>
        <ext xmlns:x15="http://schemas.microsoft.com/office/spreadsheetml/2010/11/main" uri="{B97F6D7D-B522-45F9-BDA1-12C45D357490}">
          <x15:cacheHierarchy aggregatedColumn="13"/>
        </ext>
      </extLst>
    </cacheHierarchy>
    <cacheHierarchy uniqueName="[Measures].[Count of School Type]" caption="Count of School Type" measure="1" displayFolder="" measureGroup="Table1_14  2" count="0">
      <extLst>
        <ext xmlns:x15="http://schemas.microsoft.com/office/spreadsheetml/2010/11/main" uri="{B97F6D7D-B522-45F9-BDA1-12C45D357490}">
          <x15:cacheHierarchy aggregatedColumn="3"/>
        </ext>
      </extLst>
    </cacheHierarchy>
    <cacheHierarchy uniqueName="[Measures].[Sum of Appearance Rate]" caption="Sum of Appearance Rate" measure="1" displayFolder="" measureGroup="Table1_14  2" count="0">
      <extLst>
        <ext xmlns:x15="http://schemas.microsoft.com/office/spreadsheetml/2010/11/main" uri="{B97F6D7D-B522-45F9-BDA1-12C45D357490}">
          <x15:cacheHierarchy aggregatedColumn="6"/>
        </ext>
      </extLst>
    </cacheHierarchy>
    <cacheHierarchy uniqueName="[Measures].[Max of Appearance Rate]" caption="Max of Appearance Rate" measure="1" displayFolder="" measureGroup="Table1_14  2" count="0">
      <extLst>
        <ext xmlns:x15="http://schemas.microsoft.com/office/spreadsheetml/2010/11/main" uri="{B97F6D7D-B522-45F9-BDA1-12C45D357490}">
          <x15:cacheHierarchy aggregatedColumn="6"/>
        </ext>
      </extLst>
    </cacheHierarchy>
    <cacheHierarchy uniqueName="[Measures].[Min of Appearance Rate]" caption="Min of Appearance Rate" measure="1" displayFolder="" measureGroup="Table1_14  2" count="0">
      <extLst>
        <ext xmlns:x15="http://schemas.microsoft.com/office/spreadsheetml/2010/11/main" uri="{B97F6D7D-B522-45F9-BDA1-12C45D357490}">
          <x15:cacheHierarchy aggregatedColumn="6"/>
        </ext>
      </extLst>
    </cacheHierarchy>
    <cacheHierarchy uniqueName="[Measures].[Sum of Registered]" caption="Sum of Registered" measure="1" displayFolder="" measureGroup="Table1_14  2" count="0">
      <extLst>
        <ext xmlns:x15="http://schemas.microsoft.com/office/spreadsheetml/2010/11/main" uri="{B97F6D7D-B522-45F9-BDA1-12C45D357490}">
          <x15:cacheHierarchy aggregatedColumn="4"/>
        </ext>
      </extLst>
    </cacheHierarchy>
    <cacheHierarchy uniqueName="[Measures].[Min of Registered]" caption="Min of Registered" measure="1" displayFolder="" measureGroup="Table1_14  2" count="0">
      <extLst>
        <ext xmlns:x15="http://schemas.microsoft.com/office/spreadsheetml/2010/11/main" uri="{B97F6D7D-B522-45F9-BDA1-12C45D357490}">
          <x15:cacheHierarchy aggregatedColumn="4"/>
        </ext>
      </extLst>
    </cacheHierarchy>
    <cacheHierarchy uniqueName="[Measures].[Count of BaseFlag]" caption="Count of BaseFlag" measure="1" displayFolder="" measureGroup="Table1_14  2" count="0">
      <extLst>
        <ext xmlns:x15="http://schemas.microsoft.com/office/spreadsheetml/2010/11/main" uri="{B97F6D7D-B522-45F9-BDA1-12C45D357490}">
          <x15:cacheHierarchy aggregatedColumn="10"/>
        </ext>
      </extLst>
    </cacheHierarchy>
    <cacheHierarchy uniqueName="[Measures].[Count of AnomalyFlag]" caption="Count of AnomalyFlag" measure="1" displayFolder="" measureGroup="Table1_14  2" count="0">
      <extLst>
        <ext xmlns:x15="http://schemas.microsoft.com/office/spreadsheetml/2010/11/main" uri="{B97F6D7D-B522-45F9-BDA1-12C45D357490}">
          <x15:cacheHierarchy aggregatedColumn="11"/>
        </ext>
      </extLst>
    </cacheHierarchy>
    <cacheHierarchy uniqueName="[Measures].[FlagCount]" caption="FlagCount" measure="1" displayFolder="" measureGroup="Table1_14  2" count="0"/>
    <cacheHierarchy uniqueName="[Measures].[TotalCount]" caption="TotalCount" measure="1" displayFolder="" measureGroup="Table1_14  2" count="0"/>
    <cacheHierarchy uniqueName="[Measures].[PercentFlagged]" caption="PercentFlagged" measure="1" displayFolder="" measureGroup="Table1_14  2" count="0"/>
    <cacheHierarchy uniqueName="[Measures].[Percentile25]" caption="Percentile25" measure="1" displayFolder="" measureGroup="Table1_14  2" count="0"/>
    <cacheHierarchy uniqueName="[Measures].[MinNonZeroBase]" caption="MinNonZeroBase" measure="1" displayFolder="" measureGroup="Table1_14  2" count="0"/>
    <cacheHierarchy uniqueName="[Measures].[MedianBase]" caption="MedianBase" measure="1" displayFolder="" measureGroup="Table1_14  2" count="0"/>
    <cacheHierarchy uniqueName="[Measures].[CountBelow30]" caption="CountBelow30" measure="1" displayFolder="" measureGroup="Table1_14  2" count="0"/>
    <cacheHierarchy uniqueName="[Measures].[CountBelow50]" caption="CountBelow50" measure="1" displayFolder="" measureGroup="Table1_14  2" count="0"/>
    <cacheHierarchy uniqueName="[Measures].[CountBelow100]" caption="CountBelow100" measure="1" displayFolder="" measureGroup="Table1_14  2" count="0"/>
    <cacheHierarchy uniqueName="[Measures].[CountBelow1000]" caption="CountBelow1000" measure="1" displayFolder="" measureGroup="Table1_14  2" count="0"/>
    <cacheHierarchy uniqueName="[Measures].[MinNonZeroRate]" caption="MinNonZeroRate" measure="1" displayFolder="" measureGroup="Table1_14  2" count="0"/>
    <cacheHierarchy uniqueName="[Measures].[Percentile25Rate]" caption="Percentile25Rate" measure="1" displayFolder="" measureGroup="Table1_14  2" count="0"/>
    <cacheHierarchy uniqueName="[Measures].[MedianRate]" caption="MedianRate" measure="1" displayFolder="" measureGroup="Table1_14  2" count="0"/>
    <cacheHierarchy uniqueName="[Measures].[CountBelow90]" caption="CountBelow90" measure="1" displayFolder="" measureGroup="Table1_14  2" count="0"/>
    <cacheHierarchy uniqueName="[Measures].[CountBelow95]" caption="CountBelow95" measure="1" displayFolder="" measureGroup="Table1_14  2" count="0"/>
    <cacheHierarchy uniqueName="[Measures].[CountBelow96]" caption="CountBelow96" measure="1" displayFolder="" measureGroup="Table1_14  2" count="0"/>
    <cacheHierarchy uniqueName="[Measures].[CountBelow98]" caption="CountBelow98" measure="1" displayFolder="" measureGroup="Table1_14  2" count="0"/>
    <cacheHierarchy uniqueName="[Measures].[CountBelow98.8]" caption="CountBelow98.8" measure="1" displayFolder="" measureGroup="Table1_14  2" count="0"/>
    <cacheHierarchy uniqueName="[Measures].[CountBelow98.5]" caption="CountBelow98.5" measure="1" displayFolder="" measureGroup="Table1_14  2" count="0"/>
    <cacheHierarchy uniqueName="[Measures].[CountBelow98.6]" caption="CountBelow98.6" measure="1" displayFolder="" measureGroup="Table1_14  2" count="0"/>
    <cacheHierarchy uniqueName="[Measures].[CountBelow98.7]" caption="CountBelow98.7" measure="1" displayFolder="" measureGroup="Table1_14  2" count="0"/>
    <cacheHierarchy uniqueName="[Measures].[CountBelow98.9]" caption="CountBelow98.9" measure="1" displayFolder="" measureGroup="Table1_14  2" count="0"/>
    <cacheHierarchy uniqueName="[Measures].[CountBelow99]" caption="CountBelow99" measure="1" displayFolder="" measureGroup="Table1_14  2" count="0"/>
    <cacheHierarchy uniqueName="[Measures].[Blank FieldsInAR]" caption="Blank FieldsInAR" measure="1" displayFolder="" measureGroup="Table1_14  2" count="0"/>
    <cacheHierarchy uniqueName="[Measures].[NonEmptyRowsInAR]" caption="NonEmptyRowsInAR" measure="1" displayFolder="" measureGroup="Table1_14  2" count="0"/>
    <cacheHierarchy uniqueName="[Measures].[TotalCountAR]" caption="TotalCountAR" measure="1" displayFolder="" measureGroup="Table1_14  2" count="0"/>
    <cacheHierarchy uniqueName="[Measures].[Coverage Share]" caption="Coverage Share" measure="1" displayFolder="" measureGroup="Table1_14  2" count="0"/>
    <cacheHierarchy uniqueName="[Measures].[__XL_Count Table1_14  2]" caption="__XL_Count Table1_14  2" measure="1" displayFolder="" measureGroup="Table1_14  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2721851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n v="12"/>
    <n v="2022"/>
    <x v="0"/>
    <x v="0"/>
    <n v="0"/>
    <n v="0"/>
    <m/>
    <m/>
    <s v="ABSENT"/>
    <s v="ABSENT"/>
    <s v="ABSENT_BASE"/>
    <s v="ABSENT"/>
    <n v="0"/>
    <s v="OK"/>
    <s v="OK"/>
    <s v="FLAG"/>
  </r>
  <r>
    <n v="12"/>
    <n v="2022"/>
    <x v="0"/>
    <x v="1"/>
    <n v="4533"/>
    <n v="4524"/>
    <n v="0.99801455989410981"/>
    <n v="1.9854401058901905E-3"/>
    <m/>
    <s v="NON_ZERO"/>
    <s v="VALID_BASE"/>
    <s v="NORMAL"/>
    <n v="3.1505048939510722E-3"/>
    <s v="OK"/>
    <s v="OK"/>
    <s v="OK"/>
  </r>
  <r>
    <n v="12"/>
    <n v="2022"/>
    <x v="0"/>
    <x v="2"/>
    <n v="0"/>
    <n v="0"/>
    <m/>
    <m/>
    <s v="ABSENT"/>
    <s v="ABSENT"/>
    <s v="ABSENT_BASE"/>
    <s v="ABSENT"/>
    <n v="0"/>
    <s v="OK"/>
    <s v="OK"/>
    <s v="FLAG"/>
  </r>
  <r>
    <n v="12"/>
    <n v="2022"/>
    <x v="0"/>
    <x v="3"/>
    <n v="86178"/>
    <n v="85839"/>
    <n v="0.99606628141753117"/>
    <n v="3.9337185824688259E-3"/>
    <m/>
    <s v="NON_ZERO"/>
    <s v="VALID_BASE"/>
    <s v="NORMAL"/>
    <n v="5.9895038771435143E-2"/>
    <s v="OK"/>
    <s v="OK"/>
    <s v="OK"/>
  </r>
  <r>
    <n v="12"/>
    <n v="2022"/>
    <x v="0"/>
    <x v="4"/>
    <n v="3741"/>
    <n v="3730"/>
    <n v="0.99705960973001873"/>
    <n v="2.9403902699812745E-3"/>
    <m/>
    <s v="NON_ZERO"/>
    <s v="VALID_BASE"/>
    <s v="NORMAL"/>
    <n v="2.600052682168754E-3"/>
    <s v="OK"/>
    <s v="OK"/>
    <s v="OK"/>
  </r>
  <r>
    <n v="12"/>
    <n v="2022"/>
    <x v="0"/>
    <x v="5"/>
    <n v="7736"/>
    <n v="7725"/>
    <n v="0.99857807652533614"/>
    <n v="1.4219234746638554E-3"/>
    <m/>
    <s v="NON_ZERO"/>
    <s v="VALID_BASE"/>
    <s v="NORMAL"/>
    <n v="5.3766392807424431E-3"/>
    <s v="OK"/>
    <s v="OK"/>
    <s v="OK"/>
  </r>
  <r>
    <n v="12"/>
    <n v="2022"/>
    <x v="1"/>
    <x v="0"/>
    <n v="93"/>
    <n v="92"/>
    <n v="0.989247311827957"/>
    <n v="1.0752688172043001E-2"/>
    <m/>
    <s v="NON_ZERO"/>
    <s v="SMALL_BASE"/>
    <s v="NORMAL"/>
    <n v="6.4636433959287392E-5"/>
    <s v="OK"/>
    <s v="OK"/>
    <s v="OK"/>
  </r>
  <r>
    <n v="12"/>
    <n v="2022"/>
    <x v="1"/>
    <x v="1"/>
    <n v="70"/>
    <n v="70"/>
    <n v="1"/>
    <n v="0"/>
    <m/>
    <s v="NON_ZERO"/>
    <s v="SMALL_BASE"/>
    <s v="SUSPICIOUS_PERFECTION"/>
    <n v="4.8651079324194808E-5"/>
    <s v="OK"/>
    <s v="OK"/>
    <s v="OK"/>
  </r>
  <r>
    <n v="12"/>
    <n v="2022"/>
    <x v="1"/>
    <x v="2"/>
    <n v="0"/>
    <n v="0"/>
    <m/>
    <m/>
    <s v="ABSENT"/>
    <s v="ABSENT"/>
    <s v="ABSENT_BASE"/>
    <s v="ABSENT"/>
    <n v="0"/>
    <s v="OK"/>
    <s v="OK"/>
    <s v="FLAG"/>
  </r>
  <r>
    <n v="12"/>
    <n v="2022"/>
    <x v="1"/>
    <x v="3"/>
    <n v="12262"/>
    <n v="12214"/>
    <n v="0.99608546729734138"/>
    <n v="3.9145327026586241E-3"/>
    <m/>
    <s v="NON_ZERO"/>
    <s v="VALID_BASE"/>
    <s v="NORMAL"/>
    <n v="8.5222790667610956E-3"/>
    <s v="OK"/>
    <s v="OK"/>
    <s v="OK"/>
  </r>
  <r>
    <n v="12"/>
    <n v="2022"/>
    <x v="1"/>
    <x v="4"/>
    <n v="1901"/>
    <n v="1894"/>
    <n v="0.99631772751183589"/>
    <n v="3.6822724881641067E-3"/>
    <m/>
    <s v="NON_ZERO"/>
    <s v="VALID_BASE"/>
    <s v="NORMAL"/>
    <n v="1.3212243113613475E-3"/>
    <s v="OK"/>
    <s v="OK"/>
    <s v="OK"/>
  </r>
  <r>
    <n v="12"/>
    <n v="2022"/>
    <x v="1"/>
    <x v="5"/>
    <n v="2363"/>
    <n v="2361"/>
    <n v="0.99915361828184512"/>
    <n v="8.4638171815487606E-4"/>
    <m/>
    <s v="NON_ZERO"/>
    <s v="VALID_BASE"/>
    <s v="NORMAL"/>
    <n v="1.6423214349010333E-3"/>
    <s v="OK"/>
    <s v="OK"/>
    <s v="OK"/>
  </r>
  <r>
    <n v="12"/>
    <n v="2022"/>
    <x v="2"/>
    <x v="0"/>
    <n v="0"/>
    <n v="0"/>
    <m/>
    <m/>
    <s v="ABSENT"/>
    <s v="ABSENT"/>
    <s v="ABSENT_BASE"/>
    <s v="ABSENT"/>
    <n v="0"/>
    <s v="OK"/>
    <s v="OK"/>
    <s v="FLAG"/>
  </r>
  <r>
    <n v="12"/>
    <n v="2022"/>
    <x v="2"/>
    <x v="1"/>
    <n v="3180"/>
    <n v="3138"/>
    <n v="0.98679245283018868"/>
    <n v="1.3207547169811318E-2"/>
    <m/>
    <s v="NON_ZERO"/>
    <s v="VALID_BASE"/>
    <s v="NORMAL"/>
    <n v="2.2101490321562783E-3"/>
    <s v="OK"/>
    <s v="OK"/>
    <s v="OK"/>
  </r>
  <r>
    <n v="12"/>
    <n v="2022"/>
    <x v="2"/>
    <x v="2"/>
    <n v="0"/>
    <n v="0"/>
    <m/>
    <m/>
    <s v="ABSENT"/>
    <s v="ABSENT"/>
    <s v="ABSENT_BASE"/>
    <s v="ABSENT"/>
    <n v="0"/>
    <s v="OK"/>
    <s v="OK"/>
    <s v="FLAG"/>
  </r>
  <r>
    <n v="12"/>
    <n v="2022"/>
    <x v="2"/>
    <x v="3"/>
    <n v="60352"/>
    <n v="60136"/>
    <n v="0.99642099681866381"/>
    <n v="3.5790031813361933E-3"/>
    <m/>
    <s v="NON_ZERO"/>
    <s v="VALID_BASE"/>
    <s v="NORMAL"/>
    <n v="4.194557056248293E-2"/>
    <s v="OK"/>
    <s v="OK"/>
    <s v="OK"/>
  </r>
  <r>
    <n v="12"/>
    <n v="2022"/>
    <x v="2"/>
    <x v="4"/>
    <n v="3640"/>
    <n v="3629"/>
    <n v="0.99697802197802199"/>
    <n v="3.0219780219780112E-3"/>
    <m/>
    <s v="NON_ZERO"/>
    <s v="VALID_BASE"/>
    <s v="NORMAL"/>
    <n v="2.5298561248581299E-3"/>
    <s v="OK"/>
    <s v="OK"/>
    <s v="OK"/>
  </r>
  <r>
    <n v="12"/>
    <n v="2022"/>
    <x v="2"/>
    <x v="5"/>
    <n v="7807"/>
    <n v="7794"/>
    <n v="0.99833482771871396"/>
    <n v="1.6651722812860426E-3"/>
    <m/>
    <s v="NON_ZERO"/>
    <s v="VALID_BASE"/>
    <s v="NORMAL"/>
    <n v="5.4259853754855553E-3"/>
    <s v="OK"/>
    <s v="OK"/>
    <s v="OK"/>
  </r>
  <r>
    <n v="12"/>
    <n v="2022"/>
    <x v="3"/>
    <x v="0"/>
    <n v="103"/>
    <n v="101"/>
    <n v="0.98058252427184467"/>
    <n v="1.9417475728155331E-2"/>
    <m/>
    <s v="NON_ZERO"/>
    <s v="VALID_BASE"/>
    <s v="NORMAL"/>
    <n v="7.1586588148458079E-5"/>
    <s v="OK"/>
    <s v="OK"/>
    <s v="OK"/>
  </r>
  <r>
    <n v="12"/>
    <n v="2022"/>
    <x v="3"/>
    <x v="1"/>
    <n v="7746"/>
    <n v="7688"/>
    <n v="0.99251226439452622"/>
    <n v="7.4877356054737776E-3"/>
    <m/>
    <s v="NON_ZERO"/>
    <s v="VALID_BASE"/>
    <s v="NORMAL"/>
    <n v="5.3835894349316136E-3"/>
    <s v="OK"/>
    <s v="OK"/>
    <s v="OK"/>
  </r>
  <r>
    <n v="12"/>
    <n v="2022"/>
    <x v="3"/>
    <x v="2"/>
    <n v="0"/>
    <n v="0"/>
    <m/>
    <m/>
    <s v="ABSENT"/>
    <s v="ABSENT"/>
    <s v="ABSENT_BASE"/>
    <s v="ABSENT"/>
    <n v="0"/>
    <s v="OK"/>
    <s v="OK"/>
    <s v="FLAG"/>
  </r>
  <r>
    <n v="12"/>
    <n v="2022"/>
    <x v="3"/>
    <x v="3"/>
    <n v="69835"/>
    <n v="69506"/>
    <n v="0.99528889525309661"/>
    <n v="4.711104746903394E-3"/>
    <m/>
    <s v="NON_ZERO"/>
    <s v="VALID_BASE"/>
    <s v="NORMAL"/>
    <n v="4.8536401780073492E-2"/>
    <s v="OK"/>
    <s v="OK"/>
    <s v="OK"/>
  </r>
  <r>
    <n v="12"/>
    <n v="2022"/>
    <x v="3"/>
    <x v="4"/>
    <n v="3823"/>
    <n v="3809"/>
    <n v="0.99633795448600571"/>
    <n v="3.6620455139942942E-3"/>
    <m/>
    <s v="NON_ZERO"/>
    <s v="VALID_BASE"/>
    <s v="NORMAL"/>
    <n v="2.6570439465199536E-3"/>
    <s v="OK"/>
    <s v="OK"/>
    <s v="OK"/>
  </r>
  <r>
    <n v="12"/>
    <n v="2022"/>
    <x v="3"/>
    <x v="5"/>
    <n v="11465"/>
    <n v="11431"/>
    <n v="0.99703445268207591"/>
    <n v="2.9655473179240888E-3"/>
    <m/>
    <s v="NON_ZERO"/>
    <s v="VALID_BASE"/>
    <s v="NORMAL"/>
    <n v="7.9683517778841931E-3"/>
    <s v="OK"/>
    <s v="OK"/>
    <s v="OK"/>
  </r>
  <r>
    <n v="12"/>
    <n v="2022"/>
    <x v="4"/>
    <x v="0"/>
    <n v="0"/>
    <n v="0"/>
    <m/>
    <m/>
    <s v="ABSENT"/>
    <s v="ABSENT"/>
    <s v="ABSENT_BASE"/>
    <s v="ABSENT"/>
    <n v="0"/>
    <s v="OK"/>
    <s v="OK"/>
    <s v="FLAG"/>
  </r>
  <r>
    <n v="12"/>
    <n v="2022"/>
    <x v="4"/>
    <x v="1"/>
    <n v="13060"/>
    <n v="13025"/>
    <n v="0.99732006125574268"/>
    <n v="2.6799387442573153E-3"/>
    <m/>
    <s v="NON_ZERO"/>
    <s v="VALID_BASE"/>
    <s v="NORMAL"/>
    <n v="9.0769013710569162E-3"/>
    <s v="OK"/>
    <s v="OK"/>
    <s v="OK"/>
  </r>
  <r>
    <n v="12"/>
    <n v="2022"/>
    <x v="4"/>
    <x v="2"/>
    <n v="55"/>
    <n v="55"/>
    <n v="1"/>
    <n v="0"/>
    <m/>
    <s v="NON_ZERO"/>
    <s v="SMALL_BASE"/>
    <s v="SUSPICIOUS_PERFECTION"/>
    <n v="3.8225848040438776E-5"/>
    <s v="OK"/>
    <s v="OK"/>
    <s v="OK"/>
  </r>
  <r>
    <n v="12"/>
    <n v="2022"/>
    <x v="4"/>
    <x v="3"/>
    <n v="89637"/>
    <n v="89317"/>
    <n v="0.99643004562847937"/>
    <n v="3.5699543715206339E-3"/>
    <m/>
    <s v="NON_ZERO"/>
    <s v="VALID_BASE"/>
    <s v="NORMAL"/>
    <n v="6.2299097105469284E-2"/>
    <s v="OK"/>
    <s v="OK"/>
    <s v="OK"/>
  </r>
  <r>
    <n v="12"/>
    <n v="2022"/>
    <x v="4"/>
    <x v="4"/>
    <n v="2549"/>
    <n v="2537"/>
    <n v="0.99529227147901134"/>
    <n v="4.7077285209886632E-3"/>
    <m/>
    <s v="NON_ZERO"/>
    <s v="VALID_BASE"/>
    <s v="NORMAL"/>
    <n v="1.771594302819608E-3"/>
    <s v="OK"/>
    <s v="OK"/>
    <s v="OK"/>
  </r>
  <r>
    <n v="12"/>
    <n v="2022"/>
    <x v="4"/>
    <x v="5"/>
    <n v="5861"/>
    <n v="5844"/>
    <n v="0.99709947108002051"/>
    <n v="2.9005289199794948E-3"/>
    <m/>
    <s v="NON_ZERO"/>
    <s v="VALID_BASE"/>
    <s v="NORMAL"/>
    <n v="4.0734853702729399E-3"/>
    <s v="OK"/>
    <s v="OK"/>
    <s v="OK"/>
  </r>
  <r>
    <n v="12"/>
    <n v="2022"/>
    <x v="5"/>
    <x v="0"/>
    <n v="0"/>
    <n v="0"/>
    <m/>
    <m/>
    <s v="ABSENT"/>
    <s v="ABSENT"/>
    <s v="ABSENT_BASE"/>
    <s v="ABSENT"/>
    <n v="0"/>
    <s v="OK"/>
    <s v="OK"/>
    <s v="FLAG"/>
  </r>
  <r>
    <n v="12"/>
    <n v="2022"/>
    <x v="5"/>
    <x v="1"/>
    <n v="3565"/>
    <n v="3552"/>
    <n v="0.99635343618513328"/>
    <n v="3.6465638148667212E-3"/>
    <m/>
    <s v="NON_ZERO"/>
    <s v="VALID_BASE"/>
    <s v="NORMAL"/>
    <n v="2.4777299684393497E-3"/>
    <s v="OK"/>
    <s v="OK"/>
    <s v="OK"/>
  </r>
  <r>
    <n v="12"/>
    <n v="2022"/>
    <x v="5"/>
    <x v="2"/>
    <n v="0"/>
    <n v="0"/>
    <m/>
    <m/>
    <s v="ABSENT"/>
    <s v="ABSENT"/>
    <s v="ABSENT_BASE"/>
    <s v="ABSENT"/>
    <n v="0"/>
    <s v="OK"/>
    <s v="OK"/>
    <s v="FLAG"/>
  </r>
  <r>
    <n v="12"/>
    <n v="2022"/>
    <x v="5"/>
    <x v="3"/>
    <n v="67799"/>
    <n v="67700"/>
    <n v="0.99853980147199817"/>
    <n v="1.4601985280018326E-3"/>
    <m/>
    <s v="NON_ZERO"/>
    <s v="VALID_BASE"/>
    <s v="NORMAL"/>
    <n v="4.7121350387158339E-2"/>
    <s v="OK"/>
    <s v="OK"/>
    <s v="OK"/>
  </r>
  <r>
    <n v="12"/>
    <n v="2022"/>
    <x v="5"/>
    <x v="4"/>
    <n v="1646"/>
    <n v="1642"/>
    <n v="0.99756986634264888"/>
    <n v="2.430133657351119E-3"/>
    <m/>
    <s v="NON_ZERO"/>
    <s v="VALID_BASE"/>
    <s v="NORMAL"/>
    <n v="1.143995379537495E-3"/>
    <s v="OK"/>
    <s v="OK"/>
    <s v="OK"/>
  </r>
  <r>
    <n v="12"/>
    <n v="2022"/>
    <x v="5"/>
    <x v="5"/>
    <n v="6713"/>
    <n v="6701"/>
    <n v="0.99821242365559359"/>
    <n v="1.7875763444064052E-3"/>
    <m/>
    <s v="NON_ZERO"/>
    <s v="VALID_BASE"/>
    <s v="NORMAL"/>
    <n v="4.6656385071902817E-3"/>
    <s v="OK"/>
    <s v="OK"/>
    <s v="OK"/>
  </r>
  <r>
    <n v="12"/>
    <n v="2022"/>
    <x v="6"/>
    <x v="0"/>
    <n v="164"/>
    <n v="162"/>
    <n v="0.98780487804878048"/>
    <n v="1.2195121951219523E-2"/>
    <m/>
    <s v="NON_ZERO"/>
    <s v="VALID_BASE"/>
    <s v="NORMAL"/>
    <n v="1.1398252870239926E-4"/>
    <s v="OK"/>
    <s v="OK"/>
    <s v="OK"/>
  </r>
  <r>
    <n v="12"/>
    <n v="2022"/>
    <x v="6"/>
    <x v="1"/>
    <n v="1555"/>
    <n v="1552"/>
    <n v="0.99807073954983927"/>
    <n v="1.9292604501607302E-3"/>
    <m/>
    <s v="NON_ZERO"/>
    <s v="VALID_BASE"/>
    <s v="NORMAL"/>
    <n v="1.0807489764160419E-3"/>
    <s v="OK"/>
    <s v="OK"/>
    <s v="OK"/>
  </r>
  <r>
    <n v="12"/>
    <n v="2022"/>
    <x v="6"/>
    <x v="2"/>
    <n v="22"/>
    <n v="22"/>
    <n v="1"/>
    <n v="0"/>
    <m/>
    <s v="NON_ZERO"/>
    <s v="SMALL_BASE"/>
    <s v="SUSPICIOUS_PERFECTION"/>
    <n v="1.5290339216175512E-5"/>
    <s v="OK"/>
    <s v="OK"/>
    <s v="OK"/>
  </r>
  <r>
    <n v="12"/>
    <n v="2022"/>
    <x v="6"/>
    <x v="3"/>
    <n v="62473"/>
    <n v="62094"/>
    <n v="0.99393337921982294"/>
    <n v="6.0666207801770566E-3"/>
    <m/>
    <s v="NON_ZERO"/>
    <s v="VALID_BASE"/>
    <s v="NORMAL"/>
    <n v="4.3419698266006029E-2"/>
    <s v="OK"/>
    <s v="OK"/>
    <s v="OK"/>
  </r>
  <r>
    <n v="12"/>
    <n v="2022"/>
    <x v="6"/>
    <x v="4"/>
    <n v="1120"/>
    <n v="1117"/>
    <n v="0.99732142857142858"/>
    <n v="2.6785714285714191E-3"/>
    <m/>
    <s v="NON_ZERO"/>
    <s v="VALID_BASE"/>
    <s v="NORMAL"/>
    <n v="7.7841726918711693E-4"/>
    <s v="OK"/>
    <s v="OK"/>
    <s v="OK"/>
  </r>
  <r>
    <n v="12"/>
    <n v="2022"/>
    <x v="6"/>
    <x v="5"/>
    <n v="4312"/>
    <n v="4307"/>
    <n v="0.99884044526901672"/>
    <n v="1.159554730983281E-3"/>
    <m/>
    <s v="NON_ZERO"/>
    <s v="VALID_BASE"/>
    <s v="NORMAL"/>
    <n v="2.9969064863704003E-3"/>
    <s v="OK"/>
    <s v="OK"/>
    <s v="OK"/>
  </r>
  <r>
    <n v="12"/>
    <n v="2022"/>
    <x v="7"/>
    <x v="0"/>
    <n v="0"/>
    <n v="0"/>
    <m/>
    <m/>
    <s v="ABSENT"/>
    <s v="ABSENT"/>
    <s v="ABSENT_BASE"/>
    <s v="ABSENT"/>
    <n v="0"/>
    <s v="OK"/>
    <s v="OK"/>
    <s v="FLAG"/>
  </r>
  <r>
    <n v="12"/>
    <n v="2022"/>
    <x v="7"/>
    <x v="1"/>
    <n v="100216"/>
    <n v="99566"/>
    <n v="0.99351400973896387"/>
    <n v="6.4859902610361342E-3"/>
    <m/>
    <s v="NON_ZERO"/>
    <s v="VALID_BASE"/>
    <s v="NORMAL"/>
    <n v="6.965166522219296E-2"/>
    <s v="OK"/>
    <s v="OK"/>
    <s v="OK"/>
  </r>
  <r>
    <n v="12"/>
    <n v="2022"/>
    <x v="7"/>
    <x v="2"/>
    <n v="6420"/>
    <n v="6393"/>
    <n v="0.99579439252336444"/>
    <n v="4.2056074766355644E-3"/>
    <m/>
    <s v="NON_ZERO"/>
    <s v="VALID_BASE"/>
    <s v="NORMAL"/>
    <n v="4.4619989894475812E-3"/>
    <s v="OK"/>
    <s v="OK"/>
    <s v="OK"/>
  </r>
  <r>
    <n v="12"/>
    <n v="2022"/>
    <x v="7"/>
    <x v="3"/>
    <n v="64953"/>
    <n v="64774"/>
    <n v="0.99724416116268688"/>
    <n v="2.7558388373131182E-3"/>
    <m/>
    <s v="NON_ZERO"/>
    <s v="VALID_BASE"/>
    <s v="NORMAL"/>
    <n v="4.5143336504920362E-2"/>
    <s v="OK"/>
    <s v="OK"/>
    <s v="OK"/>
  </r>
  <r>
    <n v="12"/>
    <n v="2022"/>
    <x v="7"/>
    <x v="4"/>
    <n v="81"/>
    <n v="81"/>
    <n v="1"/>
    <n v="0"/>
    <m/>
    <s v="NON_ZERO"/>
    <s v="SMALL_BASE"/>
    <s v="SUSPICIOUS_PERFECTION"/>
    <n v="5.6296248932282561E-5"/>
    <s v="OK"/>
    <s v="OK"/>
    <s v="OK"/>
  </r>
  <r>
    <n v="12"/>
    <n v="2022"/>
    <x v="7"/>
    <x v="5"/>
    <n v="6669"/>
    <n v="6661"/>
    <n v="0.99880041985305146"/>
    <n v="1.1995801469485423E-3"/>
    <m/>
    <s v="NON_ZERO"/>
    <s v="VALID_BASE"/>
    <s v="NORMAL"/>
    <n v="4.6350578287579309E-3"/>
    <s v="OK"/>
    <s v="OK"/>
    <s v="OK"/>
  </r>
  <r>
    <n v="12"/>
    <n v="2022"/>
    <x v="8"/>
    <x v="0"/>
    <n v="0"/>
    <n v="0"/>
    <m/>
    <m/>
    <s v="ABSENT"/>
    <s v="ABSENT"/>
    <s v="ABSENT_BASE"/>
    <s v="ABSENT"/>
    <n v="0"/>
    <s v="OK"/>
    <s v="OK"/>
    <s v="FLAG"/>
  </r>
  <r>
    <n v="12"/>
    <n v="2022"/>
    <x v="8"/>
    <x v="1"/>
    <n v="69504"/>
    <n v="69109"/>
    <n v="0.99431687384898715"/>
    <n v="5.6831261510128517E-3"/>
    <m/>
    <s v="NON_ZERO"/>
    <s v="VALID_BASE"/>
    <s v="NORMAL"/>
    <n v="4.8306351676411945E-2"/>
    <s v="OK"/>
    <s v="OK"/>
    <s v="OK"/>
  </r>
  <r>
    <n v="12"/>
    <n v="2022"/>
    <x v="8"/>
    <x v="2"/>
    <n v="7775"/>
    <n v="7743"/>
    <n v="0.99588424437299039"/>
    <n v="4.1157556270096096E-3"/>
    <m/>
    <s v="NON_ZERO"/>
    <s v="VALID_BASE"/>
    <s v="NORMAL"/>
    <n v="5.4037448820802086E-3"/>
    <s v="OK"/>
    <s v="OK"/>
    <s v="OK"/>
  </r>
  <r>
    <n v="12"/>
    <n v="2022"/>
    <x v="8"/>
    <x v="3"/>
    <n v="40461"/>
    <n v="40291"/>
    <n v="0.99579842317293199"/>
    <n v="4.2015768270680098E-3"/>
    <m/>
    <s v="NON_ZERO"/>
    <s v="VALID_BASE"/>
    <s v="NORMAL"/>
    <n v="2.8121018864803515E-2"/>
    <s v="OK"/>
    <s v="OK"/>
    <s v="OK"/>
  </r>
  <r>
    <n v="12"/>
    <n v="2022"/>
    <x v="8"/>
    <x v="4"/>
    <n v="65"/>
    <n v="65"/>
    <n v="1"/>
    <n v="0"/>
    <m/>
    <s v="NON_ZERO"/>
    <s v="SMALL_BASE"/>
    <s v="SUSPICIOUS_PERFECTION"/>
    <n v="4.5176002229609464E-5"/>
    <s v="OK"/>
    <s v="OK"/>
    <s v="OK"/>
  </r>
  <r>
    <n v="12"/>
    <n v="2022"/>
    <x v="8"/>
    <x v="5"/>
    <n v="2872"/>
    <n v="2872"/>
    <n v="1"/>
    <n v="0"/>
    <m/>
    <s v="NON_ZERO"/>
    <s v="VALID_BASE"/>
    <s v="NORMAL"/>
    <n v="1.9960842831298212E-3"/>
    <s v="OK"/>
    <s v="OK"/>
    <s v="OK"/>
  </r>
  <r>
    <n v="12"/>
    <n v="2022"/>
    <x v="9"/>
    <x v="0"/>
    <n v="0"/>
    <n v="0"/>
    <m/>
    <m/>
    <s v="ABSENT"/>
    <s v="ABSENT"/>
    <s v="ABSENT_BASE"/>
    <s v="ABSENT"/>
    <n v="0"/>
    <s v="OK"/>
    <s v="OK"/>
    <s v="FLAG"/>
  </r>
  <r>
    <n v="12"/>
    <n v="2022"/>
    <x v="9"/>
    <x v="1"/>
    <n v="20672"/>
    <n v="20518"/>
    <n v="0.99255030959752322"/>
    <n v="7.4496904024767829E-3"/>
    <m/>
    <s v="NON_ZERO"/>
    <s v="VALID_BASE"/>
    <s v="NORMAL"/>
    <n v="1.4367358739853644E-2"/>
    <s v="OK"/>
    <s v="OK"/>
    <s v="OK"/>
  </r>
  <r>
    <n v="12"/>
    <n v="2022"/>
    <x v="9"/>
    <x v="2"/>
    <n v="102"/>
    <n v="101"/>
    <n v="0.99019607843137258"/>
    <n v="9.8039215686274161E-3"/>
    <m/>
    <s v="NON_ZERO"/>
    <s v="VALID_BASE"/>
    <s v="NORMAL"/>
    <n v="7.0891572729541008E-5"/>
    <s v="OK"/>
    <s v="OK"/>
    <s v="OK"/>
  </r>
  <r>
    <n v="12"/>
    <n v="2022"/>
    <x v="9"/>
    <x v="3"/>
    <n v="20768"/>
    <n v="20601"/>
    <n v="0.99195878274268101"/>
    <n v="8.0412172573189888E-3"/>
    <m/>
    <s v="NON_ZERO"/>
    <s v="VALID_BASE"/>
    <s v="NORMAL"/>
    <n v="1.4434080220069681E-2"/>
    <s v="OK"/>
    <s v="OK"/>
    <s v="OK"/>
  </r>
  <r>
    <n v="12"/>
    <n v="2022"/>
    <x v="9"/>
    <x v="4"/>
    <n v="4536"/>
    <n v="4481"/>
    <n v="0.9878747795414462"/>
    <n v="1.2125220458553798E-2"/>
    <m/>
    <s v="NON_ZERO"/>
    <s v="VALID_BASE"/>
    <s v="NORMAL"/>
    <n v="3.1525899402078234E-3"/>
    <s v="OK"/>
    <s v="OK"/>
    <s v="OK"/>
  </r>
  <r>
    <n v="12"/>
    <n v="2022"/>
    <x v="9"/>
    <x v="5"/>
    <n v="6071"/>
    <n v="6047"/>
    <n v="0.99604677977268985"/>
    <n v="3.9532202273101502E-3"/>
    <m/>
    <s v="NON_ZERO"/>
    <s v="VALID_BASE"/>
    <s v="NORMAL"/>
    <n v="4.2194386082455241E-3"/>
    <s v="OK"/>
    <s v="OK"/>
    <s v="OK"/>
  </r>
  <r>
    <n v="12"/>
    <n v="2022"/>
    <x v="10"/>
    <x v="0"/>
    <n v="0"/>
    <n v="0"/>
    <m/>
    <m/>
    <s v="ABSENT"/>
    <s v="ABSENT"/>
    <s v="ABSENT_BASE"/>
    <s v="ABSENT"/>
    <n v="0"/>
    <s v="OK"/>
    <s v="OK"/>
    <s v="FLAG"/>
  </r>
  <r>
    <n v="12"/>
    <n v="2022"/>
    <x v="10"/>
    <x v="1"/>
    <n v="278"/>
    <n v="272"/>
    <n v="0.97841726618705038"/>
    <n v="2.1582733812949617E-2"/>
    <m/>
    <s v="NON_ZERO"/>
    <s v="VALID_BASE"/>
    <s v="LOW_RATE"/>
    <n v="1.9321428645894509E-4"/>
    <s v="OK"/>
    <s v="OK"/>
    <s v="OK"/>
  </r>
  <r>
    <n v="12"/>
    <n v="2022"/>
    <x v="10"/>
    <x v="2"/>
    <n v="921"/>
    <n v="920"/>
    <n v="0.998914223669924"/>
    <n v="1.0857763300760048E-3"/>
    <m/>
    <s v="NON_ZERO"/>
    <s v="VALID_BASE"/>
    <s v="NORMAL"/>
    <n v="6.4010920082262029E-4"/>
    <s v="OK"/>
    <s v="OK"/>
    <s v="OK"/>
  </r>
  <r>
    <n v="12"/>
    <n v="2022"/>
    <x v="10"/>
    <x v="3"/>
    <n v="100688"/>
    <n v="99746"/>
    <n v="0.99064436675671386"/>
    <n v="9.3556332432861433E-3"/>
    <m/>
    <s v="NON_ZERO"/>
    <s v="VALID_BASE"/>
    <s v="NORMAL"/>
    <n v="6.9979712499921812E-2"/>
    <s v="OK"/>
    <s v="OK"/>
    <s v="OK"/>
  </r>
  <r>
    <n v="12"/>
    <n v="2022"/>
    <x v="10"/>
    <x v="4"/>
    <n v="1069"/>
    <n v="1060"/>
    <n v="0.99158091674462112"/>
    <n v="8.4190832553788786E-3"/>
    <m/>
    <s v="NON_ZERO"/>
    <s v="VALID_BASE"/>
    <s v="NORMAL"/>
    <n v="7.4297148282234638E-4"/>
    <s v="OK"/>
    <s v="OK"/>
    <s v="OK"/>
  </r>
  <r>
    <n v="12"/>
    <n v="2022"/>
    <x v="10"/>
    <x v="5"/>
    <n v="4480"/>
    <n v="4471"/>
    <n v="0.99799107142857146"/>
    <n v="2.0089285714285365E-3"/>
    <m/>
    <s v="NON_ZERO"/>
    <s v="VALID_BASE"/>
    <s v="NORMAL"/>
    <n v="3.1136690767484677E-3"/>
    <s v="OK"/>
    <s v="OK"/>
    <s v="OK"/>
  </r>
  <r>
    <n v="12"/>
    <n v="2022"/>
    <x v="11"/>
    <x v="0"/>
    <n v="38"/>
    <n v="38"/>
    <n v="1"/>
    <n v="0"/>
    <m/>
    <s v="NON_ZERO"/>
    <s v="SMALL_BASE"/>
    <s v="SUSPICIOUS_PERFECTION"/>
    <n v="2.6410585918848608E-5"/>
    <s v="OK"/>
    <s v="OK"/>
    <s v="OK"/>
  </r>
  <r>
    <n v="12"/>
    <n v="2022"/>
    <x v="11"/>
    <x v="1"/>
    <n v="357"/>
    <n v="357"/>
    <n v="1"/>
    <n v="0"/>
    <m/>
    <s v="NON_ZERO"/>
    <s v="VALID_BASE"/>
    <s v="NORMAL"/>
    <n v="2.4812050455339353E-4"/>
    <s v="OK"/>
    <s v="OK"/>
    <s v="OK"/>
  </r>
  <r>
    <n v="12"/>
    <n v="2022"/>
    <x v="11"/>
    <x v="2"/>
    <n v="0"/>
    <n v="0"/>
    <m/>
    <m/>
    <s v="ABSENT"/>
    <s v="ABSENT"/>
    <s v="ABSENT_BASE"/>
    <s v="ABSENT"/>
    <n v="0"/>
    <s v="OK"/>
    <s v="OK"/>
    <s v="FLAG"/>
  </r>
  <r>
    <n v="12"/>
    <n v="2022"/>
    <x v="11"/>
    <x v="3"/>
    <n v="118675"/>
    <n v="118046"/>
    <n v="0.99469981040657263"/>
    <n v="5.3001895934273735E-3"/>
    <m/>
    <s v="NON_ZERO"/>
    <s v="VALID_BASE"/>
    <s v="NORMAL"/>
    <n v="8.248095483998312E-2"/>
    <s v="OK"/>
    <s v="OK"/>
    <s v="OK"/>
  </r>
  <r>
    <n v="12"/>
    <n v="2022"/>
    <x v="11"/>
    <x v="4"/>
    <n v="2231"/>
    <n v="2225"/>
    <n v="0.99731062303899598"/>
    <n v="2.6893769610040197E-3"/>
    <m/>
    <s v="NON_ZERO"/>
    <s v="VALID_BASE"/>
    <s v="NORMAL"/>
    <n v="1.5505793996039802E-3"/>
    <s v="OK"/>
    <s v="OK"/>
    <s v="OK"/>
  </r>
  <r>
    <n v="12"/>
    <n v="2022"/>
    <x v="11"/>
    <x v="5"/>
    <n v="3615"/>
    <n v="3607"/>
    <n v="0.99778699861687414"/>
    <n v="2.2130013831258566E-3"/>
    <m/>
    <s v="NON_ZERO"/>
    <s v="VALID_BASE"/>
    <s v="NORMAL"/>
    <n v="2.5124807393852033E-3"/>
    <s v="OK"/>
    <s v="OK"/>
    <s v="OK"/>
  </r>
  <r>
    <n v="12"/>
    <n v="2022"/>
    <x v="12"/>
    <x v="0"/>
    <n v="0"/>
    <n v="0"/>
    <m/>
    <m/>
    <s v="ABSENT"/>
    <s v="ABSENT"/>
    <s v="ABSENT_BASE"/>
    <s v="ABSENT"/>
    <n v="0"/>
    <s v="OK"/>
    <s v="OK"/>
    <s v="FLAG"/>
  </r>
  <r>
    <n v="12"/>
    <n v="2022"/>
    <x v="12"/>
    <x v="1"/>
    <n v="84"/>
    <n v="83"/>
    <n v="0.98809523809523814"/>
    <n v="1.1904761904761862E-2"/>
    <m/>
    <s v="NON_ZERO"/>
    <s v="SMALL_BASE"/>
    <s v="NORMAL"/>
    <n v="5.8381295189033768E-5"/>
    <s v="OK"/>
    <s v="OK"/>
    <s v="OK"/>
  </r>
  <r>
    <n v="12"/>
    <n v="2022"/>
    <x v="12"/>
    <x v="2"/>
    <n v="0"/>
    <n v="0"/>
    <m/>
    <m/>
    <s v="ABSENT"/>
    <s v="ABSENT"/>
    <s v="ABSENT_BASE"/>
    <s v="ABSENT"/>
    <n v="0"/>
    <s v="OK"/>
    <s v="OK"/>
    <s v="FLAG"/>
  </r>
  <r>
    <n v="12"/>
    <n v="2022"/>
    <x v="12"/>
    <x v="3"/>
    <n v="84716"/>
    <n v="83962"/>
    <n v="0.99109967420558098"/>
    <n v="8.9003257944190173E-3"/>
    <m/>
    <s v="NON_ZERO"/>
    <s v="VALID_BASE"/>
    <s v="NORMAL"/>
    <n v="5.887892622897839E-2"/>
    <s v="OK"/>
    <s v="OK"/>
    <s v="OK"/>
  </r>
  <r>
    <n v="12"/>
    <n v="2022"/>
    <x v="12"/>
    <x v="4"/>
    <n v="3714"/>
    <n v="3669"/>
    <n v="0.98788368336025845"/>
    <n v="1.2116316639741553E-2"/>
    <m/>
    <s v="NON_ZERO"/>
    <s v="VALID_BASE"/>
    <s v="NORMAL"/>
    <n v="2.581287265857993E-3"/>
    <s v="OK"/>
    <s v="OK"/>
    <s v="OK"/>
  </r>
  <r>
    <n v="12"/>
    <n v="2022"/>
    <x v="12"/>
    <x v="5"/>
    <n v="5409"/>
    <n v="5398"/>
    <n v="0.99796635237567022"/>
    <n v="2.0336476243297819E-3"/>
    <m/>
    <s v="NON_ZERO"/>
    <s v="VALID_BASE"/>
    <s v="NORMAL"/>
    <n v="3.7593384009224243E-3"/>
    <s v="OK"/>
    <s v="OK"/>
    <s v="OK"/>
  </r>
  <r>
    <n v="12"/>
    <n v="2022"/>
    <x v="13"/>
    <x v="0"/>
    <n v="0"/>
    <n v="0"/>
    <m/>
    <m/>
    <s v="ABSENT"/>
    <s v="ABSENT"/>
    <s v="ABSENT_BASE"/>
    <s v="ABSENT"/>
    <n v="0"/>
    <s v="OK"/>
    <s v="OK"/>
    <s v="FLAG"/>
  </r>
  <r>
    <n v="12"/>
    <n v="2022"/>
    <x v="13"/>
    <x v="1"/>
    <n v="1336"/>
    <n v="1272"/>
    <n v="0.95209580838323349"/>
    <n v="4.7904191616766512E-2"/>
    <m/>
    <s v="NON_ZERO"/>
    <s v="VALID_BASE"/>
    <s v="LOW_RATE"/>
    <n v="9.2854059967320372E-4"/>
    <s v="OK"/>
    <s v="OK"/>
    <s v="OK"/>
  </r>
  <r>
    <n v="12"/>
    <n v="2022"/>
    <x v="13"/>
    <x v="2"/>
    <n v="0"/>
    <n v="0"/>
    <m/>
    <m/>
    <s v="ABSENT"/>
    <s v="ABSENT"/>
    <s v="ABSENT_BASE"/>
    <s v="ABSENT"/>
    <n v="0"/>
    <s v="OK"/>
    <s v="OK"/>
    <s v="FLAG"/>
  </r>
  <r>
    <n v="12"/>
    <n v="2022"/>
    <x v="13"/>
    <x v="3"/>
    <n v="131729"/>
    <n v="130263"/>
    <n v="0.98887109140735907"/>
    <n v="1.1128908592640929E-2"/>
    <m/>
    <s v="NON_ZERO"/>
    <s v="VALID_BASE"/>
    <s v="NORMAL"/>
    <n v="9.1553686118526545E-2"/>
    <s v="OK"/>
    <s v="OK"/>
    <s v="OK"/>
  </r>
  <r>
    <n v="12"/>
    <n v="2022"/>
    <x v="13"/>
    <x v="4"/>
    <n v="3184"/>
    <n v="3152"/>
    <n v="0.98994974874371855"/>
    <n v="1.0050251256281451E-2"/>
    <m/>
    <s v="NON_ZERO"/>
    <s v="VALID_BASE"/>
    <s v="NORMAL"/>
    <n v="2.2129290938319468E-3"/>
    <s v="OK"/>
    <s v="OK"/>
    <s v="OK"/>
  </r>
  <r>
    <n v="12"/>
    <n v="2022"/>
    <x v="13"/>
    <x v="5"/>
    <n v="8680"/>
    <n v="8666"/>
    <n v="0.99838709677419357"/>
    <n v="1.612903225806428E-3"/>
    <m/>
    <s v="NON_ZERO"/>
    <s v="VALID_BASE"/>
    <s v="NORMAL"/>
    <n v="6.0327338362001562E-3"/>
    <s v="OK"/>
    <s v="OK"/>
    <s v="OK"/>
  </r>
  <r>
    <n v="12"/>
    <n v="2022"/>
    <x v="14"/>
    <x v="0"/>
    <n v="0"/>
    <n v="0"/>
    <m/>
    <m/>
    <s v="ABSENT"/>
    <s v="ABSENT"/>
    <s v="ABSENT_BASE"/>
    <s v="ABSENT"/>
    <n v="0"/>
    <s v="OK"/>
    <s v="OK"/>
    <s v="FLAG"/>
  </r>
  <r>
    <n v="12"/>
    <n v="2022"/>
    <x v="14"/>
    <x v="1"/>
    <n v="1535"/>
    <n v="1534"/>
    <n v="0.99934853420195435"/>
    <n v="6.514657980456473E-4"/>
    <m/>
    <s v="NON_ZERO"/>
    <s v="VALID_BASE"/>
    <s v="NORMAL"/>
    <n v="1.0668486680377005E-3"/>
    <s v="OK"/>
    <s v="OK"/>
    <s v="OK"/>
  </r>
  <r>
    <n v="12"/>
    <n v="2022"/>
    <x v="14"/>
    <x v="2"/>
    <n v="0"/>
    <n v="0"/>
    <m/>
    <m/>
    <s v="ABSENT"/>
    <s v="ABSENT"/>
    <s v="ABSENT_BASE"/>
    <s v="ABSENT"/>
    <n v="0"/>
    <s v="OK"/>
    <s v="OK"/>
    <s v="FLAG"/>
  </r>
  <r>
    <n v="12"/>
    <n v="2022"/>
    <x v="14"/>
    <x v="3"/>
    <n v="22801"/>
    <n v="22742"/>
    <n v="0.99741239419323713"/>
    <n v="2.5876058067628716E-3"/>
    <m/>
    <s v="NON_ZERO"/>
    <s v="VALID_BASE"/>
    <s v="NORMAL"/>
    <n v="1.5847046566728081E-2"/>
    <s v="OK"/>
    <s v="OK"/>
    <s v="OK"/>
  </r>
  <r>
    <n v="12"/>
    <n v="2022"/>
    <x v="14"/>
    <x v="4"/>
    <n v="1673"/>
    <n v="1662"/>
    <n v="0.99342498505678423"/>
    <n v="6.5750149432157734E-3"/>
    <m/>
    <s v="NON_ZERO"/>
    <s v="VALID_BASE"/>
    <s v="NORMAL"/>
    <n v="1.1627607958482559E-3"/>
    <s v="OK"/>
    <s v="OK"/>
    <s v="OK"/>
  </r>
  <r>
    <n v="12"/>
    <n v="2022"/>
    <x v="14"/>
    <x v="5"/>
    <n v="4859"/>
    <n v="4849"/>
    <n v="0.99794196336694796"/>
    <n v="2.0580366330520405E-3"/>
    <m/>
    <s v="NON_ZERO"/>
    <s v="VALID_BASE"/>
    <s v="NORMAL"/>
    <n v="3.3770799205180366E-3"/>
    <s v="OK"/>
    <s v="OK"/>
    <s v="OK"/>
  </r>
  <r>
    <n v="12"/>
    <n v="2022"/>
    <x v="15"/>
    <x v="0"/>
    <n v="0"/>
    <n v="0"/>
    <m/>
    <m/>
    <s v="ABSENT"/>
    <s v="ABSENT"/>
    <s v="ABSENT_BASE"/>
    <s v="ABSENT"/>
    <n v="0"/>
    <s v="OK"/>
    <s v="OK"/>
    <s v="FLAG"/>
  </r>
  <r>
    <n v="12"/>
    <n v="2022"/>
    <x v="15"/>
    <x v="1"/>
    <n v="82"/>
    <n v="82"/>
    <n v="1"/>
    <n v="0"/>
    <m/>
    <s v="NON_ZERO"/>
    <s v="SMALL_BASE"/>
    <s v="SUSPICIOUS_PERFECTION"/>
    <n v="5.6991264351199632E-5"/>
    <s v="OK"/>
    <s v="OK"/>
    <s v="OK"/>
  </r>
  <r>
    <n v="12"/>
    <n v="2022"/>
    <x v="15"/>
    <x v="2"/>
    <n v="0"/>
    <n v="0"/>
    <m/>
    <m/>
    <s v="ABSENT"/>
    <s v="ABSENT"/>
    <s v="ABSENT_BASE"/>
    <s v="ABSENT"/>
    <n v="0"/>
    <s v="OK"/>
    <s v="OK"/>
    <s v="FLAG"/>
  </r>
  <r>
    <n v="12"/>
    <n v="2022"/>
    <x v="15"/>
    <x v="3"/>
    <n v="33500"/>
    <n v="33462"/>
    <n v="0.99886567164179108"/>
    <n v="1.1343283582089247E-3"/>
    <m/>
    <s v="NON_ZERO"/>
    <s v="VALID_BASE"/>
    <s v="NORMAL"/>
    <n v="2.32830165337218E-2"/>
    <s v="OK"/>
    <s v="OK"/>
    <s v="OK"/>
  </r>
  <r>
    <n v="12"/>
    <n v="2022"/>
    <x v="15"/>
    <x v="4"/>
    <n v="973"/>
    <n v="972"/>
    <n v="0.99897225077081198"/>
    <n v="1.0277492291880241E-3"/>
    <m/>
    <s v="NON_ZERO"/>
    <s v="VALID_BASE"/>
    <s v="NORMAL"/>
    <n v="6.7625000260630784E-4"/>
    <s v="OK"/>
    <s v="OK"/>
    <s v="OK"/>
  </r>
  <r>
    <n v="12"/>
    <n v="2022"/>
    <x v="15"/>
    <x v="5"/>
    <n v="3666"/>
    <n v="3661"/>
    <n v="0.9986361156573923"/>
    <n v="1.3638843426077019E-3"/>
    <m/>
    <s v="NON_ZERO"/>
    <s v="VALID_BASE"/>
    <s v="NORMAL"/>
    <n v="2.5479265257499738E-3"/>
    <s v="OK"/>
    <s v="OK"/>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4E37D0-11FD-46FA-B30D-9819831659EB}" name="PivotTable2" cacheId="374" applyNumberFormats="0" applyBorderFormats="0" applyFontFormats="0" applyPatternFormats="0" applyAlignmentFormats="0" applyWidthHeightFormats="1" dataCaption="Values" tag="ddc2ce0e-4d68-44d2-ba5b-2bb44a97c2cc" updatedVersion="8" minRefreshableVersion="3" useAutoFormatting="1" itemPrintTitles="1" createdVersion="8" indent="0" showHeaders="0" outline="1" outlineData="1" multipleFieldFilters="0">
  <location ref="B10:B11"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6">
    <format dxfId="363">
      <pivotArea dataOnly="0" labelOnly="1" outline="0" axis="axisValues" fieldPosition="0"/>
    </format>
    <format dxfId="362">
      <pivotArea outline="0" collapsedLevelsAreSubtotals="1" fieldPosition="0"/>
    </format>
    <format dxfId="361">
      <pivotArea type="all" dataOnly="0" outline="0" fieldPosition="0"/>
    </format>
    <format dxfId="360">
      <pivotArea outline="0" collapsedLevelsAreSubtotals="1" fieldPosition="0"/>
    </format>
    <format dxfId="359">
      <pivotArea dataOnly="0" labelOnly="1" outline="0" axis="axisValues" fieldPosition="0"/>
    </format>
    <format dxfId="358">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4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90554C-3747-4BCB-99FA-F410F66AC167}" name="PivotTable1" cacheId="1014" applyNumberFormats="0" applyBorderFormats="0" applyFontFormats="0" applyPatternFormats="0" applyAlignmentFormats="0" applyWidthHeightFormats="1" dataCaption="Values" missingCaption="0" tag="637037cd-05ef-489d-b00f-1c88145366ec" updatedVersion="8" minRefreshableVersion="3" useAutoFormatting="1" subtotalHiddenItems="1" itemPrintTitles="1" createdVersion="8" indent="0" outline="1" outlineData="1" multipleFieldFilters="0">
  <location ref="B16:B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7">
    <format dxfId="370">
      <pivotArea outline="0" collapsedLevelsAreSubtotals="1" fieldPosition="0"/>
    </format>
    <format dxfId="369">
      <pivotArea dataOnly="0" labelOnly="1" outline="0" axis="axisValues" fieldPosition="0"/>
    </format>
    <format dxfId="368">
      <pivotArea outline="0" collapsedLevelsAreSubtotals="1" fieldPosition="0"/>
    </format>
    <format dxfId="367">
      <pivotArea type="all" dataOnly="0" outline="0" fieldPosition="0"/>
    </format>
    <format dxfId="366">
      <pivotArea outline="0" collapsedLevelsAreSubtotals="1" fieldPosition="0"/>
    </format>
    <format dxfId="365">
      <pivotArea dataOnly="0" labelOnly="1" outline="0" axis="axisValues" fieldPosition="0"/>
    </format>
    <format dxfId="364">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52">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4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A1A6F3-50BD-4587-BB05-10DA66A5AFD4}" name="PivotTable4" cacheId="1011" applyNumberFormats="0" applyBorderFormats="0" applyFontFormats="0" applyPatternFormats="0" applyAlignmentFormats="0" applyWidthHeightFormats="1" dataCaption="Values" missingCaption="0" tag="f2c51aa9-bef5-4e95-8f12-7e3ebe01765f" updatedVersion="8" minRefreshableVersion="3" useAutoFormatting="1" subtotalHiddenItems="1" itemPrintTitles="1" createdVersion="8" indent="0" outline="1" outlineData="1" multipleFieldFilters="0" chartFormat="16">
  <location ref="A3:D8"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Integrity_CheckResult" fld="2"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3">
          <reference field="4294967294" count="1" selected="0">
            <x v="0"/>
          </reference>
          <reference field="0" count="1" selected="0">
            <x v="1"/>
          </reference>
          <reference field="1" count="1" selected="0">
            <x v="0"/>
          </reference>
        </references>
      </pivotArea>
    </chartFormat>
    <chartFormat chart="5" format="9">
      <pivotArea type="data" outline="0" fieldPosition="0">
        <references count="3">
          <reference field="4294967294" count="1" selected="0">
            <x v="0"/>
          </reference>
          <reference field="0" count="1" selected="0">
            <x v="2"/>
          </reference>
          <reference field="1" count="1" selected="0">
            <x v="0"/>
          </reference>
        </references>
      </pivotArea>
    </chartFormat>
  </chartFormats>
  <pivotHierarchies count="5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4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4D1A2B-39A9-4BF2-9718-7E2AD919B232}" name="PivotTable3" cacheId="377" applyNumberFormats="0" applyBorderFormats="0" applyFontFormats="0" applyPatternFormats="0" applyAlignmentFormats="0" applyWidthHeightFormats="1" dataCaption="Values" tag="6175a1b8-6dab-4a4a-aba0-9891e2ddefef" updatedVersion="8" minRefreshableVersion="3" useAutoFormatting="1" itemPrintTitles="1" createdVersion="8" indent="0" showHeaders="0" outline="1" outlineData="1" multipleFieldFilters="0">
  <location ref="B13:B14"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8">
    <format dxfId="378">
      <pivotArea dataOnly="0" labelOnly="1" outline="0" axis="axisValues" fieldPosition="0"/>
    </format>
    <format dxfId="377">
      <pivotArea outline="0" collapsedLevelsAreSubtotals="1" fieldPosition="0"/>
    </format>
    <format dxfId="376">
      <pivotArea type="all" dataOnly="0" outline="0" fieldPosition="0"/>
    </format>
    <format dxfId="375">
      <pivotArea outline="0" collapsedLevelsAreSubtotals="1" fieldPosition="0"/>
    </format>
    <format dxfId="374">
      <pivotArea dataOnly="0" labelOnly="1" outline="0" axis="axisValues" fieldPosition="0"/>
    </format>
    <format dxfId="373">
      <pivotArea type="all" dataOnly="0" outline="0" fieldPosition="0"/>
    </format>
    <format dxfId="372">
      <pivotArea outline="0" collapsedLevelsAreSubtotals="1" fieldPosition="0"/>
    </format>
    <format dxfId="371">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4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368B0B-B47A-42F6-93D2-E618AC267B57}" name="PivotTable5" cacheId="1008" applyNumberFormats="0" applyBorderFormats="0" applyFontFormats="0" applyPatternFormats="0" applyAlignmentFormats="0" applyWidthHeightFormats="1" dataCaption="Values" missingCaption="0" tag="a0293e04-d4b1-4dfe-85f5-75243e87e18a" updatedVersion="8" minRefreshableVersion="3" useAutoFormatting="1" subtotalHiddenItems="1" itemPrintTitles="1" createdVersion="8" indent="0" outline="1" outlineData="1" multipleFieldFilters="0" chartFormat="22">
  <location ref="A21:D25"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Count of BaseFlag" fld="2" subtotal="count" baseField="0" baseItem="0"/>
    <dataField fld="1" subtotal="count" baseField="0" baseItem="0" numFmtId="10"/>
    <dataField name="Sum of Registered" fld="3" baseField="0" baseItem="1"/>
  </dataFields>
  <formats count="1">
    <format dxfId="354">
      <pivotArea outline="0" collapsedLevelsAreSubtotals="1" fieldPosition="0">
        <references count="1">
          <reference field="4294967294" count="1" selected="0">
            <x v="1"/>
          </reference>
        </references>
      </pivotArea>
    </format>
  </formats>
  <chartFormats count="9">
    <chartFormat chart="4" format="14" series="1">
      <pivotArea type="data" outline="0" fieldPosition="0">
        <references count="1">
          <reference field="4294967294" count="1" selected="0">
            <x v="1"/>
          </reference>
        </references>
      </pivotArea>
    </chartFormat>
    <chartFormat chart="0" format="9" series="1">
      <pivotArea type="data" outline="0" fieldPosition="0">
        <references count="1">
          <reference field="4294967294" count="1" selected="0">
            <x v="1"/>
          </reference>
        </references>
      </pivotArea>
    </chartFormat>
    <chartFormat chart="4" format="15"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0" count="1" selected="0">
            <x v="0"/>
          </reference>
        </references>
      </pivotArea>
    </chartFormat>
    <chartFormat chart="0" format="12">
      <pivotArea type="data" outline="0" fieldPosition="0">
        <references count="2">
          <reference field="4294967294" count="1" selected="0">
            <x v="0"/>
          </reference>
          <reference field="0" count="1" selected="0">
            <x v="1"/>
          </reference>
        </references>
      </pivotArea>
    </chartFormat>
    <chartFormat chart="0" format="13">
      <pivotArea type="data" outline="0" fieldPosition="0">
        <references count="2">
          <reference field="4294967294" count="1" selected="0">
            <x v="0"/>
          </reference>
          <reference field="0" count="1" selected="0">
            <x v="2"/>
          </reference>
        </references>
      </pivotArea>
    </chartFormat>
    <chartFormat chart="4" format="16" series="1">
      <pivotArea type="data" outline="0" fieldPosition="0">
        <references count="1">
          <reference field="4294967294" count="1" selected="0">
            <x v="2"/>
          </reference>
        </references>
      </pivotArea>
    </chartFormat>
    <chartFormat chart="0" format="14" series="1">
      <pivotArea type="data" outline="0" fieldPosition="0">
        <references count="1">
          <reference field="4294967294" count="1" selected="0">
            <x v="2"/>
          </reference>
        </references>
      </pivotArea>
    </chartFormat>
  </chartFormats>
  <pivotHierarchies count="5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4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34029A-3D6F-48CF-BA87-D01287B7C29E}" name="PivotTable6" cacheId="1005" applyNumberFormats="0" applyBorderFormats="0" applyFontFormats="0" applyPatternFormats="0" applyAlignmentFormats="0" applyWidthHeightFormats="1" dataCaption="Values" missingCaption="0" tag="f6223a23-523b-457a-8b1b-8ab6832f52ce" updatedVersion="8" minRefreshableVersion="3" useAutoFormatting="1" subtotalHiddenItems="1" itemPrintTitles="1" createdVersion="8" indent="0" outline="1" outlineData="1" multipleFieldFilters="0" chartFormat="12">
  <location ref="A3:C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Count of AnomalyFlag" fld="1" subtotal="count" baseField="0" baseItem="0"/>
    <dataField fld="2" subtotal="count" baseField="0" baseItem="0"/>
  </dataFields>
  <chartFormats count="10">
    <chartFormat chart="5" format="13"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0"/>
          </reference>
        </references>
      </pivotArea>
    </chartFormat>
    <chartFormat chart="5" format="15">
      <pivotArea type="data" outline="0" fieldPosition="0">
        <references count="2">
          <reference field="4294967294" count="1" selected="0">
            <x v="0"/>
          </reference>
          <reference field="0" count="1" selected="0">
            <x v="1"/>
          </reference>
        </references>
      </pivotArea>
    </chartFormat>
    <chartFormat chart="5" format="16">
      <pivotArea type="data" outline="0" fieldPosition="0">
        <references count="2">
          <reference field="4294967294" count="1" selected="0">
            <x v="0"/>
          </reference>
          <reference field="0" count="1" selected="0">
            <x v="2"/>
          </reference>
        </references>
      </pivotArea>
    </chartFormat>
    <chartFormat chart="5" format="17" series="1">
      <pivotArea type="data" outline="0" fieldPosition="0">
        <references count="1">
          <reference field="4294967294" count="1" selected="0">
            <x v="1"/>
          </reference>
        </references>
      </pivotArea>
    </chartFormat>
    <chartFormat chart="0" format="9" series="1">
      <pivotArea type="data" outline="0" fieldPosition="0">
        <references count="1">
          <reference field="4294967294" count="1" selected="0">
            <x v="1"/>
          </reference>
        </references>
      </pivotArea>
    </chartFormat>
  </chartFormats>
  <pivotHierarchies count="5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4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04C7CF-2220-4CD8-8EA5-4B5EB6E55166}" name="PivotTable1" cacheId="1017" applyNumberFormats="0" applyBorderFormats="0" applyFontFormats="0" applyPatternFormats="0" applyAlignmentFormats="0" applyWidthHeightFormats="1" dataCaption="Values" grandTotalCaption="Grand Total" tag="5fb04f3c-e3f6-4b4a-a14a-9caebb6d30dc" updatedVersion="8" minRefreshableVersion="3" useAutoFormatting="1" subtotalHiddenItems="1" itemPrintTitles="1" createdVersion="8" indent="0" outline="1" outlineData="1" multipleFieldFilters="0">
  <location ref="A3:C116" firstHeaderRow="0" firstDataRow="1" firstDataCol="1"/>
  <pivotFields count="4">
    <pivotField axis="axisRow" allDrilled="1" showAll="0" dataSourceSort="1" defaultAttributeDrillState="1">
      <items count="17">
        <item x="0"/>
        <item x="1"/>
        <item x="2"/>
        <item x="3"/>
        <item x="4"/>
        <item x="5"/>
        <item x="6"/>
        <item x="7"/>
        <item x="8"/>
        <item x="9"/>
        <item x="10"/>
        <item x="11"/>
        <item x="12"/>
        <item x="13"/>
        <item x="14"/>
        <item x="15"/>
        <item t="default"/>
      </items>
    </pivotField>
    <pivotField axis="axisRow" allDrilled="1" subtotalTop="0" showAll="0" defaultSubtotal="0" defaultAttributeDrillState="1">
      <items count="6">
        <item x="3"/>
        <item x="0"/>
        <item x="1"/>
        <item x="2"/>
        <item x="4"/>
        <item x="5"/>
      </items>
    </pivotField>
    <pivotField dataField="1" subtotalTop="0" showAll="0" defaultSubtotal="0"/>
    <pivotField dataField="1" subtotalTop="0" showAll="0" defaultSubtotal="0"/>
  </pivotFields>
  <rowFields count="2">
    <field x="0"/>
    <field x="1"/>
  </rowFields>
  <rowItems count="113">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x v="6"/>
    </i>
    <i r="1">
      <x/>
    </i>
    <i r="1">
      <x v="1"/>
    </i>
    <i r="1">
      <x v="2"/>
    </i>
    <i r="1">
      <x v="3"/>
    </i>
    <i r="1">
      <x v="4"/>
    </i>
    <i r="1">
      <x v="5"/>
    </i>
    <i>
      <x v="7"/>
    </i>
    <i r="1">
      <x/>
    </i>
    <i r="1">
      <x v="1"/>
    </i>
    <i r="1">
      <x v="2"/>
    </i>
    <i r="1">
      <x v="3"/>
    </i>
    <i r="1">
      <x v="4"/>
    </i>
    <i r="1">
      <x v="5"/>
    </i>
    <i>
      <x v="8"/>
    </i>
    <i r="1">
      <x/>
    </i>
    <i r="1">
      <x v="1"/>
    </i>
    <i r="1">
      <x v="2"/>
    </i>
    <i r="1">
      <x v="3"/>
    </i>
    <i r="1">
      <x v="4"/>
    </i>
    <i r="1">
      <x v="5"/>
    </i>
    <i>
      <x v="9"/>
    </i>
    <i r="1">
      <x/>
    </i>
    <i r="1">
      <x v="1"/>
    </i>
    <i r="1">
      <x v="2"/>
    </i>
    <i r="1">
      <x v="3"/>
    </i>
    <i r="1">
      <x v="4"/>
    </i>
    <i r="1">
      <x v="5"/>
    </i>
    <i>
      <x v="10"/>
    </i>
    <i r="1">
      <x/>
    </i>
    <i r="1">
      <x v="1"/>
    </i>
    <i r="1">
      <x v="2"/>
    </i>
    <i r="1">
      <x v="3"/>
    </i>
    <i r="1">
      <x v="4"/>
    </i>
    <i r="1">
      <x v="5"/>
    </i>
    <i>
      <x v="11"/>
    </i>
    <i r="1">
      <x/>
    </i>
    <i r="1">
      <x v="1"/>
    </i>
    <i r="1">
      <x v="2"/>
    </i>
    <i r="1">
      <x v="3"/>
    </i>
    <i r="1">
      <x v="4"/>
    </i>
    <i r="1">
      <x v="5"/>
    </i>
    <i>
      <x v="12"/>
    </i>
    <i r="1">
      <x/>
    </i>
    <i r="1">
      <x v="1"/>
    </i>
    <i r="1">
      <x v="2"/>
    </i>
    <i r="1">
      <x v="3"/>
    </i>
    <i r="1">
      <x v="4"/>
    </i>
    <i r="1">
      <x v="5"/>
    </i>
    <i>
      <x v="13"/>
    </i>
    <i r="1">
      <x/>
    </i>
    <i r="1">
      <x v="1"/>
    </i>
    <i r="1">
      <x v="2"/>
    </i>
    <i r="1">
      <x v="3"/>
    </i>
    <i r="1">
      <x v="4"/>
    </i>
    <i r="1">
      <x v="5"/>
    </i>
    <i>
      <x v="14"/>
    </i>
    <i r="1">
      <x/>
    </i>
    <i r="1">
      <x v="1"/>
    </i>
    <i r="1">
      <x v="2"/>
    </i>
    <i r="1">
      <x v="3"/>
    </i>
    <i r="1">
      <x v="4"/>
    </i>
    <i r="1">
      <x v="5"/>
    </i>
    <i>
      <x v="15"/>
    </i>
    <i r="1">
      <x/>
    </i>
    <i r="1">
      <x v="1"/>
    </i>
    <i r="1">
      <x v="2"/>
    </i>
    <i r="1">
      <x v="3"/>
    </i>
    <i r="1">
      <x v="4"/>
    </i>
    <i r="1">
      <x v="5"/>
    </i>
    <i t="grand">
      <x/>
    </i>
  </rowItems>
  <colFields count="1">
    <field x="-2"/>
  </colFields>
  <colItems count="2">
    <i>
      <x/>
    </i>
    <i i="1">
      <x v="1"/>
    </i>
  </colItems>
  <dataFields count="2">
    <dataField name="Min of Registered" fld="2" subtotal="min" baseField="0" baseItem="0"/>
    <dataField fld="3" subtotal="count" baseField="0" baseItem="0"/>
  </dataFields>
  <pivotHierarchies count="52">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Min of Registere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4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0E9506-9F6E-4B48-991C-75BF07C6378D}" name="PivotTable2" cacheId="410" applyNumberFormats="0" applyBorderFormats="0" applyFontFormats="0" applyPatternFormats="0" applyAlignmentFormats="0" applyWidthHeightFormats="1" dataCaption="Values" missingCaption="0" tag="4832fa5a-2167-40d4-a15b-e2a18ec51e03" updatedVersion="8" minRefreshableVersion="3" useAutoFormatting="1" itemPrintTitles="1" createdVersion="8" indent="0" outline="1" outlineData="1" multipleFieldFilters="0">
  <location ref="A6:G7"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1" subtotal="count" baseField="0" baseItem="0"/>
    <dataField fld="0"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pivotHierarchies count="52">
    <pivotHierarchy dragToData="1"/>
    <pivotHierarchy dragToData="1"/>
    <pivotHierarchy multipleItemSelectionAllowed="1" dragToData="1"/>
    <pivotHierarchy multipleItemSelectionAllowed="1" dragToData="1"/>
    <pivotHierarchy multipleItemSelectionAllowed="1" dragToData="1">
      <members count="8" level="1">
        <member name="[Table1_14  2].[Registered].&amp;[0]"/>
        <member name="[Table1_14  2].[Registered].&amp;[22]"/>
        <member name="[Table1_14  2].[Registered].&amp;[38]"/>
        <member name="[Table1_14  2].[Registered].&amp;[55]"/>
        <member name="[Table1_14  2].[Registered].&amp;[65]"/>
        <member name="[Table1_14  2].[Registered].&amp;[70]"/>
        <member name="[Table1_14  2].[Registered].&amp;[81]"/>
        <member name="[Table1_14  2].[Registered].&amp;[8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4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045472-EDEF-4D56-8256-60850B94C05A}" name="PivotTable4" cacheId="397" applyNumberFormats="0" applyBorderFormats="0" applyFontFormats="0" applyPatternFormats="0" applyAlignmentFormats="0" applyWidthHeightFormats="1" dataCaption="Values" tag="13c3795a-f15a-48e8-b05a-c9808371da0a" updatedVersion="8" minRefreshableVersion="3" useAutoFormatting="1" itemPrintTitles="1" createdVersion="8" indent="0" outline="1" outlineData="1" multipleFieldFilters="0">
  <location ref="H10:J11"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4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55B068-1D39-42D5-A9F7-60E660B273ED}" name="PivotTable3" cacheId="394" applyNumberFormats="0" applyBorderFormats="0" applyFontFormats="0" applyPatternFormats="0" applyAlignmentFormats="0" applyWidthHeightFormats="1" dataCaption="Values" missingCaption="0" tag="fd502e56-3632-4d8a-ab95-6063e196c4b0" updatedVersion="8" minRefreshableVersion="3" useAutoFormatting="1" itemPrintTitles="1" createdVersion="8" indent="0" outline="1" outlineData="1" multipleFieldFilters="0">
  <location ref="A7:M8" firstHeaderRow="0" firstDataRow="1" firstDataCol="0"/>
  <pivotFields count="1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13">
    <i>
      <x/>
    </i>
    <i i="1">
      <x v="1"/>
    </i>
    <i i="2">
      <x v="2"/>
    </i>
    <i i="3">
      <x v="3"/>
    </i>
    <i i="4">
      <x v="4"/>
    </i>
    <i i="5">
      <x v="5"/>
    </i>
    <i i="6">
      <x v="6"/>
    </i>
    <i i="7">
      <x v="7"/>
    </i>
    <i i="8">
      <x v="8"/>
    </i>
    <i i="9">
      <x v="9"/>
    </i>
    <i i="10">
      <x v="10"/>
    </i>
    <i i="11">
      <x v="11"/>
    </i>
    <i i="12">
      <x v="12"/>
    </i>
  </colItems>
  <dataFields count="13">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8" subtotal="count" baseField="0" baseItem="0"/>
    <dataField fld="9" subtotal="count" baseField="0" baseItem="0"/>
    <dataField fld="10" subtotal="count" baseField="0" baseItem="0"/>
    <dataField fld="7" subtotal="count" baseField="0" baseItem="0"/>
    <dataField fld="11" subtotal="count" baseField="0" baseItem="0"/>
    <dataField fld="12" subtotal="count" baseField="0" baseItem="0"/>
  </dataFields>
  <pivotHierarchies count="52">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4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F0480BE-F6DB-463D-B32A-EEB1A38A2C65}" name="PivotTable1" cacheId="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6">
    <pivotField showAll="0"/>
    <pivotField showAll="0"/>
    <pivotField showAll="0">
      <items count="17">
        <item x="0"/>
        <item x="1"/>
        <item x="2"/>
        <item x="3"/>
        <item x="4"/>
        <item x="5"/>
        <item x="6"/>
        <item x="7"/>
        <item x="8"/>
        <item x="9"/>
        <item x="10"/>
        <item x="11"/>
        <item x="12"/>
        <item x="13"/>
        <item x="14"/>
        <item x="15"/>
        <item t="default"/>
      </items>
    </pivotField>
    <pivotField axis="axisRow" showAll="0">
      <items count="7">
        <item x="0"/>
        <item x="1"/>
        <item x="2"/>
        <item x="3"/>
        <item x="4"/>
        <item x="5"/>
        <item t="default"/>
      </items>
    </pivotField>
    <pivotField showAll="0"/>
    <pivotField showAll="0"/>
    <pivotField dataField="1" showAll="0"/>
    <pivotField showAll="0"/>
    <pivotField showAll="0"/>
    <pivotField showAll="0"/>
    <pivotField showAll="0"/>
    <pivotField showAll="0"/>
    <pivotField numFmtId="10" showAll="0"/>
    <pivotField showAll="0"/>
    <pivotField showAll="0"/>
    <pivotField showAll="0"/>
  </pivotFields>
  <rowFields count="1">
    <field x="3"/>
  </rowFields>
  <rowItems count="7">
    <i>
      <x/>
    </i>
    <i>
      <x v="1"/>
    </i>
    <i>
      <x v="2"/>
    </i>
    <i>
      <x v="3"/>
    </i>
    <i>
      <x v="4"/>
    </i>
    <i>
      <x v="5"/>
    </i>
    <i t="grand">
      <x/>
    </i>
  </rowItems>
  <colFields count="1">
    <field x="-2"/>
  </colFields>
  <colItems count="3">
    <i>
      <x/>
    </i>
    <i i="1">
      <x v="1"/>
    </i>
    <i i="2">
      <x v="2"/>
    </i>
  </colItems>
  <dataFields count="3">
    <dataField name="Volatility_StdDev_SchoolType" fld="6" subtotal="stdDev" baseField="3" baseItem="2" numFmtId="164"/>
    <dataField name="Max_AppearanceRate" fld="6" subtotal="max" baseField="3" baseItem="1" numFmtId="164"/>
    <dataField name="Min_AppearanceRate" fld="6" subtotal="min" baseField="3" baseItem="1" numFmtId="164"/>
  </dataFields>
  <formats count="3">
    <format dxfId="357">
      <pivotArea outline="0" collapsedLevelsAreSubtotals="1" fieldPosition="0">
        <references count="1">
          <reference field="4294967294" count="1" selected="0">
            <x v="0"/>
          </reference>
        </references>
      </pivotArea>
    </format>
    <format dxfId="356">
      <pivotArea outline="0" collapsedLevelsAreSubtotals="1" fieldPosition="0">
        <references count="1">
          <reference field="4294967294" count="1" selected="0">
            <x v="1"/>
          </reference>
        </references>
      </pivotArea>
    </format>
    <format dxfId="35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61C9F1-F677-4BF0-A88B-EED36F34F601}" autoFormatId="16" applyNumberFormats="0" applyBorderFormats="0" applyFontFormats="0" applyPatternFormats="0" applyAlignmentFormats="0" applyWidthHeightFormats="0">
  <queryTableRefresh nextId="13">
    <queryTableFields count="9">
      <queryTableField id="1" name="Class" tableColumnId="1"/>
      <queryTableField id="2" name="Year" tableColumnId="2"/>
      <queryTableField id="3" name="Region" tableColumnId="3"/>
      <queryTableField id="4" name="School Type" tableColumnId="4"/>
      <queryTableField id="5" name="Registered" tableColumnId="5"/>
      <queryTableField id="6" name="Appeared" tableColumnId="6"/>
      <queryTableField id="7" name="Appearance Rate" tableColumnId="7"/>
      <queryTableField id="8" name="No-show Rate" tableColumnId="8"/>
      <queryTableField id="9" name="Absence Flag"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5096D51-4A48-4EC0-B4AE-EFA73D783643}" sourceName="Region">
  <pivotTables>
    <pivotTable tabId="13" name="PivotTable1"/>
  </pivotTables>
  <data>
    <tabular pivotCacheId="1192373820">
      <items count="16">
        <i x="0" s="1"/>
        <i x="1" s="1"/>
        <i x="2" s="1"/>
        <i x="3" s="1"/>
        <i x="4" s="1"/>
        <i x="5" s="1"/>
        <i x="6" s="1"/>
        <i x="7" s="1"/>
        <i x="8" s="1"/>
        <i x="9" s="1"/>
        <i x="10" s="1"/>
        <i x="11" s="1"/>
        <i x="12" s="1"/>
        <i x="13" s="1"/>
        <i x="1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Type2" xr10:uid="{EDF587B1-7972-4E30-9F57-830D40B48968}" sourceName="School Type">
  <pivotTables>
    <pivotTable tabId="13" name="PivotTable1"/>
  </pivotTables>
  <data>
    <tabular pivotCacheId="1192373820">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48E5EC-7CDC-46A1-B90B-713E1CEE1B8E}" sourceName="[Table1_14  2].[Region]">
  <pivotTables>
    <pivotTable tabId="24" name="PivotTable6"/>
    <pivotTable tabId="23" name="PivotTable5"/>
    <pivotTable tabId="22" name="PivotTable4"/>
    <pivotTable tabId="22" name="PivotTable1"/>
    <pivotTable tabId="25" name="PivotTable1"/>
  </pivotTables>
  <data>
    <olap pivotCacheId="923999742">
      <levels count="2">
        <level uniqueName="[Table1_14  2].[Region].[(All)]" sourceCaption="(All)" count="0"/>
        <level uniqueName="[Table1_14  2].[Region].[Region]" sourceCaption="Region" count="16">
          <ranges>
            <range startItem="0">
              <i n="[Table1_14  2].[Region].&amp;[Ajmer]" c="Ajmer"/>
              <i n="[Table1_14  2].[Region].&amp;[Bengaluru]" c="Bengaluru"/>
              <i n="[Table1_14  2].[Region].&amp;[Bhopal]" c="Bhopal"/>
              <i n="[Table1_14  2].[Region].&amp;[Bhubaneswar]" c="Bhubaneswar"/>
              <i n="[Table1_14  2].[Region].&amp;[Chandigarh]" c="Chandigarh"/>
              <i n="[Table1_14  2].[Region].&amp;[Chennai]" c="Chennai"/>
              <i n="[Table1_14  2].[Region].&amp;[Dehradun]" c="Dehradun"/>
              <i n="[Table1_14  2].[Region].&amp;[Delhi East]" c="Delhi East"/>
              <i n="[Table1_14  2].[Region].&amp;[Delhi West]" c="Delhi West"/>
              <i n="[Table1_14  2].[Region].&amp;[Guwahati]" c="Guwahati"/>
              <i n="[Table1_14  2].[Region].&amp;[Noida]" c="Noida"/>
              <i n="[Table1_14  2].[Region].&amp;[Panchkula]" c="Panchkula"/>
              <i n="[Table1_14  2].[Region].&amp;[Patna]" c="Patna"/>
              <i n="[Table1_14  2].[Region].&amp;[Prayagraj]" c="Prayagraj"/>
              <i n="[Table1_14  2].[Region].&amp;[Pune]" c="Pune"/>
              <i n="[Table1_14  2].[Region].&amp;[Trivandrum]" c="Trivandrum"/>
            </range>
          </ranges>
        </level>
      </levels>
      <selections count="1">
        <selection n="[Table1_14  2].[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Type" xr10:uid="{C116EBC9-F7DC-4B79-A6A2-2E43167CAA7B}" sourceName="[Table1_14  2].[School Type]">
  <pivotTables>
    <pivotTable tabId="22" name="PivotTable4"/>
    <pivotTable tabId="24" name="PivotTable6"/>
    <pivotTable tabId="23" name="PivotTable5"/>
    <pivotTable tabId="22" name="PivotTable1"/>
    <pivotTable tabId="25" name="PivotTable1"/>
  </pivotTables>
  <data>
    <olap pivotCacheId="923999742">
      <levels count="2">
        <level uniqueName="[Table1_14  2].[School Type].[(All)]" sourceCaption="(All)" count="0"/>
        <level uniqueName="[Table1_14  2].[School Type].[School Type]" sourceCaption="School Type" count="6">
          <ranges>
            <range startItem="0">
              <i n="[Table1_14  2].[School Type].&amp;[CTSA]" c="CTSA"/>
              <i n="[Table1_14  2].[School Type].&amp;[GOVT]" c="GOVT"/>
              <i n="[Table1_14  2].[School Type].&amp;[GOVT AIDED]" c="GOVT AIDED"/>
              <i n="[Table1_14  2].[School Type].&amp;[INDEPENDENT]" c="INDEPENDENT"/>
              <i n="[Table1_14  2].[School Type].&amp;[JNV]" c="JNV"/>
              <i n="[Table1_14  2].[School Type].&amp;[KV]" c="KV"/>
            </range>
          </ranges>
        </level>
      </levels>
      <selections count="1">
        <selection n="[Table1_14  2].[School 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grity_CheckResult" xr10:uid="{3B36E6B3-EAC2-4A04-8DFD-D64ACD1FF163}" sourceName="[Table1_14  2].[Integrity_CheckResult]">
  <pivotTables>
    <pivotTable tabId="22" name="PivotTable4"/>
    <pivotTable tabId="24" name="PivotTable6"/>
    <pivotTable tabId="23" name="PivotTable5"/>
    <pivotTable tabId="22" name="PivotTable1"/>
    <pivotTable tabId="25" name="PivotTable1"/>
  </pivotTables>
  <data>
    <olap pivotCacheId="923999742">
      <levels count="2">
        <level uniqueName="[Table1_14  2].[Integrity_CheckResult].[(All)]" sourceCaption="(All)" count="0"/>
        <level uniqueName="[Table1_14  2].[Integrity_CheckResult].[Integrity_CheckResult]" sourceCaption="Integrity_CheckResult" count="2">
          <ranges>
            <range startItem="0">
              <i n="[Table1_14  2].[Integrity_CheckResult].&amp;[FLAG]" c="FLAG"/>
              <i n="[Table1_14  2].[Integrity_CheckResult].&amp;[OK]" c="OK"/>
            </range>
          </ranges>
        </level>
      </levels>
      <selections count="1">
        <selection n="[Table1_14  2].[Integrity_CheckResul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7C673044-8091-4B91-9E1B-E5BACEE3DB1E}" sourceName="[Table1_14  2].[Region]">
  <pivotTables>
    <pivotTable tabId="11" name="PivotTable2"/>
  </pivotTables>
  <data>
    <olap pivotCacheId="1342173623">
      <levels count="2">
        <level uniqueName="[Table1_14  2].[Region].[(All)]" sourceCaption="(All)" count="0"/>
        <level uniqueName="[Table1_14  2].[Region].[Region]" sourceCaption="Region" count="16">
          <ranges>
            <range startItem="0">
              <i n="[Table1_14  2].[Region].&amp;[Ajmer]" c="Ajmer"/>
              <i n="[Table1_14  2].[Region].&amp;[Bengaluru]" c="Bengaluru"/>
              <i n="[Table1_14  2].[Region].&amp;[Bhopal]" c="Bhopal"/>
              <i n="[Table1_14  2].[Region].&amp;[Bhubaneswar]" c="Bhubaneswar"/>
              <i n="[Table1_14  2].[Region].&amp;[Chandigarh]" c="Chandigarh"/>
              <i n="[Table1_14  2].[Region].&amp;[Chennai]" c="Chennai"/>
              <i n="[Table1_14  2].[Region].&amp;[Dehradun]" c="Dehradun"/>
              <i n="[Table1_14  2].[Region].&amp;[Delhi East]" c="Delhi East"/>
              <i n="[Table1_14  2].[Region].&amp;[Delhi West]" c="Delhi West"/>
              <i n="[Table1_14  2].[Region].&amp;[Guwahati]" c="Guwahati"/>
              <i n="[Table1_14  2].[Region].&amp;[Noida]" c="Noida"/>
              <i n="[Table1_14  2].[Region].&amp;[Panchkula]" c="Panchkula"/>
              <i n="[Table1_14  2].[Region].&amp;[Patna]" c="Patna"/>
              <i n="[Table1_14  2].[Region].&amp;[Prayagraj]" c="Prayagraj"/>
              <i n="[Table1_14  2].[Region].&amp;[Pune]" c="Pune"/>
              <i n="[Table1_14  2].[Region].&amp;[Trivandrum]" c="Trivandrum"/>
            </range>
          </ranges>
        </level>
      </levels>
      <selections count="1">
        <selection n="[Table1_14  2].[Regi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Type3" xr10:uid="{DD364D89-0DBE-4D31-9A28-7E6D702CF8FD}" sourceName="[Table1_14  2].[School Type]">
  <pivotTables>
    <pivotTable tabId="11" name="PivotTable2"/>
  </pivotTables>
  <data>
    <olap pivotCacheId="1342173623">
      <levels count="2">
        <level uniqueName="[Table1_14  2].[School Type].[(All)]" sourceCaption="(All)" count="0"/>
        <level uniqueName="[Table1_14  2].[School Type].[School Type]" sourceCaption="School Type" count="6">
          <ranges>
            <range startItem="0">
              <i n="[Table1_14  2].[School Type].&amp;[CTSA]" c="CTSA"/>
              <i n="[Table1_14  2].[School Type].&amp;[GOVT]" c="GOVT"/>
              <i n="[Table1_14  2].[School Type].&amp;[GOVT AIDED]" c="GOVT AIDED"/>
              <i n="[Table1_14  2].[School Type].&amp;[INDEPENDENT]" c="INDEPENDENT"/>
              <i n="[Table1_14  2].[School Type].&amp;[JNV]" c="JNV"/>
              <i n="[Table1_14  2].[School Type].&amp;[KV]" c="KV"/>
            </range>
          </ranges>
        </level>
      </levels>
      <selections count="1">
        <selection n="[Table1_14  2].[School Typ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4" xr10:uid="{3FE5D767-1321-48C7-A636-B02AD52AF582}" sourceName="[Table1_14  2].[Region]">
  <pivotTables>
    <pivotTable tabId="12" name="PivotTable3"/>
  </pivotTables>
  <data>
    <olap pivotCacheId="1127218518">
      <levels count="2">
        <level uniqueName="[Table1_14  2].[Region].[(All)]" sourceCaption="(All)" count="0"/>
        <level uniqueName="[Table1_14  2].[Region].[Region]" sourceCaption="Region" count="16">
          <ranges>
            <range startItem="0">
              <i n="[Table1_14  2].[Region].&amp;[Ajmer]" c="Ajmer"/>
              <i n="[Table1_14  2].[Region].&amp;[Bengaluru]" c="Bengaluru"/>
              <i n="[Table1_14  2].[Region].&amp;[Bhopal]" c="Bhopal"/>
              <i n="[Table1_14  2].[Region].&amp;[Bhubaneswar]" c="Bhubaneswar"/>
              <i n="[Table1_14  2].[Region].&amp;[Chandigarh]" c="Chandigarh"/>
              <i n="[Table1_14  2].[Region].&amp;[Chennai]" c="Chennai"/>
              <i n="[Table1_14  2].[Region].&amp;[Dehradun]" c="Dehradun"/>
              <i n="[Table1_14  2].[Region].&amp;[Delhi East]" c="Delhi East"/>
              <i n="[Table1_14  2].[Region].&amp;[Delhi West]" c="Delhi West"/>
              <i n="[Table1_14  2].[Region].&amp;[Guwahati]" c="Guwahati"/>
              <i n="[Table1_14  2].[Region].&amp;[Noida]" c="Noida"/>
              <i n="[Table1_14  2].[Region].&amp;[Panchkula]" c="Panchkula"/>
              <i n="[Table1_14  2].[Region].&amp;[Patna]" c="Patna"/>
              <i n="[Table1_14  2].[Region].&amp;[Prayagraj]" c="Prayagraj"/>
              <i n="[Table1_14  2].[Region].&amp;[Pune]" c="Pune"/>
              <i n="[Table1_14  2].[Region].&amp;[Trivandrum]" c="Trivandrum"/>
            </range>
          </ranges>
        </level>
      </levels>
      <selections count="1">
        <selection n="[Table1_14  2].[Region].[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Type4" xr10:uid="{30B12248-74E3-4BCC-B7F4-58D449BE3B1A}" sourceName="[Table1_14  2].[School Type]">
  <pivotTables>
    <pivotTable tabId="12" name="PivotTable3"/>
  </pivotTables>
  <data>
    <olap pivotCacheId="1127218518">
      <levels count="2">
        <level uniqueName="[Table1_14  2].[School Type].[(All)]" sourceCaption="(All)" count="0"/>
        <level uniqueName="[Table1_14  2].[School Type].[School Type]" sourceCaption="School Type" count="6">
          <ranges>
            <range startItem="0">
              <i n="[Table1_14  2].[School Type].&amp;[CTSA]" c="CTSA"/>
              <i n="[Table1_14  2].[School Type].&amp;[GOVT]" c="GOVT"/>
              <i n="[Table1_14  2].[School Type].&amp;[GOVT AIDED]" c="GOVT AIDED"/>
              <i n="[Table1_14  2].[School Type].&amp;[INDEPENDENT]" c="INDEPENDENT"/>
              <i n="[Table1_14  2].[School Type].&amp;[JNV]" c="JNV"/>
              <i n="[Table1_14  2].[School Type].&amp;[KV]" c="KV"/>
            </range>
          </ranges>
        </level>
      </levels>
      <selections count="1">
        <selection n="[Table1_14  2].[School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FD53280B-C64E-42A8-BE24-1AD2BFC3EB6A}" cache="Slicer_Region" caption="Region" showCaption="0" level="1" rowHeight="247650"/>
  <slicer name="School Type 3" xr10:uid="{8CE43782-2611-4092-99E6-F16BEADFC716}" cache="Slicer_School_Type" caption="School Type" showCaption="0" level="1" rowHeight="247650"/>
  <slicer name="Integrity_CheckResult 1" xr10:uid="{C1931E3F-F5B1-480D-80AC-B8C1888A9B1A}" cache="Slicer_Integrity_CheckResult" caption="Integrity_CheckResult"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88FB60B4-2DA7-4232-B65B-3F89DA5AE7DC}" cache="Slicer_Region" caption="Region" columnCount="2" level="1" rowHeight="247650"/>
  <slicer name="School Type 6" xr10:uid="{A07219E9-676B-469C-96C6-4A6F52F481D5}" cache="Slicer_School_Type" caption="School Type"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133161A2-6243-46A2-BFB0-5236AE800FE6}" cache="Slicer_Region" caption="Region" columnCount="2" level="1" rowHeight="247650"/>
  <slicer name="School Type 4" xr10:uid="{02B5172E-7BDC-4C9B-B50C-1FDE5FE82DAB}" cache="Slicer_School_Type" caption="School Type"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57C4CD3E-D81D-4A19-BCD9-4CED0DB73053}" cache="Slicer_Region3" caption="Region" columnCount="2" level="1" rowHeight="247650"/>
  <slicer name="School Type" xr10:uid="{427FEC13-E6F2-4C98-9DFE-64435DE04B29}" cache="Slicer_School_Type3" caption="School Type" level="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FD7D0024-33B3-4761-A542-5EE27954BAAA}" cache="Slicer_Region4" caption="Region" columnCount="2" level="1" rowHeight="247650"/>
  <slicer name="School Type 5" xr10:uid="{7B8C468E-0A85-4447-BCC1-58A3A3A9D9CF}" cache="Slicer_School_Type4" caption="School Type" level="1"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1A9DD92-E343-4F63-80BB-CD1EF193321E}" cache="Slicer_Region1" caption="Region" showCaption="0" rowHeight="247650"/>
  <slicer name="School Type 2" xr10:uid="{6AD4F7C8-684E-47B4-8D98-AB5EC4289A68}" cache="Slicer_School_Type2" caption="School Type" showCaption="0"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0EFA24E-966A-4066-B105-32967D994BB4}" cache="Slicer_Region" caption="Region" showCaption="0" level="1" rowHeight="247650"/>
  <slicer name="School Type 1" xr10:uid="{5E2B4468-B92B-4763-A496-201C1CB050F2}" cache="Slicer_School_Type" caption="School Type" showCaption="0" level="1" rowHeight="247650"/>
  <slicer name="Integrity_CheckResult" xr10:uid="{8CCDE229-E8CB-4B35-ACCA-57AC13E41D53}" cache="Slicer_Integrity_CheckResult" caption="Integrity_CheckResult" level="1"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299A95-5D9D-4072-B258-A447BA070627}" name="Table1" displayName="Table1" ref="A1:J33" totalsRowShown="0">
  <autoFilter ref="A1:J33" xr:uid="{7F299A95-5D9D-4072-B258-A447BA070627}"/>
  <tableColumns count="10">
    <tableColumn id="1" xr3:uid="{EB212126-DB94-4AC2-93EE-76D225692D4C}" name="Class"/>
    <tableColumn id="2" xr3:uid="{06635E39-066B-4E32-9666-167EB770887F}" name="Year"/>
    <tableColumn id="3" xr3:uid="{C1D1267C-3F22-42EB-81B7-1C33CE3EB0D0}" name="Type "/>
    <tableColumn id="4" xr3:uid="{55CD64CA-5F23-47F2-8BAA-3849C810560F}" name="Status"/>
    <tableColumn id="5" xr3:uid="{A68BAD8B-E46D-4BBD-B585-6C89B344F4AD}" name="CTSA"/>
    <tableColumn id="6" xr3:uid="{F4005CBB-7F82-4DFC-B304-248D778125E9}" name="GOVT"/>
    <tableColumn id="7" xr3:uid="{3744A720-832B-4112-B13C-8BB978AEDCA0}" name="GOVT AIDED"/>
    <tableColumn id="8" xr3:uid="{C0B7DC51-C9A2-43C7-949B-DD575C096B4B}" name="INDEPENDENT"/>
    <tableColumn id="9" xr3:uid="{ED1F0D25-C9DC-4A98-A767-C60AC3224117}" name="JNV"/>
    <tableColumn id="10" xr3:uid="{98B36F9A-8CD5-4B97-9FCB-454D0596CED3}" name="KV"/>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2841B3-F18C-4C6C-AD3B-6484E5950E39}" name="fact_table" displayName="fact_table" ref="A1:I97" tableType="queryTable" totalsRowShown="0">
  <autoFilter ref="A1:I97" xr:uid="{B42841B3-F18C-4C6C-AD3B-6484E5950E39}"/>
  <tableColumns count="9">
    <tableColumn id="1" xr3:uid="{58ADA46E-6321-4DC5-8739-27D5D8497055}" uniqueName="1" name="Class" queryTableFieldId="1"/>
    <tableColumn id="2" xr3:uid="{A933EB17-1DB5-493E-8D2A-B20B2EDF723E}" uniqueName="2" name="Year" queryTableFieldId="2"/>
    <tableColumn id="3" xr3:uid="{580B9B53-B58D-4F2B-8673-928BF9CDB004}" uniqueName="3" name="Region" queryTableFieldId="3" dataDxfId="390"/>
    <tableColumn id="4" xr3:uid="{BD9410F3-AB2A-44EA-B1C3-2FE79993BB2F}" uniqueName="4" name="School Type" queryTableFieldId="4" dataDxfId="389"/>
    <tableColumn id="5" xr3:uid="{E43CDD1B-744A-4DB3-A2B4-030287DBB39D}" uniqueName="5" name="Registered" queryTableFieldId="5"/>
    <tableColumn id="6" xr3:uid="{E00F48A5-E7F0-45B7-9980-5CBAAD0F143C}" uniqueName="6" name="Appeared" queryTableFieldId="6"/>
    <tableColumn id="7" xr3:uid="{B66EBCEF-0178-4959-8FBB-CBA3B5C07E4E}" uniqueName="7" name="Appearance Rate" queryTableFieldId="7"/>
    <tableColumn id="8" xr3:uid="{64CACDC0-5272-4872-A928-B07EA5ABE48F}" uniqueName="8" name="No-show Rate" queryTableFieldId="8"/>
    <tableColumn id="9" xr3:uid="{6229F3BE-84E9-4B38-92F2-D4EB5C48F904}" uniqueName="9" name="Absence Flag"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07F130-0C81-42EC-8BF1-476E80F90E54}" name="Table1_14" displayName="Table1_14" ref="A1:P98" totalsRowCount="1">
  <autoFilter ref="A1:P97" xr:uid="{4407F130-0C81-42EC-8BF1-476E80F90E54}"/>
  <sortState xmlns:xlrd2="http://schemas.microsoft.com/office/spreadsheetml/2017/richdata2" ref="A2:I97">
    <sortCondition ref="C1:C97"/>
  </sortState>
  <tableColumns count="16">
    <tableColumn id="1" xr3:uid="{37F2B79E-41F3-489E-9B95-66FB541A8F3E}" name="Class"/>
    <tableColumn id="2" xr3:uid="{1D0DEFC2-A240-4F38-9826-11003D3B5442}" name="Year"/>
    <tableColumn id="3" xr3:uid="{E53CDA88-DE90-4CF1-A2A9-22A826B2800A}" name="Region" dataDxfId="388"/>
    <tableColumn id="4" xr3:uid="{BDB3ED0B-2D61-43F4-9A35-7DED82483E12}" name="School Type" dataDxfId="387"/>
    <tableColumn id="5" xr3:uid="{02119A8A-A6A5-4167-97FA-B35277346C17}" name="Registered"/>
    <tableColumn id="6" xr3:uid="{29C9DCFC-DF60-4276-97E4-3113FA8BDCD0}" name="Appeared"/>
    <tableColumn id="7" xr3:uid="{5A4F6F6F-85E4-4B04-A1A0-DCA8E4574519}" name="Appearance Rate"/>
    <tableColumn id="8" xr3:uid="{101DEF23-6252-4034-892C-310C638A82FD}" name="No-show Rate"/>
    <tableColumn id="9" xr3:uid="{05AC3B30-26C8-45F5-861C-8F4164A80E6B}" name="Absence Flag"/>
    <tableColumn id="11" xr3:uid="{DFB67E2C-766E-4D4F-AB9D-60F0879D46F2}" name="Base Status" dataDxfId="386">
      <calculatedColumnFormula>IF(Table1_14[[#This Row],[Registered]] = 0, "ABSENT", "NON_ZERO")</calculatedColumnFormula>
    </tableColumn>
    <tableColumn id="10" xr3:uid="{71F7BF51-686D-4117-9DCA-BC655E435A09}" name="Base Flag" dataDxfId="385">
      <calculatedColumnFormula>IF(Table1_14[[#This Row],[Registered]] = 0, "ABSENT_BASE", IF(Table1_14[[#This Row],[Registered]]&lt;100, "SMALL_BASE", "VALID_BASE"))</calculatedColumnFormula>
    </tableColumn>
    <tableColumn id="12" xr3:uid="{7303740F-3F9C-4115-93C5-822AF5AE8EFA}" name="Anomaly Flag" dataDxfId="384">
      <calculatedColumnFormula>IF(Table1_14[[#This Row],[Registered]]=0, "ABSENT", IF(Table1_14[[#This Row],[Appearance Rate]]&lt;0.98, "LOW_RATE", IF(AND(Table1_14[[#This Row],[Appearance Rate]]=1, Table1_14[[#This Row],[Registered]]&lt;100), "SUSPICIOUS_PERFECTION", "NORMAL")))</calculatedColumnFormula>
    </tableColumn>
    <tableColumn id="13" xr3:uid="{95D2E74B-82D7-49D1-A1F1-571A75513AB5}" name="Coverage Share" totalsRowFunction="custom" dataDxfId="383" totalsRowDxfId="382">
      <calculatedColumnFormula>Table1_14[[#This Row],[Registered]]/SUM(Table1_14[Registered])</calculatedColumnFormula>
      <totalsRowFormula xml:space="preserve"> SUM(Table1_14[Coverage Share])</totalsRowFormula>
    </tableColumn>
    <tableColumn id="14" xr3:uid="{53737E91-E15A-46D2-B074-BE70C4C3142F}" name="Integrity_RateCheck" dataDxfId="381">
      <calculatedColumnFormula xml:space="preserve"> IF(OR(Table1_14[[#This Row],[Appearance Rate]]&lt;0, Table1_14[[#This Row],[Appearance Rate]]&gt;1), "FLAG", "OK")</calculatedColumnFormula>
    </tableColumn>
    <tableColumn id="15" xr3:uid="{40083FC0-602F-4BA0-B034-DDCBEE351DD5}" name="Integrity_RegisteredCheck" dataDxfId="380">
      <calculatedColumnFormula xml:space="preserve"> IF(Table1_14[[#This Row],[Appeared]]&gt;Table1_14[[#This Row],[Registered]], "FLAG", "OK")</calculatedColumnFormula>
    </tableColumn>
    <tableColumn id="16" xr3:uid="{A3BE3E84-6C99-4272-948B-D4702A73FEC6}" name="Integrity_MissingCheck" dataDxfId="379">
      <calculatedColumnFormula xml:space="preserve"> IF(OR(ISBLANK(Table1_14[[#This Row],[Registered]]), ISBLANK(Table1_14[[#This Row],[Appeared]]), Table1_14[[#This Row],[Registered]]=0, Table1_14[[#This Row],[Appeared]]=0), "FLAG", "OK")</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8.xml"/><Relationship Id="rId4" Type="http://schemas.microsoft.com/office/2007/relationships/slicer" Target="../slicers/slicer4.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5.xml"/><Relationship Id="rId4"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F24D5-E5D4-43D1-8FFC-E6FEBFE27921}">
  <dimension ref="A1:J33"/>
  <sheetViews>
    <sheetView workbookViewId="0">
      <selection activeCell="L5" sqref="L5"/>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v>12</v>
      </c>
      <c r="B2">
        <v>2022</v>
      </c>
      <c r="C2" t="s">
        <v>10</v>
      </c>
      <c r="D2" t="s">
        <v>11</v>
      </c>
      <c r="E2">
        <v>0</v>
      </c>
      <c r="F2">
        <v>4533</v>
      </c>
      <c r="G2">
        <v>0</v>
      </c>
      <c r="H2">
        <v>86178</v>
      </c>
      <c r="I2">
        <v>3741</v>
      </c>
      <c r="J2">
        <v>7736</v>
      </c>
    </row>
    <row r="3" spans="1:10" x14ac:dyDescent="0.3">
      <c r="A3">
        <v>12</v>
      </c>
      <c r="B3">
        <v>2022</v>
      </c>
      <c r="C3" t="s">
        <v>10</v>
      </c>
      <c r="D3" t="s">
        <v>12</v>
      </c>
      <c r="E3">
        <v>0</v>
      </c>
      <c r="F3">
        <v>4524</v>
      </c>
      <c r="G3">
        <v>0</v>
      </c>
      <c r="H3">
        <v>85839</v>
      </c>
      <c r="I3">
        <v>3730</v>
      </c>
      <c r="J3">
        <v>7725</v>
      </c>
    </row>
    <row r="4" spans="1:10" x14ac:dyDescent="0.3">
      <c r="A4">
        <v>12</v>
      </c>
      <c r="B4">
        <v>2022</v>
      </c>
      <c r="C4" t="s">
        <v>13</v>
      </c>
      <c r="D4" t="s">
        <v>11</v>
      </c>
      <c r="E4">
        <v>103</v>
      </c>
      <c r="F4">
        <v>7746</v>
      </c>
      <c r="G4">
        <v>0</v>
      </c>
      <c r="H4">
        <v>69835</v>
      </c>
      <c r="I4">
        <v>3823</v>
      </c>
      <c r="J4">
        <v>11465</v>
      </c>
    </row>
    <row r="5" spans="1:10" x14ac:dyDescent="0.3">
      <c r="A5">
        <v>12</v>
      </c>
      <c r="B5">
        <v>2022</v>
      </c>
      <c r="C5" t="s">
        <v>13</v>
      </c>
      <c r="D5" t="s">
        <v>12</v>
      </c>
      <c r="E5">
        <v>101</v>
      </c>
      <c r="F5">
        <v>7688</v>
      </c>
      <c r="G5">
        <v>0</v>
      </c>
      <c r="H5">
        <v>69506</v>
      </c>
      <c r="I5">
        <v>3809</v>
      </c>
      <c r="J5">
        <v>11431</v>
      </c>
    </row>
    <row r="6" spans="1:10" x14ac:dyDescent="0.3">
      <c r="A6">
        <v>12</v>
      </c>
      <c r="B6">
        <v>2022</v>
      </c>
      <c r="C6" t="s">
        <v>14</v>
      </c>
      <c r="D6" t="s">
        <v>11</v>
      </c>
      <c r="E6">
        <v>0</v>
      </c>
      <c r="F6">
        <v>13060</v>
      </c>
      <c r="G6">
        <v>55</v>
      </c>
      <c r="H6">
        <v>89637</v>
      </c>
      <c r="I6">
        <v>2549</v>
      </c>
      <c r="J6">
        <v>5861</v>
      </c>
    </row>
    <row r="7" spans="1:10" x14ac:dyDescent="0.3">
      <c r="A7">
        <v>12</v>
      </c>
      <c r="B7">
        <v>2022</v>
      </c>
      <c r="C7" t="s">
        <v>14</v>
      </c>
      <c r="D7" t="s">
        <v>12</v>
      </c>
      <c r="E7">
        <v>0</v>
      </c>
      <c r="F7">
        <v>13025</v>
      </c>
      <c r="G7">
        <v>55</v>
      </c>
      <c r="H7">
        <v>89317</v>
      </c>
      <c r="I7">
        <v>2537</v>
      </c>
      <c r="J7">
        <v>5844</v>
      </c>
    </row>
    <row r="8" spans="1:10" x14ac:dyDescent="0.3">
      <c r="A8">
        <v>12</v>
      </c>
      <c r="B8">
        <v>2022</v>
      </c>
      <c r="C8" t="s">
        <v>15</v>
      </c>
      <c r="D8" t="s">
        <v>11</v>
      </c>
      <c r="E8">
        <v>0</v>
      </c>
      <c r="F8">
        <v>100216</v>
      </c>
      <c r="G8">
        <v>6420</v>
      </c>
      <c r="H8">
        <v>64953</v>
      </c>
      <c r="I8">
        <v>81</v>
      </c>
      <c r="J8">
        <v>6669</v>
      </c>
    </row>
    <row r="9" spans="1:10" x14ac:dyDescent="0.3">
      <c r="A9">
        <v>12</v>
      </c>
      <c r="B9">
        <v>2022</v>
      </c>
      <c r="C9" t="s">
        <v>15</v>
      </c>
      <c r="D9" t="s">
        <v>12</v>
      </c>
      <c r="E9">
        <v>0</v>
      </c>
      <c r="F9">
        <v>99566</v>
      </c>
      <c r="G9">
        <v>6393</v>
      </c>
      <c r="H9">
        <v>64774</v>
      </c>
      <c r="I9">
        <v>81</v>
      </c>
      <c r="J9">
        <v>6661</v>
      </c>
    </row>
    <row r="10" spans="1:10" x14ac:dyDescent="0.3">
      <c r="A10">
        <v>12</v>
      </c>
      <c r="B10">
        <v>2022</v>
      </c>
      <c r="C10" t="s">
        <v>16</v>
      </c>
      <c r="D10" t="s">
        <v>11</v>
      </c>
      <c r="E10">
        <v>0</v>
      </c>
      <c r="F10">
        <v>1535</v>
      </c>
      <c r="G10">
        <v>0</v>
      </c>
      <c r="H10">
        <v>22801</v>
      </c>
      <c r="I10">
        <v>1673</v>
      </c>
      <c r="J10">
        <v>4859</v>
      </c>
    </row>
    <row r="11" spans="1:10" x14ac:dyDescent="0.3">
      <c r="A11">
        <v>12</v>
      </c>
      <c r="B11">
        <v>2022</v>
      </c>
      <c r="C11" t="s">
        <v>16</v>
      </c>
      <c r="D11" t="s">
        <v>12</v>
      </c>
      <c r="E11">
        <v>0</v>
      </c>
      <c r="F11">
        <v>1534</v>
      </c>
      <c r="G11">
        <v>0</v>
      </c>
      <c r="H11">
        <v>22742</v>
      </c>
      <c r="I11">
        <v>1662</v>
      </c>
      <c r="J11">
        <v>4849</v>
      </c>
    </row>
    <row r="12" spans="1:10" x14ac:dyDescent="0.3">
      <c r="A12">
        <v>12</v>
      </c>
      <c r="B12">
        <v>2022</v>
      </c>
      <c r="C12" t="s">
        <v>17</v>
      </c>
      <c r="D12" t="s">
        <v>11</v>
      </c>
      <c r="E12">
        <v>0</v>
      </c>
      <c r="F12">
        <v>20672</v>
      </c>
      <c r="G12">
        <v>102</v>
      </c>
      <c r="H12">
        <v>20768</v>
      </c>
      <c r="I12">
        <v>4536</v>
      </c>
      <c r="J12">
        <v>6071</v>
      </c>
    </row>
    <row r="13" spans="1:10" x14ac:dyDescent="0.3">
      <c r="A13">
        <v>12</v>
      </c>
      <c r="B13">
        <v>2022</v>
      </c>
      <c r="C13" t="s">
        <v>17</v>
      </c>
      <c r="D13" t="s">
        <v>12</v>
      </c>
      <c r="E13">
        <v>0</v>
      </c>
      <c r="F13">
        <v>20518</v>
      </c>
      <c r="G13">
        <v>101</v>
      </c>
      <c r="H13">
        <v>20601</v>
      </c>
      <c r="I13">
        <v>4481</v>
      </c>
      <c r="J13">
        <v>6047</v>
      </c>
    </row>
    <row r="14" spans="1:10" x14ac:dyDescent="0.3">
      <c r="A14">
        <v>12</v>
      </c>
      <c r="B14">
        <v>2022</v>
      </c>
      <c r="C14" t="s">
        <v>18</v>
      </c>
      <c r="D14" t="s">
        <v>11</v>
      </c>
      <c r="E14">
        <v>38</v>
      </c>
      <c r="F14">
        <v>357</v>
      </c>
      <c r="G14">
        <v>0</v>
      </c>
      <c r="H14">
        <v>118675</v>
      </c>
      <c r="I14">
        <v>2231</v>
      </c>
      <c r="J14">
        <v>3615</v>
      </c>
    </row>
    <row r="15" spans="1:10" x14ac:dyDescent="0.3">
      <c r="A15">
        <v>12</v>
      </c>
      <c r="B15">
        <v>2022</v>
      </c>
      <c r="C15" t="s">
        <v>18</v>
      </c>
      <c r="D15" t="s">
        <v>12</v>
      </c>
      <c r="E15">
        <v>38</v>
      </c>
      <c r="F15">
        <v>357</v>
      </c>
      <c r="G15">
        <v>0</v>
      </c>
      <c r="H15">
        <v>118046</v>
      </c>
      <c r="I15">
        <v>2225</v>
      </c>
      <c r="J15">
        <v>3607</v>
      </c>
    </row>
    <row r="16" spans="1:10" x14ac:dyDescent="0.3">
      <c r="A16">
        <v>12</v>
      </c>
      <c r="B16">
        <v>2022</v>
      </c>
      <c r="C16" t="s">
        <v>19</v>
      </c>
      <c r="D16" t="s">
        <v>11</v>
      </c>
      <c r="E16">
        <v>93</v>
      </c>
      <c r="F16">
        <v>70</v>
      </c>
      <c r="G16">
        <v>0</v>
      </c>
      <c r="H16">
        <v>12262</v>
      </c>
      <c r="I16">
        <v>1901</v>
      </c>
      <c r="J16">
        <v>2363</v>
      </c>
    </row>
    <row r="17" spans="1:10" x14ac:dyDescent="0.3">
      <c r="A17">
        <v>12</v>
      </c>
      <c r="B17">
        <v>2022</v>
      </c>
      <c r="C17" t="s">
        <v>19</v>
      </c>
      <c r="D17" t="s">
        <v>12</v>
      </c>
      <c r="E17">
        <v>92</v>
      </c>
      <c r="F17">
        <v>70</v>
      </c>
      <c r="G17">
        <v>0</v>
      </c>
      <c r="H17">
        <v>12214</v>
      </c>
      <c r="I17">
        <v>1894</v>
      </c>
      <c r="J17">
        <v>2361</v>
      </c>
    </row>
    <row r="18" spans="1:10" x14ac:dyDescent="0.3">
      <c r="A18">
        <v>12</v>
      </c>
      <c r="B18">
        <v>2022</v>
      </c>
      <c r="C18" t="s">
        <v>20</v>
      </c>
      <c r="D18" t="s">
        <v>11</v>
      </c>
      <c r="E18">
        <v>0</v>
      </c>
      <c r="F18">
        <v>3180</v>
      </c>
      <c r="G18">
        <v>0</v>
      </c>
      <c r="H18">
        <v>60352</v>
      </c>
      <c r="I18">
        <v>3640</v>
      </c>
      <c r="J18">
        <v>7807</v>
      </c>
    </row>
    <row r="19" spans="1:10" x14ac:dyDescent="0.3">
      <c r="A19">
        <v>12</v>
      </c>
      <c r="B19">
        <v>2022</v>
      </c>
      <c r="C19" t="s">
        <v>20</v>
      </c>
      <c r="D19" t="s">
        <v>12</v>
      </c>
      <c r="E19">
        <v>0</v>
      </c>
      <c r="F19">
        <v>3138</v>
      </c>
      <c r="G19">
        <v>0</v>
      </c>
      <c r="H19">
        <v>60136</v>
      </c>
      <c r="I19">
        <v>3629</v>
      </c>
      <c r="J19">
        <v>7794</v>
      </c>
    </row>
    <row r="20" spans="1:10" x14ac:dyDescent="0.3">
      <c r="A20">
        <v>12</v>
      </c>
      <c r="B20">
        <v>2022</v>
      </c>
      <c r="C20" t="s">
        <v>21</v>
      </c>
      <c r="D20" t="s">
        <v>11</v>
      </c>
      <c r="E20">
        <v>0</v>
      </c>
      <c r="F20">
        <v>3565</v>
      </c>
      <c r="G20">
        <v>0</v>
      </c>
      <c r="H20">
        <v>67799</v>
      </c>
      <c r="I20">
        <v>1646</v>
      </c>
      <c r="J20">
        <v>6713</v>
      </c>
    </row>
    <row r="21" spans="1:10" x14ac:dyDescent="0.3">
      <c r="A21">
        <v>12</v>
      </c>
      <c r="B21">
        <v>2022</v>
      </c>
      <c r="C21" t="s">
        <v>21</v>
      </c>
      <c r="D21" t="s">
        <v>12</v>
      </c>
      <c r="E21">
        <v>0</v>
      </c>
      <c r="F21">
        <v>3552</v>
      </c>
      <c r="G21">
        <v>0</v>
      </c>
      <c r="H21">
        <v>67700</v>
      </c>
      <c r="I21">
        <v>1642</v>
      </c>
      <c r="J21">
        <v>6701</v>
      </c>
    </row>
    <row r="22" spans="1:10" x14ac:dyDescent="0.3">
      <c r="A22">
        <v>12</v>
      </c>
      <c r="B22">
        <v>2022</v>
      </c>
      <c r="C22" t="s">
        <v>22</v>
      </c>
      <c r="D22" t="s">
        <v>11</v>
      </c>
      <c r="E22">
        <v>0</v>
      </c>
      <c r="F22">
        <v>278</v>
      </c>
      <c r="G22">
        <v>921</v>
      </c>
      <c r="H22">
        <v>100688</v>
      </c>
      <c r="I22">
        <v>1069</v>
      </c>
      <c r="J22">
        <v>4480</v>
      </c>
    </row>
    <row r="23" spans="1:10" x14ac:dyDescent="0.3">
      <c r="A23">
        <v>12</v>
      </c>
      <c r="B23">
        <v>2022</v>
      </c>
      <c r="C23" t="s">
        <v>22</v>
      </c>
      <c r="D23" t="s">
        <v>12</v>
      </c>
      <c r="E23">
        <v>0</v>
      </c>
      <c r="F23">
        <v>272</v>
      </c>
      <c r="G23">
        <v>920</v>
      </c>
      <c r="H23">
        <v>99746</v>
      </c>
      <c r="I23">
        <v>1060</v>
      </c>
      <c r="J23">
        <v>4471</v>
      </c>
    </row>
    <row r="24" spans="1:10" x14ac:dyDescent="0.3">
      <c r="A24">
        <v>12</v>
      </c>
      <c r="B24">
        <v>2022</v>
      </c>
      <c r="C24" t="s">
        <v>23</v>
      </c>
      <c r="D24" t="s">
        <v>11</v>
      </c>
      <c r="E24">
        <v>0</v>
      </c>
      <c r="F24">
        <v>84</v>
      </c>
      <c r="G24">
        <v>0</v>
      </c>
      <c r="H24">
        <v>84716</v>
      </c>
      <c r="I24">
        <v>3714</v>
      </c>
      <c r="J24">
        <v>5409</v>
      </c>
    </row>
    <row r="25" spans="1:10" x14ac:dyDescent="0.3">
      <c r="A25">
        <v>12</v>
      </c>
      <c r="B25">
        <v>2022</v>
      </c>
      <c r="C25" t="s">
        <v>23</v>
      </c>
      <c r="D25" t="s">
        <v>12</v>
      </c>
      <c r="E25">
        <v>0</v>
      </c>
      <c r="F25">
        <v>83</v>
      </c>
      <c r="G25">
        <v>0</v>
      </c>
      <c r="H25">
        <v>83962</v>
      </c>
      <c r="I25">
        <v>3669</v>
      </c>
      <c r="J25">
        <v>5398</v>
      </c>
    </row>
    <row r="26" spans="1:10" x14ac:dyDescent="0.3">
      <c r="A26">
        <v>12</v>
      </c>
      <c r="B26">
        <v>2022</v>
      </c>
      <c r="C26" t="s">
        <v>24</v>
      </c>
      <c r="D26" t="s">
        <v>11</v>
      </c>
      <c r="E26">
        <v>0</v>
      </c>
      <c r="F26">
        <v>1336</v>
      </c>
      <c r="G26">
        <v>0</v>
      </c>
      <c r="H26">
        <v>131729</v>
      </c>
      <c r="I26">
        <v>3184</v>
      </c>
      <c r="J26">
        <v>8680</v>
      </c>
    </row>
    <row r="27" spans="1:10" x14ac:dyDescent="0.3">
      <c r="A27">
        <v>12</v>
      </c>
      <c r="B27">
        <v>2022</v>
      </c>
      <c r="C27" t="s">
        <v>24</v>
      </c>
      <c r="D27" t="s">
        <v>12</v>
      </c>
      <c r="E27">
        <v>0</v>
      </c>
      <c r="F27">
        <v>1272</v>
      </c>
      <c r="G27">
        <v>0</v>
      </c>
      <c r="H27">
        <v>130263</v>
      </c>
      <c r="I27">
        <v>3152</v>
      </c>
      <c r="J27">
        <v>8666</v>
      </c>
    </row>
    <row r="28" spans="1:10" x14ac:dyDescent="0.3">
      <c r="A28">
        <v>12</v>
      </c>
      <c r="B28">
        <v>2022</v>
      </c>
      <c r="C28" t="s">
        <v>25</v>
      </c>
      <c r="D28" t="s">
        <v>11</v>
      </c>
      <c r="E28">
        <v>0</v>
      </c>
      <c r="F28">
        <v>82</v>
      </c>
      <c r="G28">
        <v>0</v>
      </c>
      <c r="H28">
        <v>33500</v>
      </c>
      <c r="I28">
        <v>973</v>
      </c>
      <c r="J28">
        <v>3666</v>
      </c>
    </row>
    <row r="29" spans="1:10" x14ac:dyDescent="0.3">
      <c r="A29">
        <v>12</v>
      </c>
      <c r="B29">
        <v>2022</v>
      </c>
      <c r="C29" t="s">
        <v>25</v>
      </c>
      <c r="D29" t="s">
        <v>12</v>
      </c>
      <c r="E29">
        <v>0</v>
      </c>
      <c r="F29">
        <v>82</v>
      </c>
      <c r="G29">
        <v>0</v>
      </c>
      <c r="H29">
        <v>33462</v>
      </c>
      <c r="I29">
        <v>972</v>
      </c>
      <c r="J29">
        <v>3661</v>
      </c>
    </row>
    <row r="30" spans="1:10" x14ac:dyDescent="0.3">
      <c r="A30">
        <v>12</v>
      </c>
      <c r="B30">
        <v>2022</v>
      </c>
      <c r="C30" t="s">
        <v>26</v>
      </c>
      <c r="D30" t="s">
        <v>11</v>
      </c>
      <c r="E30">
        <v>164</v>
      </c>
      <c r="F30">
        <v>1555</v>
      </c>
      <c r="G30">
        <v>22</v>
      </c>
      <c r="H30">
        <v>62473</v>
      </c>
      <c r="I30">
        <v>1120</v>
      </c>
      <c r="J30">
        <v>4312</v>
      </c>
    </row>
    <row r="31" spans="1:10" x14ac:dyDescent="0.3">
      <c r="A31">
        <v>12</v>
      </c>
      <c r="B31">
        <v>2022</v>
      </c>
      <c r="C31" t="s">
        <v>26</v>
      </c>
      <c r="D31" t="s">
        <v>12</v>
      </c>
      <c r="E31">
        <v>162</v>
      </c>
      <c r="F31">
        <v>1552</v>
      </c>
      <c r="G31">
        <v>22</v>
      </c>
      <c r="H31">
        <v>62094</v>
      </c>
      <c r="I31">
        <v>1117</v>
      </c>
      <c r="J31">
        <v>4307</v>
      </c>
    </row>
    <row r="32" spans="1:10" x14ac:dyDescent="0.3">
      <c r="A32">
        <v>12</v>
      </c>
      <c r="B32">
        <v>2022</v>
      </c>
      <c r="C32" t="s">
        <v>27</v>
      </c>
      <c r="D32" t="s">
        <v>11</v>
      </c>
      <c r="E32">
        <v>0</v>
      </c>
      <c r="F32">
        <v>69504</v>
      </c>
      <c r="G32">
        <v>7775</v>
      </c>
      <c r="H32">
        <v>40461</v>
      </c>
      <c r="I32">
        <v>65</v>
      </c>
      <c r="J32">
        <v>2872</v>
      </c>
    </row>
    <row r="33" spans="1:10" x14ac:dyDescent="0.3">
      <c r="A33">
        <v>12</v>
      </c>
      <c r="B33">
        <v>2022</v>
      </c>
      <c r="C33" t="s">
        <v>27</v>
      </c>
      <c r="D33" t="s">
        <v>12</v>
      </c>
      <c r="E33">
        <v>0</v>
      </c>
      <c r="F33">
        <v>69109</v>
      </c>
      <c r="G33">
        <v>7743</v>
      </c>
      <c r="H33">
        <v>40291</v>
      </c>
      <c r="I33">
        <v>65</v>
      </c>
      <c r="J33">
        <v>2872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0AB8F-0B83-488F-B1C5-E8EF4F74CE1B}">
  <dimension ref="A1:J33"/>
  <sheetViews>
    <sheetView workbookViewId="0">
      <selection activeCell="F15" sqref="F15"/>
    </sheetView>
  </sheetViews>
  <sheetFormatPr defaultRowHeight="14.4" x14ac:dyDescent="0.3"/>
  <cols>
    <col min="7" max="7" width="13" customWidth="1"/>
    <col min="8" max="8" width="14.88671875" customWidth="1"/>
  </cols>
  <sheetData>
    <row r="1" spans="1:10" x14ac:dyDescent="0.3">
      <c r="A1" t="s">
        <v>0</v>
      </c>
      <c r="B1" t="s">
        <v>1</v>
      </c>
      <c r="C1" t="s">
        <v>2</v>
      </c>
      <c r="D1" t="s">
        <v>3</v>
      </c>
      <c r="E1" t="s">
        <v>4</v>
      </c>
      <c r="F1" t="s">
        <v>5</v>
      </c>
      <c r="G1" t="s">
        <v>6</v>
      </c>
      <c r="H1" t="s">
        <v>7</v>
      </c>
      <c r="I1" t="s">
        <v>8</v>
      </c>
      <c r="J1" t="s">
        <v>9</v>
      </c>
    </row>
    <row r="2" spans="1:10" x14ac:dyDescent="0.3">
      <c r="A2">
        <v>12</v>
      </c>
      <c r="B2">
        <v>2022</v>
      </c>
      <c r="C2" t="s">
        <v>10</v>
      </c>
      <c r="D2" t="s">
        <v>11</v>
      </c>
      <c r="E2">
        <v>0</v>
      </c>
      <c r="F2">
        <v>4533</v>
      </c>
      <c r="G2">
        <v>0</v>
      </c>
      <c r="H2">
        <v>86178</v>
      </c>
      <c r="I2">
        <v>3741</v>
      </c>
      <c r="J2">
        <v>7736</v>
      </c>
    </row>
    <row r="3" spans="1:10" x14ac:dyDescent="0.3">
      <c r="A3">
        <v>12</v>
      </c>
      <c r="B3">
        <v>2022</v>
      </c>
      <c r="C3" t="s">
        <v>10</v>
      </c>
      <c r="D3" t="s">
        <v>12</v>
      </c>
      <c r="E3">
        <v>0</v>
      </c>
      <c r="F3">
        <v>4524</v>
      </c>
      <c r="G3">
        <v>0</v>
      </c>
      <c r="H3">
        <v>85839</v>
      </c>
      <c r="I3">
        <v>3730</v>
      </c>
      <c r="J3">
        <v>7725</v>
      </c>
    </row>
    <row r="4" spans="1:10" x14ac:dyDescent="0.3">
      <c r="A4">
        <v>12</v>
      </c>
      <c r="B4">
        <v>2022</v>
      </c>
      <c r="C4" t="s">
        <v>13</v>
      </c>
      <c r="D4" t="s">
        <v>11</v>
      </c>
      <c r="E4">
        <v>103</v>
      </c>
      <c r="F4">
        <v>7746</v>
      </c>
      <c r="G4">
        <v>0</v>
      </c>
      <c r="H4">
        <v>69835</v>
      </c>
      <c r="I4">
        <v>3823</v>
      </c>
      <c r="J4">
        <v>11465</v>
      </c>
    </row>
    <row r="5" spans="1:10" x14ac:dyDescent="0.3">
      <c r="A5">
        <v>12</v>
      </c>
      <c r="B5">
        <v>2022</v>
      </c>
      <c r="C5" t="s">
        <v>13</v>
      </c>
      <c r="D5" t="s">
        <v>12</v>
      </c>
      <c r="E5">
        <v>101</v>
      </c>
      <c r="F5">
        <v>7688</v>
      </c>
      <c r="G5">
        <v>0</v>
      </c>
      <c r="H5">
        <v>69506</v>
      </c>
      <c r="I5">
        <v>3809</v>
      </c>
      <c r="J5">
        <v>11431</v>
      </c>
    </row>
    <row r="6" spans="1:10" x14ac:dyDescent="0.3">
      <c r="A6">
        <v>12</v>
      </c>
      <c r="B6">
        <v>2022</v>
      </c>
      <c r="C6" t="s">
        <v>14</v>
      </c>
      <c r="D6" t="s">
        <v>11</v>
      </c>
      <c r="E6">
        <v>0</v>
      </c>
      <c r="F6">
        <v>13060</v>
      </c>
      <c r="G6">
        <v>55</v>
      </c>
      <c r="H6">
        <v>89637</v>
      </c>
      <c r="I6">
        <v>2549</v>
      </c>
      <c r="J6">
        <v>5861</v>
      </c>
    </row>
    <row r="7" spans="1:10" x14ac:dyDescent="0.3">
      <c r="A7">
        <v>12</v>
      </c>
      <c r="B7">
        <v>2022</v>
      </c>
      <c r="C7" t="s">
        <v>14</v>
      </c>
      <c r="D7" t="s">
        <v>12</v>
      </c>
      <c r="E7">
        <v>0</v>
      </c>
      <c r="F7">
        <v>13025</v>
      </c>
      <c r="G7">
        <v>55</v>
      </c>
      <c r="H7">
        <v>89317</v>
      </c>
      <c r="I7">
        <v>2537</v>
      </c>
      <c r="J7">
        <v>5844</v>
      </c>
    </row>
    <row r="8" spans="1:10" x14ac:dyDescent="0.3">
      <c r="A8">
        <v>12</v>
      </c>
      <c r="B8">
        <v>2022</v>
      </c>
      <c r="C8" t="s">
        <v>15</v>
      </c>
      <c r="D8" t="s">
        <v>11</v>
      </c>
      <c r="E8">
        <v>0</v>
      </c>
      <c r="F8">
        <v>100216</v>
      </c>
      <c r="G8">
        <v>6420</v>
      </c>
      <c r="H8">
        <v>64953</v>
      </c>
      <c r="I8">
        <v>81</v>
      </c>
      <c r="J8">
        <v>6669</v>
      </c>
    </row>
    <row r="9" spans="1:10" x14ac:dyDescent="0.3">
      <c r="A9">
        <v>12</v>
      </c>
      <c r="B9">
        <v>2022</v>
      </c>
      <c r="C9" t="s">
        <v>15</v>
      </c>
      <c r="D9" t="s">
        <v>12</v>
      </c>
      <c r="E9">
        <v>0</v>
      </c>
      <c r="F9">
        <v>99566</v>
      </c>
      <c r="G9">
        <v>6393</v>
      </c>
      <c r="H9">
        <v>64774</v>
      </c>
      <c r="I9">
        <v>81</v>
      </c>
      <c r="J9">
        <v>6661</v>
      </c>
    </row>
    <row r="10" spans="1:10" x14ac:dyDescent="0.3">
      <c r="A10">
        <v>12</v>
      </c>
      <c r="B10">
        <v>2022</v>
      </c>
      <c r="C10" t="s">
        <v>16</v>
      </c>
      <c r="D10" t="s">
        <v>11</v>
      </c>
      <c r="E10">
        <v>0</v>
      </c>
      <c r="F10">
        <v>1535</v>
      </c>
      <c r="G10">
        <v>0</v>
      </c>
      <c r="H10">
        <v>22801</v>
      </c>
      <c r="I10">
        <v>1673</v>
      </c>
      <c r="J10">
        <v>4859</v>
      </c>
    </row>
    <row r="11" spans="1:10" x14ac:dyDescent="0.3">
      <c r="A11">
        <v>12</v>
      </c>
      <c r="B11">
        <v>2022</v>
      </c>
      <c r="C11" t="s">
        <v>16</v>
      </c>
      <c r="D11" t="s">
        <v>12</v>
      </c>
      <c r="E11">
        <v>0</v>
      </c>
      <c r="F11">
        <v>1534</v>
      </c>
      <c r="G11">
        <v>0</v>
      </c>
      <c r="H11">
        <v>22742</v>
      </c>
      <c r="I11">
        <v>1662</v>
      </c>
      <c r="J11">
        <v>4849</v>
      </c>
    </row>
    <row r="12" spans="1:10" x14ac:dyDescent="0.3">
      <c r="A12">
        <v>12</v>
      </c>
      <c r="B12">
        <v>2022</v>
      </c>
      <c r="C12" t="s">
        <v>17</v>
      </c>
      <c r="D12" t="s">
        <v>11</v>
      </c>
      <c r="E12">
        <v>0</v>
      </c>
      <c r="F12">
        <v>20672</v>
      </c>
      <c r="G12">
        <v>102</v>
      </c>
      <c r="H12">
        <v>20768</v>
      </c>
      <c r="I12">
        <v>4536</v>
      </c>
      <c r="J12">
        <v>6071</v>
      </c>
    </row>
    <row r="13" spans="1:10" x14ac:dyDescent="0.3">
      <c r="A13">
        <v>12</v>
      </c>
      <c r="B13">
        <v>2022</v>
      </c>
      <c r="C13" t="s">
        <v>17</v>
      </c>
      <c r="D13" t="s">
        <v>12</v>
      </c>
      <c r="E13">
        <v>0</v>
      </c>
      <c r="F13">
        <v>20518</v>
      </c>
      <c r="G13">
        <v>101</v>
      </c>
      <c r="H13">
        <v>20601</v>
      </c>
      <c r="I13">
        <v>4481</v>
      </c>
      <c r="J13">
        <v>6047</v>
      </c>
    </row>
    <row r="14" spans="1:10" x14ac:dyDescent="0.3">
      <c r="A14">
        <v>12</v>
      </c>
      <c r="B14">
        <v>2022</v>
      </c>
      <c r="C14" t="s">
        <v>18</v>
      </c>
      <c r="D14" t="s">
        <v>11</v>
      </c>
      <c r="E14">
        <v>38</v>
      </c>
      <c r="F14">
        <v>357</v>
      </c>
      <c r="G14">
        <v>0</v>
      </c>
      <c r="H14">
        <v>118675</v>
      </c>
      <c r="I14">
        <v>2231</v>
      </c>
      <c r="J14">
        <v>3615</v>
      </c>
    </row>
    <row r="15" spans="1:10" x14ac:dyDescent="0.3">
      <c r="A15">
        <v>12</v>
      </c>
      <c r="B15">
        <v>2022</v>
      </c>
      <c r="C15" t="s">
        <v>18</v>
      </c>
      <c r="D15" t="s">
        <v>12</v>
      </c>
      <c r="E15">
        <v>38</v>
      </c>
      <c r="F15">
        <v>357</v>
      </c>
      <c r="G15">
        <v>0</v>
      </c>
      <c r="H15">
        <v>118046</v>
      </c>
      <c r="I15">
        <v>2225</v>
      </c>
      <c r="J15">
        <v>3607</v>
      </c>
    </row>
    <row r="16" spans="1:10" x14ac:dyDescent="0.3">
      <c r="A16">
        <v>12</v>
      </c>
      <c r="B16">
        <v>2022</v>
      </c>
      <c r="C16" t="s">
        <v>19</v>
      </c>
      <c r="D16" t="s">
        <v>11</v>
      </c>
      <c r="E16">
        <v>93</v>
      </c>
      <c r="F16">
        <v>70</v>
      </c>
      <c r="G16">
        <v>0</v>
      </c>
      <c r="H16">
        <v>12262</v>
      </c>
      <c r="I16">
        <v>1901</v>
      </c>
      <c r="J16">
        <v>2363</v>
      </c>
    </row>
    <row r="17" spans="1:10" x14ac:dyDescent="0.3">
      <c r="A17">
        <v>12</v>
      </c>
      <c r="B17">
        <v>2022</v>
      </c>
      <c r="C17" t="s">
        <v>19</v>
      </c>
      <c r="D17" t="s">
        <v>12</v>
      </c>
      <c r="E17">
        <v>92</v>
      </c>
      <c r="F17">
        <v>70</v>
      </c>
      <c r="G17">
        <v>0</v>
      </c>
      <c r="H17">
        <v>12214</v>
      </c>
      <c r="I17">
        <v>1894</v>
      </c>
      <c r="J17">
        <v>2361</v>
      </c>
    </row>
    <row r="18" spans="1:10" x14ac:dyDescent="0.3">
      <c r="A18">
        <v>12</v>
      </c>
      <c r="B18">
        <v>2022</v>
      </c>
      <c r="C18" t="s">
        <v>20</v>
      </c>
      <c r="D18" t="s">
        <v>11</v>
      </c>
      <c r="E18">
        <v>0</v>
      </c>
      <c r="F18">
        <v>3180</v>
      </c>
      <c r="G18">
        <v>0</v>
      </c>
      <c r="H18">
        <v>60352</v>
      </c>
      <c r="I18">
        <v>3640</v>
      </c>
      <c r="J18">
        <v>7807</v>
      </c>
    </row>
    <row r="19" spans="1:10" x14ac:dyDescent="0.3">
      <c r="A19">
        <v>12</v>
      </c>
      <c r="B19">
        <v>2022</v>
      </c>
      <c r="C19" t="s">
        <v>20</v>
      </c>
      <c r="D19" t="s">
        <v>12</v>
      </c>
      <c r="E19">
        <v>0</v>
      </c>
      <c r="F19">
        <v>3138</v>
      </c>
      <c r="G19">
        <v>0</v>
      </c>
      <c r="H19">
        <v>60136</v>
      </c>
      <c r="I19">
        <v>3629</v>
      </c>
      <c r="J19">
        <v>7794</v>
      </c>
    </row>
    <row r="20" spans="1:10" x14ac:dyDescent="0.3">
      <c r="A20">
        <v>12</v>
      </c>
      <c r="B20">
        <v>2022</v>
      </c>
      <c r="C20" t="s">
        <v>21</v>
      </c>
      <c r="D20" t="s">
        <v>11</v>
      </c>
      <c r="E20">
        <v>0</v>
      </c>
      <c r="F20">
        <v>3565</v>
      </c>
      <c r="G20">
        <v>0</v>
      </c>
      <c r="H20">
        <v>67799</v>
      </c>
      <c r="I20">
        <v>1646</v>
      </c>
      <c r="J20">
        <v>6713</v>
      </c>
    </row>
    <row r="21" spans="1:10" x14ac:dyDescent="0.3">
      <c r="A21">
        <v>12</v>
      </c>
      <c r="B21">
        <v>2022</v>
      </c>
      <c r="C21" t="s">
        <v>21</v>
      </c>
      <c r="D21" t="s">
        <v>12</v>
      </c>
      <c r="E21">
        <v>0</v>
      </c>
      <c r="F21">
        <v>3552</v>
      </c>
      <c r="G21">
        <v>0</v>
      </c>
      <c r="H21">
        <v>67700</v>
      </c>
      <c r="I21">
        <v>1642</v>
      </c>
      <c r="J21">
        <v>6701</v>
      </c>
    </row>
    <row r="22" spans="1:10" x14ac:dyDescent="0.3">
      <c r="A22">
        <v>12</v>
      </c>
      <c r="B22">
        <v>2022</v>
      </c>
      <c r="C22" t="s">
        <v>22</v>
      </c>
      <c r="D22" t="s">
        <v>11</v>
      </c>
      <c r="E22">
        <v>0</v>
      </c>
      <c r="F22">
        <v>278</v>
      </c>
      <c r="G22">
        <v>921</v>
      </c>
      <c r="H22">
        <v>100688</v>
      </c>
      <c r="I22">
        <v>1069</v>
      </c>
      <c r="J22">
        <v>4480</v>
      </c>
    </row>
    <row r="23" spans="1:10" x14ac:dyDescent="0.3">
      <c r="A23">
        <v>12</v>
      </c>
      <c r="B23">
        <v>2022</v>
      </c>
      <c r="C23" t="s">
        <v>22</v>
      </c>
      <c r="D23" t="s">
        <v>12</v>
      </c>
      <c r="E23">
        <v>0</v>
      </c>
      <c r="F23">
        <v>272</v>
      </c>
      <c r="G23">
        <v>920</v>
      </c>
      <c r="H23">
        <v>99746</v>
      </c>
      <c r="I23">
        <v>1060</v>
      </c>
      <c r="J23">
        <v>4471</v>
      </c>
    </row>
    <row r="24" spans="1:10" x14ac:dyDescent="0.3">
      <c r="A24">
        <v>12</v>
      </c>
      <c r="B24">
        <v>2022</v>
      </c>
      <c r="C24" t="s">
        <v>23</v>
      </c>
      <c r="D24" t="s">
        <v>11</v>
      </c>
      <c r="E24">
        <v>0</v>
      </c>
      <c r="F24">
        <v>84</v>
      </c>
      <c r="G24">
        <v>0</v>
      </c>
      <c r="H24">
        <v>84716</v>
      </c>
      <c r="I24">
        <v>3714</v>
      </c>
      <c r="J24">
        <v>5409</v>
      </c>
    </row>
    <row r="25" spans="1:10" x14ac:dyDescent="0.3">
      <c r="A25">
        <v>12</v>
      </c>
      <c r="B25">
        <v>2022</v>
      </c>
      <c r="C25" t="s">
        <v>23</v>
      </c>
      <c r="D25" t="s">
        <v>12</v>
      </c>
      <c r="E25">
        <v>0</v>
      </c>
      <c r="F25">
        <v>83</v>
      </c>
      <c r="G25">
        <v>0</v>
      </c>
      <c r="H25">
        <v>83962</v>
      </c>
      <c r="I25">
        <v>3669</v>
      </c>
      <c r="J25">
        <v>5398</v>
      </c>
    </row>
    <row r="26" spans="1:10" x14ac:dyDescent="0.3">
      <c r="A26">
        <v>12</v>
      </c>
      <c r="B26">
        <v>2022</v>
      </c>
      <c r="C26" t="s">
        <v>24</v>
      </c>
      <c r="D26" t="s">
        <v>11</v>
      </c>
      <c r="E26">
        <v>0</v>
      </c>
      <c r="F26">
        <v>1336</v>
      </c>
      <c r="G26">
        <v>0</v>
      </c>
      <c r="H26">
        <v>131729</v>
      </c>
      <c r="I26">
        <v>3184</v>
      </c>
      <c r="J26">
        <v>8680</v>
      </c>
    </row>
    <row r="27" spans="1:10" x14ac:dyDescent="0.3">
      <c r="A27">
        <v>12</v>
      </c>
      <c r="B27">
        <v>2022</v>
      </c>
      <c r="C27" t="s">
        <v>24</v>
      </c>
      <c r="D27" t="s">
        <v>12</v>
      </c>
      <c r="E27">
        <v>0</v>
      </c>
      <c r="F27">
        <v>1272</v>
      </c>
      <c r="G27">
        <v>0</v>
      </c>
      <c r="H27">
        <v>130263</v>
      </c>
      <c r="I27">
        <v>3152</v>
      </c>
      <c r="J27">
        <v>8666</v>
      </c>
    </row>
    <row r="28" spans="1:10" x14ac:dyDescent="0.3">
      <c r="A28">
        <v>12</v>
      </c>
      <c r="B28">
        <v>2022</v>
      </c>
      <c r="C28" t="s">
        <v>25</v>
      </c>
      <c r="D28" t="s">
        <v>11</v>
      </c>
      <c r="E28">
        <v>0</v>
      </c>
      <c r="F28">
        <v>82</v>
      </c>
      <c r="G28">
        <v>0</v>
      </c>
      <c r="H28">
        <v>33500</v>
      </c>
      <c r="I28">
        <v>973</v>
      </c>
      <c r="J28">
        <v>3666</v>
      </c>
    </row>
    <row r="29" spans="1:10" x14ac:dyDescent="0.3">
      <c r="A29">
        <v>12</v>
      </c>
      <c r="B29">
        <v>2022</v>
      </c>
      <c r="C29" t="s">
        <v>25</v>
      </c>
      <c r="D29" t="s">
        <v>12</v>
      </c>
      <c r="E29">
        <v>0</v>
      </c>
      <c r="F29">
        <v>82</v>
      </c>
      <c r="G29">
        <v>0</v>
      </c>
      <c r="H29">
        <v>33462</v>
      </c>
      <c r="I29">
        <v>972</v>
      </c>
      <c r="J29">
        <v>3661</v>
      </c>
    </row>
    <row r="30" spans="1:10" x14ac:dyDescent="0.3">
      <c r="A30">
        <v>12</v>
      </c>
      <c r="B30">
        <v>2022</v>
      </c>
      <c r="C30" t="s">
        <v>26</v>
      </c>
      <c r="D30" t="s">
        <v>11</v>
      </c>
      <c r="E30">
        <v>164</v>
      </c>
      <c r="F30">
        <v>1555</v>
      </c>
      <c r="G30">
        <v>22</v>
      </c>
      <c r="H30">
        <v>62473</v>
      </c>
      <c r="I30">
        <v>1120</v>
      </c>
      <c r="J30">
        <v>4312</v>
      </c>
    </row>
    <row r="31" spans="1:10" x14ac:dyDescent="0.3">
      <c r="A31">
        <v>12</v>
      </c>
      <c r="B31">
        <v>2022</v>
      </c>
      <c r="C31" t="s">
        <v>26</v>
      </c>
      <c r="D31" t="s">
        <v>12</v>
      </c>
      <c r="E31">
        <v>162</v>
      </c>
      <c r="F31">
        <v>1552</v>
      </c>
      <c r="G31">
        <v>22</v>
      </c>
      <c r="H31">
        <v>62094</v>
      </c>
      <c r="I31">
        <v>1117</v>
      </c>
      <c r="J31">
        <v>4307</v>
      </c>
    </row>
    <row r="32" spans="1:10" x14ac:dyDescent="0.3">
      <c r="A32">
        <v>12</v>
      </c>
      <c r="B32">
        <v>2022</v>
      </c>
      <c r="C32" t="s">
        <v>27</v>
      </c>
      <c r="D32" t="s">
        <v>11</v>
      </c>
      <c r="E32">
        <v>0</v>
      </c>
      <c r="F32">
        <v>69504</v>
      </c>
      <c r="G32">
        <v>7775</v>
      </c>
      <c r="H32">
        <v>40461</v>
      </c>
      <c r="I32">
        <v>65</v>
      </c>
      <c r="J32">
        <v>2872</v>
      </c>
    </row>
    <row r="33" spans="1:10" x14ac:dyDescent="0.3">
      <c r="A33">
        <v>12</v>
      </c>
      <c r="B33">
        <v>2022</v>
      </c>
      <c r="C33" t="s">
        <v>27</v>
      </c>
      <c r="D33" t="s">
        <v>12</v>
      </c>
      <c r="E33">
        <v>0</v>
      </c>
      <c r="F33">
        <v>69109</v>
      </c>
      <c r="G33">
        <v>7743</v>
      </c>
      <c r="H33">
        <v>40291</v>
      </c>
      <c r="I33">
        <v>65</v>
      </c>
      <c r="J33">
        <v>2872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A1152-0363-4FE9-A89B-7732B9E404E6}">
  <dimension ref="A1:I97"/>
  <sheetViews>
    <sheetView topLeftCell="C1" workbookViewId="0">
      <selection activeCell="F88" sqref="F88"/>
    </sheetView>
  </sheetViews>
  <sheetFormatPr defaultRowHeight="14.4" x14ac:dyDescent="0.3"/>
  <cols>
    <col min="1" max="1" width="7.77734375" bestFit="1" customWidth="1"/>
    <col min="2" max="2" width="6.88671875" bestFit="1" customWidth="1"/>
    <col min="3" max="3" width="12" bestFit="1" customWidth="1"/>
    <col min="4" max="4" width="13.109375" bestFit="1" customWidth="1"/>
    <col min="5" max="5" width="12.109375" bestFit="1" customWidth="1"/>
    <col min="6" max="6" width="11.33203125" bestFit="1" customWidth="1"/>
    <col min="7" max="7" width="17.44140625" bestFit="1" customWidth="1"/>
    <col min="8" max="8" width="14.5546875" bestFit="1" customWidth="1"/>
    <col min="9" max="9" width="14.109375" bestFit="1" customWidth="1"/>
    <col min="10" max="10" width="11" bestFit="1" customWidth="1"/>
    <col min="11" max="11" width="13.21875" bestFit="1" customWidth="1"/>
    <col min="12" max="12" width="12.77734375" bestFit="1" customWidth="1"/>
  </cols>
  <sheetData>
    <row r="1" spans="1:9" x14ac:dyDescent="0.3">
      <c r="A1" t="s">
        <v>0</v>
      </c>
      <c r="B1" t="s">
        <v>1</v>
      </c>
      <c r="C1" t="s">
        <v>28</v>
      </c>
      <c r="D1" t="s">
        <v>29</v>
      </c>
      <c r="E1" t="s">
        <v>30</v>
      </c>
      <c r="F1" t="s">
        <v>31</v>
      </c>
      <c r="G1" t="s">
        <v>32</v>
      </c>
      <c r="H1" t="s">
        <v>33</v>
      </c>
      <c r="I1" t="s">
        <v>34</v>
      </c>
    </row>
    <row r="2" spans="1:9" x14ac:dyDescent="0.3">
      <c r="A2">
        <v>12</v>
      </c>
      <c r="B2">
        <v>2022</v>
      </c>
      <c r="C2" t="s">
        <v>10</v>
      </c>
      <c r="D2" t="s">
        <v>4</v>
      </c>
      <c r="E2">
        <v>0</v>
      </c>
      <c r="F2">
        <v>0</v>
      </c>
      <c r="I2" t="s">
        <v>35</v>
      </c>
    </row>
    <row r="3" spans="1:9" x14ac:dyDescent="0.3">
      <c r="A3">
        <v>12</v>
      </c>
      <c r="B3">
        <v>2022</v>
      </c>
      <c r="C3" t="s">
        <v>10</v>
      </c>
      <c r="D3" t="s">
        <v>5</v>
      </c>
      <c r="E3">
        <v>4533</v>
      </c>
      <c r="F3">
        <v>4524</v>
      </c>
      <c r="G3">
        <v>0.99801455989410981</v>
      </c>
      <c r="H3">
        <v>1.9854401058901905E-3</v>
      </c>
    </row>
    <row r="4" spans="1:9" x14ac:dyDescent="0.3">
      <c r="A4">
        <v>12</v>
      </c>
      <c r="B4">
        <v>2022</v>
      </c>
      <c r="C4" t="s">
        <v>10</v>
      </c>
      <c r="D4" t="s">
        <v>6</v>
      </c>
      <c r="E4">
        <v>0</v>
      </c>
      <c r="F4">
        <v>0</v>
      </c>
      <c r="I4" t="s">
        <v>35</v>
      </c>
    </row>
    <row r="5" spans="1:9" x14ac:dyDescent="0.3">
      <c r="A5">
        <v>12</v>
      </c>
      <c r="B5">
        <v>2022</v>
      </c>
      <c r="C5" t="s">
        <v>10</v>
      </c>
      <c r="D5" t="s">
        <v>7</v>
      </c>
      <c r="E5">
        <v>86178</v>
      </c>
      <c r="F5">
        <v>85839</v>
      </c>
      <c r="G5">
        <v>0.99606628141753117</v>
      </c>
      <c r="H5">
        <v>3.9337185824688259E-3</v>
      </c>
    </row>
    <row r="6" spans="1:9" x14ac:dyDescent="0.3">
      <c r="A6">
        <v>12</v>
      </c>
      <c r="B6">
        <v>2022</v>
      </c>
      <c r="C6" t="s">
        <v>10</v>
      </c>
      <c r="D6" t="s">
        <v>8</v>
      </c>
      <c r="E6">
        <v>3741</v>
      </c>
      <c r="F6">
        <v>3730</v>
      </c>
      <c r="G6">
        <v>0.99705960973001873</v>
      </c>
      <c r="H6">
        <v>2.9403902699812745E-3</v>
      </c>
    </row>
    <row r="7" spans="1:9" x14ac:dyDescent="0.3">
      <c r="A7">
        <v>12</v>
      </c>
      <c r="B7">
        <v>2022</v>
      </c>
      <c r="C7" t="s">
        <v>10</v>
      </c>
      <c r="D7" t="s">
        <v>9</v>
      </c>
      <c r="E7">
        <v>7736</v>
      </c>
      <c r="F7">
        <v>7725</v>
      </c>
      <c r="G7">
        <v>0.99857807652533614</v>
      </c>
      <c r="H7">
        <v>1.4219234746638554E-3</v>
      </c>
    </row>
    <row r="8" spans="1:9" x14ac:dyDescent="0.3">
      <c r="A8">
        <v>12</v>
      </c>
      <c r="B8">
        <v>2022</v>
      </c>
      <c r="C8" t="s">
        <v>19</v>
      </c>
      <c r="D8" t="s">
        <v>4</v>
      </c>
      <c r="E8">
        <v>93</v>
      </c>
      <c r="F8">
        <v>92</v>
      </c>
      <c r="G8">
        <v>0.989247311827957</v>
      </c>
      <c r="H8">
        <v>1.0752688172043001E-2</v>
      </c>
    </row>
    <row r="9" spans="1:9" x14ac:dyDescent="0.3">
      <c r="A9">
        <v>12</v>
      </c>
      <c r="B9">
        <v>2022</v>
      </c>
      <c r="C9" t="s">
        <v>19</v>
      </c>
      <c r="D9" t="s">
        <v>5</v>
      </c>
      <c r="E9">
        <v>70</v>
      </c>
      <c r="F9">
        <v>70</v>
      </c>
      <c r="G9">
        <v>1</v>
      </c>
      <c r="H9">
        <v>0</v>
      </c>
    </row>
    <row r="10" spans="1:9" x14ac:dyDescent="0.3">
      <c r="A10">
        <v>12</v>
      </c>
      <c r="B10">
        <v>2022</v>
      </c>
      <c r="C10" t="s">
        <v>19</v>
      </c>
      <c r="D10" t="s">
        <v>6</v>
      </c>
      <c r="E10">
        <v>0</v>
      </c>
      <c r="F10">
        <v>0</v>
      </c>
      <c r="I10" t="s">
        <v>35</v>
      </c>
    </row>
    <row r="11" spans="1:9" x14ac:dyDescent="0.3">
      <c r="A11">
        <v>12</v>
      </c>
      <c r="B11">
        <v>2022</v>
      </c>
      <c r="C11" t="s">
        <v>19</v>
      </c>
      <c r="D11" t="s">
        <v>7</v>
      </c>
      <c r="E11">
        <v>12262</v>
      </c>
      <c r="F11">
        <v>12214</v>
      </c>
      <c r="G11">
        <v>0.99608546729734138</v>
      </c>
      <c r="H11">
        <v>3.9145327026586241E-3</v>
      </c>
    </row>
    <row r="12" spans="1:9" x14ac:dyDescent="0.3">
      <c r="A12">
        <v>12</v>
      </c>
      <c r="B12">
        <v>2022</v>
      </c>
      <c r="C12" t="s">
        <v>19</v>
      </c>
      <c r="D12" t="s">
        <v>8</v>
      </c>
      <c r="E12">
        <v>1901</v>
      </c>
      <c r="F12">
        <v>1894</v>
      </c>
      <c r="G12">
        <v>0.99631772751183589</v>
      </c>
      <c r="H12">
        <v>3.6822724881641067E-3</v>
      </c>
    </row>
    <row r="13" spans="1:9" x14ac:dyDescent="0.3">
      <c r="A13">
        <v>12</v>
      </c>
      <c r="B13">
        <v>2022</v>
      </c>
      <c r="C13" t="s">
        <v>19</v>
      </c>
      <c r="D13" t="s">
        <v>9</v>
      </c>
      <c r="E13">
        <v>2363</v>
      </c>
      <c r="F13">
        <v>2361</v>
      </c>
      <c r="G13">
        <v>0.99915361828184512</v>
      </c>
      <c r="H13">
        <v>8.4638171815487606E-4</v>
      </c>
    </row>
    <row r="14" spans="1:9" x14ac:dyDescent="0.3">
      <c r="A14">
        <v>12</v>
      </c>
      <c r="B14">
        <v>2022</v>
      </c>
      <c r="C14" t="s">
        <v>20</v>
      </c>
      <c r="D14" t="s">
        <v>4</v>
      </c>
      <c r="E14">
        <v>0</v>
      </c>
      <c r="F14">
        <v>0</v>
      </c>
      <c r="I14" t="s">
        <v>35</v>
      </c>
    </row>
    <row r="15" spans="1:9" x14ac:dyDescent="0.3">
      <c r="A15">
        <v>12</v>
      </c>
      <c r="B15">
        <v>2022</v>
      </c>
      <c r="C15" t="s">
        <v>20</v>
      </c>
      <c r="D15" t="s">
        <v>5</v>
      </c>
      <c r="E15">
        <v>3180</v>
      </c>
      <c r="F15">
        <v>3138</v>
      </c>
      <c r="G15">
        <v>0.98679245283018868</v>
      </c>
      <c r="H15">
        <v>1.3207547169811318E-2</v>
      </c>
    </row>
    <row r="16" spans="1:9" x14ac:dyDescent="0.3">
      <c r="A16">
        <v>12</v>
      </c>
      <c r="B16">
        <v>2022</v>
      </c>
      <c r="C16" t="s">
        <v>20</v>
      </c>
      <c r="D16" t="s">
        <v>6</v>
      </c>
      <c r="E16">
        <v>0</v>
      </c>
      <c r="F16">
        <v>0</v>
      </c>
      <c r="I16" t="s">
        <v>35</v>
      </c>
    </row>
    <row r="17" spans="1:9" x14ac:dyDescent="0.3">
      <c r="A17">
        <v>12</v>
      </c>
      <c r="B17">
        <v>2022</v>
      </c>
      <c r="C17" t="s">
        <v>20</v>
      </c>
      <c r="D17" t="s">
        <v>7</v>
      </c>
      <c r="E17">
        <v>60352</v>
      </c>
      <c r="F17">
        <v>60136</v>
      </c>
      <c r="G17">
        <v>0.99642099681866381</v>
      </c>
      <c r="H17">
        <v>3.5790031813361933E-3</v>
      </c>
    </row>
    <row r="18" spans="1:9" x14ac:dyDescent="0.3">
      <c r="A18">
        <v>12</v>
      </c>
      <c r="B18">
        <v>2022</v>
      </c>
      <c r="C18" t="s">
        <v>20</v>
      </c>
      <c r="D18" t="s">
        <v>8</v>
      </c>
      <c r="E18">
        <v>3640</v>
      </c>
      <c r="F18">
        <v>3629</v>
      </c>
      <c r="G18">
        <v>0.99697802197802199</v>
      </c>
      <c r="H18">
        <v>3.0219780219780112E-3</v>
      </c>
    </row>
    <row r="19" spans="1:9" x14ac:dyDescent="0.3">
      <c r="A19">
        <v>12</v>
      </c>
      <c r="B19">
        <v>2022</v>
      </c>
      <c r="C19" t="s">
        <v>20</v>
      </c>
      <c r="D19" t="s">
        <v>9</v>
      </c>
      <c r="E19">
        <v>7807</v>
      </c>
      <c r="F19">
        <v>7794</v>
      </c>
      <c r="G19">
        <v>0.99833482771871396</v>
      </c>
      <c r="H19">
        <v>1.6651722812860426E-3</v>
      </c>
    </row>
    <row r="20" spans="1:9" x14ac:dyDescent="0.3">
      <c r="A20">
        <v>12</v>
      </c>
      <c r="B20">
        <v>2022</v>
      </c>
      <c r="C20" t="s">
        <v>13</v>
      </c>
      <c r="D20" t="s">
        <v>4</v>
      </c>
      <c r="E20">
        <v>103</v>
      </c>
      <c r="F20">
        <v>101</v>
      </c>
      <c r="G20">
        <v>0.98058252427184467</v>
      </c>
      <c r="H20">
        <v>1.9417475728155331E-2</v>
      </c>
    </row>
    <row r="21" spans="1:9" x14ac:dyDescent="0.3">
      <c r="A21">
        <v>12</v>
      </c>
      <c r="B21">
        <v>2022</v>
      </c>
      <c r="C21" t="s">
        <v>13</v>
      </c>
      <c r="D21" t="s">
        <v>5</v>
      </c>
      <c r="E21">
        <v>7746</v>
      </c>
      <c r="F21">
        <v>7688</v>
      </c>
      <c r="G21">
        <v>0.99251226439452622</v>
      </c>
      <c r="H21">
        <v>7.4877356054737776E-3</v>
      </c>
    </row>
    <row r="22" spans="1:9" x14ac:dyDescent="0.3">
      <c r="A22">
        <v>12</v>
      </c>
      <c r="B22">
        <v>2022</v>
      </c>
      <c r="C22" t="s">
        <v>13</v>
      </c>
      <c r="D22" t="s">
        <v>6</v>
      </c>
      <c r="E22">
        <v>0</v>
      </c>
      <c r="F22">
        <v>0</v>
      </c>
      <c r="I22" t="s">
        <v>35</v>
      </c>
    </row>
    <row r="23" spans="1:9" x14ac:dyDescent="0.3">
      <c r="A23">
        <v>12</v>
      </c>
      <c r="B23">
        <v>2022</v>
      </c>
      <c r="C23" t="s">
        <v>13</v>
      </c>
      <c r="D23" t="s">
        <v>7</v>
      </c>
      <c r="E23">
        <v>69835</v>
      </c>
      <c r="F23">
        <v>69506</v>
      </c>
      <c r="G23">
        <v>0.99528889525309661</v>
      </c>
      <c r="H23">
        <v>4.711104746903394E-3</v>
      </c>
    </row>
    <row r="24" spans="1:9" x14ac:dyDescent="0.3">
      <c r="A24">
        <v>12</v>
      </c>
      <c r="B24">
        <v>2022</v>
      </c>
      <c r="C24" t="s">
        <v>13</v>
      </c>
      <c r="D24" t="s">
        <v>8</v>
      </c>
      <c r="E24">
        <v>3823</v>
      </c>
      <c r="F24">
        <v>3809</v>
      </c>
      <c r="G24">
        <v>0.99633795448600571</v>
      </c>
      <c r="H24">
        <v>3.6620455139942942E-3</v>
      </c>
    </row>
    <row r="25" spans="1:9" x14ac:dyDescent="0.3">
      <c r="A25">
        <v>12</v>
      </c>
      <c r="B25">
        <v>2022</v>
      </c>
      <c r="C25" t="s">
        <v>13</v>
      </c>
      <c r="D25" t="s">
        <v>9</v>
      </c>
      <c r="E25">
        <v>11465</v>
      </c>
      <c r="F25">
        <v>11431</v>
      </c>
      <c r="G25">
        <v>0.99703445268207591</v>
      </c>
      <c r="H25">
        <v>2.9655473179240888E-3</v>
      </c>
    </row>
    <row r="26" spans="1:9" x14ac:dyDescent="0.3">
      <c r="A26">
        <v>12</v>
      </c>
      <c r="B26">
        <v>2022</v>
      </c>
      <c r="C26" t="s">
        <v>14</v>
      </c>
      <c r="D26" t="s">
        <v>4</v>
      </c>
      <c r="E26">
        <v>0</v>
      </c>
      <c r="F26">
        <v>0</v>
      </c>
      <c r="I26" t="s">
        <v>35</v>
      </c>
    </row>
    <row r="27" spans="1:9" x14ac:dyDescent="0.3">
      <c r="A27">
        <v>12</v>
      </c>
      <c r="B27">
        <v>2022</v>
      </c>
      <c r="C27" t="s">
        <v>14</v>
      </c>
      <c r="D27" t="s">
        <v>5</v>
      </c>
      <c r="E27">
        <v>13060</v>
      </c>
      <c r="F27">
        <v>13025</v>
      </c>
      <c r="G27">
        <v>0.99732006125574268</v>
      </c>
      <c r="H27">
        <v>2.6799387442573153E-3</v>
      </c>
    </row>
    <row r="28" spans="1:9" x14ac:dyDescent="0.3">
      <c r="A28">
        <v>12</v>
      </c>
      <c r="B28">
        <v>2022</v>
      </c>
      <c r="C28" t="s">
        <v>14</v>
      </c>
      <c r="D28" t="s">
        <v>6</v>
      </c>
      <c r="E28">
        <v>55</v>
      </c>
      <c r="F28">
        <v>55</v>
      </c>
      <c r="G28">
        <v>1</v>
      </c>
      <c r="H28">
        <v>0</v>
      </c>
    </row>
    <row r="29" spans="1:9" x14ac:dyDescent="0.3">
      <c r="A29">
        <v>12</v>
      </c>
      <c r="B29">
        <v>2022</v>
      </c>
      <c r="C29" t="s">
        <v>14</v>
      </c>
      <c r="D29" t="s">
        <v>7</v>
      </c>
      <c r="E29">
        <v>89637</v>
      </c>
      <c r="F29">
        <v>89317</v>
      </c>
      <c r="G29">
        <v>0.99643004562847937</v>
      </c>
      <c r="H29">
        <v>3.5699543715206339E-3</v>
      </c>
    </row>
    <row r="30" spans="1:9" x14ac:dyDescent="0.3">
      <c r="A30">
        <v>12</v>
      </c>
      <c r="B30">
        <v>2022</v>
      </c>
      <c r="C30" t="s">
        <v>14</v>
      </c>
      <c r="D30" t="s">
        <v>8</v>
      </c>
      <c r="E30">
        <v>2549</v>
      </c>
      <c r="F30">
        <v>2537</v>
      </c>
      <c r="G30">
        <v>0.99529227147901134</v>
      </c>
      <c r="H30">
        <v>4.7077285209886632E-3</v>
      </c>
    </row>
    <row r="31" spans="1:9" x14ac:dyDescent="0.3">
      <c r="A31">
        <v>12</v>
      </c>
      <c r="B31">
        <v>2022</v>
      </c>
      <c r="C31" t="s">
        <v>14</v>
      </c>
      <c r="D31" t="s">
        <v>9</v>
      </c>
      <c r="E31">
        <v>5861</v>
      </c>
      <c r="F31">
        <v>5844</v>
      </c>
      <c r="G31">
        <v>0.99709947108002051</v>
      </c>
      <c r="H31">
        <v>2.9005289199794948E-3</v>
      </c>
    </row>
    <row r="32" spans="1:9" x14ac:dyDescent="0.3">
      <c r="A32">
        <v>12</v>
      </c>
      <c r="B32">
        <v>2022</v>
      </c>
      <c r="C32" t="s">
        <v>21</v>
      </c>
      <c r="D32" t="s">
        <v>4</v>
      </c>
      <c r="E32">
        <v>0</v>
      </c>
      <c r="F32">
        <v>0</v>
      </c>
      <c r="I32" t="s">
        <v>35</v>
      </c>
    </row>
    <row r="33" spans="1:9" x14ac:dyDescent="0.3">
      <c r="A33">
        <v>12</v>
      </c>
      <c r="B33">
        <v>2022</v>
      </c>
      <c r="C33" t="s">
        <v>21</v>
      </c>
      <c r="D33" t="s">
        <v>5</v>
      </c>
      <c r="E33">
        <v>3565</v>
      </c>
      <c r="F33">
        <v>3552</v>
      </c>
      <c r="G33">
        <v>0.99635343618513328</v>
      </c>
      <c r="H33">
        <v>3.6465638148667212E-3</v>
      </c>
    </row>
    <row r="34" spans="1:9" x14ac:dyDescent="0.3">
      <c r="A34">
        <v>12</v>
      </c>
      <c r="B34">
        <v>2022</v>
      </c>
      <c r="C34" t="s">
        <v>21</v>
      </c>
      <c r="D34" t="s">
        <v>6</v>
      </c>
      <c r="E34">
        <v>0</v>
      </c>
      <c r="F34">
        <v>0</v>
      </c>
      <c r="I34" t="s">
        <v>35</v>
      </c>
    </row>
    <row r="35" spans="1:9" x14ac:dyDescent="0.3">
      <c r="A35">
        <v>12</v>
      </c>
      <c r="B35">
        <v>2022</v>
      </c>
      <c r="C35" t="s">
        <v>21</v>
      </c>
      <c r="D35" t="s">
        <v>7</v>
      </c>
      <c r="E35">
        <v>67799</v>
      </c>
      <c r="F35">
        <v>67700</v>
      </c>
      <c r="G35">
        <v>0.99853980147199817</v>
      </c>
      <c r="H35">
        <v>1.4601985280018326E-3</v>
      </c>
    </row>
    <row r="36" spans="1:9" x14ac:dyDescent="0.3">
      <c r="A36">
        <v>12</v>
      </c>
      <c r="B36">
        <v>2022</v>
      </c>
      <c r="C36" t="s">
        <v>21</v>
      </c>
      <c r="D36" t="s">
        <v>8</v>
      </c>
      <c r="E36">
        <v>1646</v>
      </c>
      <c r="F36">
        <v>1642</v>
      </c>
      <c r="G36">
        <v>0.99756986634264888</v>
      </c>
      <c r="H36">
        <v>2.430133657351119E-3</v>
      </c>
    </row>
    <row r="37" spans="1:9" x14ac:dyDescent="0.3">
      <c r="A37">
        <v>12</v>
      </c>
      <c r="B37">
        <v>2022</v>
      </c>
      <c r="C37" t="s">
        <v>21</v>
      </c>
      <c r="D37" t="s">
        <v>9</v>
      </c>
      <c r="E37">
        <v>6713</v>
      </c>
      <c r="F37">
        <v>6701</v>
      </c>
      <c r="G37">
        <v>0.99821242365559359</v>
      </c>
      <c r="H37">
        <v>1.7875763444064052E-3</v>
      </c>
    </row>
    <row r="38" spans="1:9" x14ac:dyDescent="0.3">
      <c r="A38">
        <v>12</v>
      </c>
      <c r="B38">
        <v>2022</v>
      </c>
      <c r="C38" t="s">
        <v>26</v>
      </c>
      <c r="D38" t="s">
        <v>4</v>
      </c>
      <c r="E38">
        <v>164</v>
      </c>
      <c r="F38">
        <v>162</v>
      </c>
      <c r="G38">
        <v>0.98780487804878048</v>
      </c>
      <c r="H38">
        <v>1.2195121951219523E-2</v>
      </c>
    </row>
    <row r="39" spans="1:9" x14ac:dyDescent="0.3">
      <c r="A39">
        <v>12</v>
      </c>
      <c r="B39">
        <v>2022</v>
      </c>
      <c r="C39" t="s">
        <v>26</v>
      </c>
      <c r="D39" t="s">
        <v>5</v>
      </c>
      <c r="E39">
        <v>1555</v>
      </c>
      <c r="F39">
        <v>1552</v>
      </c>
      <c r="G39">
        <v>0.99807073954983927</v>
      </c>
      <c r="H39">
        <v>1.9292604501607302E-3</v>
      </c>
    </row>
    <row r="40" spans="1:9" x14ac:dyDescent="0.3">
      <c r="A40">
        <v>12</v>
      </c>
      <c r="B40">
        <v>2022</v>
      </c>
      <c r="C40" t="s">
        <v>26</v>
      </c>
      <c r="D40" t="s">
        <v>6</v>
      </c>
      <c r="E40">
        <v>22</v>
      </c>
      <c r="F40">
        <v>22</v>
      </c>
      <c r="G40">
        <v>1</v>
      </c>
      <c r="H40">
        <v>0</v>
      </c>
    </row>
    <row r="41" spans="1:9" x14ac:dyDescent="0.3">
      <c r="A41">
        <v>12</v>
      </c>
      <c r="B41">
        <v>2022</v>
      </c>
      <c r="C41" t="s">
        <v>26</v>
      </c>
      <c r="D41" t="s">
        <v>7</v>
      </c>
      <c r="E41">
        <v>62473</v>
      </c>
      <c r="F41">
        <v>62094</v>
      </c>
      <c r="G41">
        <v>0.99393337921982294</v>
      </c>
      <c r="H41">
        <v>6.0666207801770566E-3</v>
      </c>
    </row>
    <row r="42" spans="1:9" x14ac:dyDescent="0.3">
      <c r="A42">
        <v>12</v>
      </c>
      <c r="B42">
        <v>2022</v>
      </c>
      <c r="C42" t="s">
        <v>26</v>
      </c>
      <c r="D42" t="s">
        <v>8</v>
      </c>
      <c r="E42">
        <v>1120</v>
      </c>
      <c r="F42">
        <v>1117</v>
      </c>
      <c r="G42">
        <v>0.99732142857142858</v>
      </c>
      <c r="H42">
        <v>2.6785714285714191E-3</v>
      </c>
    </row>
    <row r="43" spans="1:9" x14ac:dyDescent="0.3">
      <c r="A43">
        <v>12</v>
      </c>
      <c r="B43">
        <v>2022</v>
      </c>
      <c r="C43" t="s">
        <v>26</v>
      </c>
      <c r="D43" t="s">
        <v>9</v>
      </c>
      <c r="E43">
        <v>4312</v>
      </c>
      <c r="F43">
        <v>4307</v>
      </c>
      <c r="G43">
        <v>0.99884044526901672</v>
      </c>
      <c r="H43">
        <v>1.159554730983281E-3</v>
      </c>
    </row>
    <row r="44" spans="1:9" x14ac:dyDescent="0.3">
      <c r="A44">
        <v>12</v>
      </c>
      <c r="B44">
        <v>2022</v>
      </c>
      <c r="C44" t="s">
        <v>15</v>
      </c>
      <c r="D44" t="s">
        <v>4</v>
      </c>
      <c r="E44">
        <v>0</v>
      </c>
      <c r="F44">
        <v>0</v>
      </c>
      <c r="I44" t="s">
        <v>35</v>
      </c>
    </row>
    <row r="45" spans="1:9" x14ac:dyDescent="0.3">
      <c r="A45">
        <v>12</v>
      </c>
      <c r="B45">
        <v>2022</v>
      </c>
      <c r="C45" t="s">
        <v>15</v>
      </c>
      <c r="D45" t="s">
        <v>5</v>
      </c>
      <c r="E45">
        <v>100216</v>
      </c>
      <c r="F45">
        <v>99566</v>
      </c>
      <c r="G45">
        <v>0.99351400973896387</v>
      </c>
      <c r="H45">
        <v>6.4859902610361342E-3</v>
      </c>
    </row>
    <row r="46" spans="1:9" x14ac:dyDescent="0.3">
      <c r="A46">
        <v>12</v>
      </c>
      <c r="B46">
        <v>2022</v>
      </c>
      <c r="C46" t="s">
        <v>15</v>
      </c>
      <c r="D46" t="s">
        <v>6</v>
      </c>
      <c r="E46">
        <v>6420</v>
      </c>
      <c r="F46">
        <v>6393</v>
      </c>
      <c r="G46">
        <v>0.99579439252336444</v>
      </c>
      <c r="H46">
        <v>4.2056074766355644E-3</v>
      </c>
    </row>
    <row r="47" spans="1:9" x14ac:dyDescent="0.3">
      <c r="A47">
        <v>12</v>
      </c>
      <c r="B47">
        <v>2022</v>
      </c>
      <c r="C47" t="s">
        <v>15</v>
      </c>
      <c r="D47" t="s">
        <v>7</v>
      </c>
      <c r="E47">
        <v>64953</v>
      </c>
      <c r="F47">
        <v>64774</v>
      </c>
      <c r="G47">
        <v>0.99724416116268688</v>
      </c>
      <c r="H47">
        <v>2.7558388373131182E-3</v>
      </c>
    </row>
    <row r="48" spans="1:9" x14ac:dyDescent="0.3">
      <c r="A48">
        <v>12</v>
      </c>
      <c r="B48">
        <v>2022</v>
      </c>
      <c r="C48" t="s">
        <v>15</v>
      </c>
      <c r="D48" t="s">
        <v>8</v>
      </c>
      <c r="E48">
        <v>81</v>
      </c>
      <c r="F48">
        <v>81</v>
      </c>
      <c r="G48">
        <v>1</v>
      </c>
      <c r="H48">
        <v>0</v>
      </c>
    </row>
    <row r="49" spans="1:9" x14ac:dyDescent="0.3">
      <c r="A49">
        <v>12</v>
      </c>
      <c r="B49">
        <v>2022</v>
      </c>
      <c r="C49" t="s">
        <v>15</v>
      </c>
      <c r="D49" t="s">
        <v>9</v>
      </c>
      <c r="E49">
        <v>6669</v>
      </c>
      <c r="F49">
        <v>6661</v>
      </c>
      <c r="G49">
        <v>0.99880041985305146</v>
      </c>
      <c r="H49">
        <v>1.1995801469485423E-3</v>
      </c>
    </row>
    <row r="50" spans="1:9" x14ac:dyDescent="0.3">
      <c r="A50">
        <v>12</v>
      </c>
      <c r="B50">
        <v>2022</v>
      </c>
      <c r="C50" t="s">
        <v>27</v>
      </c>
      <c r="D50" t="s">
        <v>4</v>
      </c>
      <c r="E50">
        <v>0</v>
      </c>
      <c r="F50">
        <v>0</v>
      </c>
      <c r="I50" t="s">
        <v>35</v>
      </c>
    </row>
    <row r="51" spans="1:9" x14ac:dyDescent="0.3">
      <c r="A51">
        <v>12</v>
      </c>
      <c r="B51">
        <v>2022</v>
      </c>
      <c r="C51" t="s">
        <v>27</v>
      </c>
      <c r="D51" t="s">
        <v>5</v>
      </c>
      <c r="E51">
        <v>69504</v>
      </c>
      <c r="F51">
        <v>69109</v>
      </c>
      <c r="G51">
        <v>0.99431687384898715</v>
      </c>
      <c r="H51">
        <v>5.6831261510128517E-3</v>
      </c>
    </row>
    <row r="52" spans="1:9" x14ac:dyDescent="0.3">
      <c r="A52">
        <v>12</v>
      </c>
      <c r="B52">
        <v>2022</v>
      </c>
      <c r="C52" t="s">
        <v>27</v>
      </c>
      <c r="D52" t="s">
        <v>6</v>
      </c>
      <c r="E52">
        <v>7775</v>
      </c>
      <c r="F52">
        <v>7743</v>
      </c>
      <c r="G52">
        <v>0.99588424437299039</v>
      </c>
      <c r="H52">
        <v>4.1157556270096096E-3</v>
      </c>
    </row>
    <row r="53" spans="1:9" x14ac:dyDescent="0.3">
      <c r="A53">
        <v>12</v>
      </c>
      <c r="B53">
        <v>2022</v>
      </c>
      <c r="C53" t="s">
        <v>27</v>
      </c>
      <c r="D53" t="s">
        <v>7</v>
      </c>
      <c r="E53">
        <v>40461</v>
      </c>
      <c r="F53">
        <v>40291</v>
      </c>
      <c r="G53">
        <v>0.99579842317293199</v>
      </c>
      <c r="H53">
        <v>4.2015768270680098E-3</v>
      </c>
    </row>
    <row r="54" spans="1:9" x14ac:dyDescent="0.3">
      <c r="A54">
        <v>12</v>
      </c>
      <c r="B54">
        <v>2022</v>
      </c>
      <c r="C54" t="s">
        <v>27</v>
      </c>
      <c r="D54" t="s">
        <v>8</v>
      </c>
      <c r="E54">
        <v>65</v>
      </c>
      <c r="F54">
        <v>65</v>
      </c>
      <c r="G54">
        <v>1</v>
      </c>
      <c r="H54">
        <v>0</v>
      </c>
    </row>
    <row r="55" spans="1:9" x14ac:dyDescent="0.3">
      <c r="A55">
        <v>12</v>
      </c>
      <c r="B55">
        <v>2022</v>
      </c>
      <c r="C55" t="s">
        <v>27</v>
      </c>
      <c r="D55" t="s">
        <v>9</v>
      </c>
      <c r="E55">
        <v>2872</v>
      </c>
      <c r="F55">
        <v>2872</v>
      </c>
      <c r="G55">
        <v>1</v>
      </c>
      <c r="H55">
        <v>0</v>
      </c>
    </row>
    <row r="56" spans="1:9" x14ac:dyDescent="0.3">
      <c r="A56">
        <v>12</v>
      </c>
      <c r="B56">
        <v>2022</v>
      </c>
      <c r="C56" t="s">
        <v>17</v>
      </c>
      <c r="D56" t="s">
        <v>4</v>
      </c>
      <c r="E56">
        <v>0</v>
      </c>
      <c r="F56">
        <v>0</v>
      </c>
      <c r="I56" t="s">
        <v>35</v>
      </c>
    </row>
    <row r="57" spans="1:9" x14ac:dyDescent="0.3">
      <c r="A57">
        <v>12</v>
      </c>
      <c r="B57">
        <v>2022</v>
      </c>
      <c r="C57" t="s">
        <v>17</v>
      </c>
      <c r="D57" t="s">
        <v>5</v>
      </c>
      <c r="E57">
        <v>20672</v>
      </c>
      <c r="F57">
        <v>20518</v>
      </c>
      <c r="G57">
        <v>0.99255030959752322</v>
      </c>
      <c r="H57">
        <v>7.4496904024767829E-3</v>
      </c>
    </row>
    <row r="58" spans="1:9" x14ac:dyDescent="0.3">
      <c r="A58">
        <v>12</v>
      </c>
      <c r="B58">
        <v>2022</v>
      </c>
      <c r="C58" t="s">
        <v>17</v>
      </c>
      <c r="D58" t="s">
        <v>6</v>
      </c>
      <c r="E58">
        <v>102</v>
      </c>
      <c r="F58">
        <v>101</v>
      </c>
      <c r="G58">
        <v>0.99019607843137258</v>
      </c>
      <c r="H58">
        <v>9.8039215686274161E-3</v>
      </c>
    </row>
    <row r="59" spans="1:9" x14ac:dyDescent="0.3">
      <c r="A59">
        <v>12</v>
      </c>
      <c r="B59">
        <v>2022</v>
      </c>
      <c r="C59" t="s">
        <v>17</v>
      </c>
      <c r="D59" t="s">
        <v>7</v>
      </c>
      <c r="E59">
        <v>20768</v>
      </c>
      <c r="F59">
        <v>20601</v>
      </c>
      <c r="G59">
        <v>0.99195878274268101</v>
      </c>
      <c r="H59">
        <v>8.0412172573189888E-3</v>
      </c>
    </row>
    <row r="60" spans="1:9" x14ac:dyDescent="0.3">
      <c r="A60">
        <v>12</v>
      </c>
      <c r="B60">
        <v>2022</v>
      </c>
      <c r="C60" t="s">
        <v>17</v>
      </c>
      <c r="D60" t="s">
        <v>8</v>
      </c>
      <c r="E60">
        <v>4536</v>
      </c>
      <c r="F60">
        <v>4481</v>
      </c>
      <c r="G60">
        <v>0.9878747795414462</v>
      </c>
      <c r="H60">
        <v>1.2125220458553798E-2</v>
      </c>
    </row>
    <row r="61" spans="1:9" x14ac:dyDescent="0.3">
      <c r="A61">
        <v>12</v>
      </c>
      <c r="B61">
        <v>2022</v>
      </c>
      <c r="C61" t="s">
        <v>17</v>
      </c>
      <c r="D61" t="s">
        <v>9</v>
      </c>
      <c r="E61">
        <v>6071</v>
      </c>
      <c r="F61">
        <v>6047</v>
      </c>
      <c r="G61">
        <v>0.99604677977268985</v>
      </c>
      <c r="H61">
        <v>3.9532202273101502E-3</v>
      </c>
    </row>
    <row r="62" spans="1:9" x14ac:dyDescent="0.3">
      <c r="A62">
        <v>12</v>
      </c>
      <c r="B62">
        <v>2022</v>
      </c>
      <c r="C62" t="s">
        <v>22</v>
      </c>
      <c r="D62" t="s">
        <v>4</v>
      </c>
      <c r="E62">
        <v>0</v>
      </c>
      <c r="F62">
        <v>0</v>
      </c>
      <c r="I62" t="s">
        <v>35</v>
      </c>
    </row>
    <row r="63" spans="1:9" x14ac:dyDescent="0.3">
      <c r="A63">
        <v>12</v>
      </c>
      <c r="B63">
        <v>2022</v>
      </c>
      <c r="C63" t="s">
        <v>22</v>
      </c>
      <c r="D63" t="s">
        <v>5</v>
      </c>
      <c r="E63">
        <v>278</v>
      </c>
      <c r="F63">
        <v>272</v>
      </c>
      <c r="G63">
        <v>0.97841726618705038</v>
      </c>
      <c r="H63">
        <v>2.1582733812949617E-2</v>
      </c>
    </row>
    <row r="64" spans="1:9" x14ac:dyDescent="0.3">
      <c r="A64">
        <v>12</v>
      </c>
      <c r="B64">
        <v>2022</v>
      </c>
      <c r="C64" t="s">
        <v>22</v>
      </c>
      <c r="D64" t="s">
        <v>6</v>
      </c>
      <c r="E64">
        <v>921</v>
      </c>
      <c r="F64">
        <v>920</v>
      </c>
      <c r="G64">
        <v>0.998914223669924</v>
      </c>
      <c r="H64">
        <v>1.0857763300760048E-3</v>
      </c>
    </row>
    <row r="65" spans="1:9" x14ac:dyDescent="0.3">
      <c r="A65">
        <v>12</v>
      </c>
      <c r="B65">
        <v>2022</v>
      </c>
      <c r="C65" t="s">
        <v>22</v>
      </c>
      <c r="D65" t="s">
        <v>7</v>
      </c>
      <c r="E65">
        <v>100688</v>
      </c>
      <c r="F65">
        <v>99746</v>
      </c>
      <c r="G65">
        <v>0.99064436675671386</v>
      </c>
      <c r="H65">
        <v>9.3556332432861433E-3</v>
      </c>
    </row>
    <row r="66" spans="1:9" x14ac:dyDescent="0.3">
      <c r="A66">
        <v>12</v>
      </c>
      <c r="B66">
        <v>2022</v>
      </c>
      <c r="C66" t="s">
        <v>22</v>
      </c>
      <c r="D66" t="s">
        <v>8</v>
      </c>
      <c r="E66">
        <v>1069</v>
      </c>
      <c r="F66">
        <v>1060</v>
      </c>
      <c r="G66">
        <v>0.99158091674462112</v>
      </c>
      <c r="H66">
        <v>8.4190832553788786E-3</v>
      </c>
    </row>
    <row r="67" spans="1:9" x14ac:dyDescent="0.3">
      <c r="A67">
        <v>12</v>
      </c>
      <c r="B67">
        <v>2022</v>
      </c>
      <c r="C67" t="s">
        <v>22</v>
      </c>
      <c r="D67" t="s">
        <v>9</v>
      </c>
      <c r="E67">
        <v>4480</v>
      </c>
      <c r="F67">
        <v>4471</v>
      </c>
      <c r="G67">
        <v>0.99799107142857146</v>
      </c>
      <c r="H67">
        <v>2.0089285714285365E-3</v>
      </c>
    </row>
    <row r="68" spans="1:9" x14ac:dyDescent="0.3">
      <c r="A68">
        <v>12</v>
      </c>
      <c r="B68">
        <v>2022</v>
      </c>
      <c r="C68" t="s">
        <v>18</v>
      </c>
      <c r="D68" t="s">
        <v>4</v>
      </c>
      <c r="E68">
        <v>38</v>
      </c>
      <c r="F68">
        <v>38</v>
      </c>
      <c r="G68">
        <v>1</v>
      </c>
      <c r="H68">
        <v>0</v>
      </c>
    </row>
    <row r="69" spans="1:9" x14ac:dyDescent="0.3">
      <c r="A69">
        <v>12</v>
      </c>
      <c r="B69">
        <v>2022</v>
      </c>
      <c r="C69" t="s">
        <v>18</v>
      </c>
      <c r="D69" t="s">
        <v>5</v>
      </c>
      <c r="E69">
        <v>357</v>
      </c>
      <c r="F69">
        <v>357</v>
      </c>
      <c r="G69">
        <v>1</v>
      </c>
      <c r="H69">
        <v>0</v>
      </c>
    </row>
    <row r="70" spans="1:9" x14ac:dyDescent="0.3">
      <c r="A70">
        <v>12</v>
      </c>
      <c r="B70">
        <v>2022</v>
      </c>
      <c r="C70" t="s">
        <v>18</v>
      </c>
      <c r="D70" t="s">
        <v>6</v>
      </c>
      <c r="E70">
        <v>0</v>
      </c>
      <c r="F70">
        <v>0</v>
      </c>
      <c r="I70" t="s">
        <v>35</v>
      </c>
    </row>
    <row r="71" spans="1:9" x14ac:dyDescent="0.3">
      <c r="A71">
        <v>12</v>
      </c>
      <c r="B71">
        <v>2022</v>
      </c>
      <c r="C71" t="s">
        <v>18</v>
      </c>
      <c r="D71" t="s">
        <v>7</v>
      </c>
      <c r="E71">
        <v>118675</v>
      </c>
      <c r="F71">
        <v>118046</v>
      </c>
      <c r="G71">
        <v>0.99469981040657263</v>
      </c>
      <c r="H71">
        <v>5.3001895934273735E-3</v>
      </c>
    </row>
    <row r="72" spans="1:9" x14ac:dyDescent="0.3">
      <c r="A72">
        <v>12</v>
      </c>
      <c r="B72">
        <v>2022</v>
      </c>
      <c r="C72" t="s">
        <v>18</v>
      </c>
      <c r="D72" t="s">
        <v>8</v>
      </c>
      <c r="E72">
        <v>2231</v>
      </c>
      <c r="F72">
        <v>2225</v>
      </c>
      <c r="G72">
        <v>0.99731062303899598</v>
      </c>
      <c r="H72">
        <v>2.6893769610040197E-3</v>
      </c>
    </row>
    <row r="73" spans="1:9" x14ac:dyDescent="0.3">
      <c r="A73">
        <v>12</v>
      </c>
      <c r="B73">
        <v>2022</v>
      </c>
      <c r="C73" t="s">
        <v>18</v>
      </c>
      <c r="D73" t="s">
        <v>9</v>
      </c>
      <c r="E73">
        <v>3615</v>
      </c>
      <c r="F73">
        <v>3607</v>
      </c>
      <c r="G73">
        <v>0.99778699861687414</v>
      </c>
      <c r="H73">
        <v>2.2130013831258566E-3</v>
      </c>
    </row>
    <row r="74" spans="1:9" x14ac:dyDescent="0.3">
      <c r="A74">
        <v>12</v>
      </c>
      <c r="B74">
        <v>2022</v>
      </c>
      <c r="C74" t="s">
        <v>23</v>
      </c>
      <c r="D74" t="s">
        <v>4</v>
      </c>
      <c r="E74">
        <v>0</v>
      </c>
      <c r="F74">
        <v>0</v>
      </c>
      <c r="I74" t="s">
        <v>35</v>
      </c>
    </row>
    <row r="75" spans="1:9" x14ac:dyDescent="0.3">
      <c r="A75">
        <v>12</v>
      </c>
      <c r="B75">
        <v>2022</v>
      </c>
      <c r="C75" t="s">
        <v>23</v>
      </c>
      <c r="D75" t="s">
        <v>5</v>
      </c>
      <c r="E75">
        <v>84</v>
      </c>
      <c r="F75">
        <v>83</v>
      </c>
      <c r="G75">
        <v>0.98809523809523814</v>
      </c>
      <c r="H75">
        <v>1.1904761904761862E-2</v>
      </c>
    </row>
    <row r="76" spans="1:9" x14ac:dyDescent="0.3">
      <c r="A76">
        <v>12</v>
      </c>
      <c r="B76">
        <v>2022</v>
      </c>
      <c r="C76" t="s">
        <v>23</v>
      </c>
      <c r="D76" t="s">
        <v>6</v>
      </c>
      <c r="E76">
        <v>0</v>
      </c>
      <c r="F76">
        <v>0</v>
      </c>
      <c r="I76" t="s">
        <v>35</v>
      </c>
    </row>
    <row r="77" spans="1:9" x14ac:dyDescent="0.3">
      <c r="A77">
        <v>12</v>
      </c>
      <c r="B77">
        <v>2022</v>
      </c>
      <c r="C77" t="s">
        <v>23</v>
      </c>
      <c r="D77" t="s">
        <v>7</v>
      </c>
      <c r="E77">
        <v>84716</v>
      </c>
      <c r="F77">
        <v>83962</v>
      </c>
      <c r="G77">
        <v>0.99109967420558098</v>
      </c>
      <c r="H77">
        <v>8.9003257944190173E-3</v>
      </c>
    </row>
    <row r="78" spans="1:9" x14ac:dyDescent="0.3">
      <c r="A78">
        <v>12</v>
      </c>
      <c r="B78">
        <v>2022</v>
      </c>
      <c r="C78" t="s">
        <v>23</v>
      </c>
      <c r="D78" t="s">
        <v>8</v>
      </c>
      <c r="E78">
        <v>3714</v>
      </c>
      <c r="F78">
        <v>3669</v>
      </c>
      <c r="G78">
        <v>0.98788368336025845</v>
      </c>
      <c r="H78">
        <v>1.2116316639741553E-2</v>
      </c>
    </row>
    <row r="79" spans="1:9" x14ac:dyDescent="0.3">
      <c r="A79">
        <v>12</v>
      </c>
      <c r="B79">
        <v>2022</v>
      </c>
      <c r="C79" t="s">
        <v>23</v>
      </c>
      <c r="D79" t="s">
        <v>9</v>
      </c>
      <c r="E79">
        <v>5409</v>
      </c>
      <c r="F79">
        <v>5398</v>
      </c>
      <c r="G79">
        <v>0.99796635237567022</v>
      </c>
      <c r="H79">
        <v>2.0336476243297819E-3</v>
      </c>
    </row>
    <row r="80" spans="1:9" x14ac:dyDescent="0.3">
      <c r="A80">
        <v>12</v>
      </c>
      <c r="B80">
        <v>2022</v>
      </c>
      <c r="C80" t="s">
        <v>24</v>
      </c>
      <c r="D80" t="s">
        <v>4</v>
      </c>
      <c r="E80">
        <v>0</v>
      </c>
      <c r="F80">
        <v>0</v>
      </c>
      <c r="I80" t="s">
        <v>35</v>
      </c>
    </row>
    <row r="81" spans="1:9" x14ac:dyDescent="0.3">
      <c r="A81">
        <v>12</v>
      </c>
      <c r="B81">
        <v>2022</v>
      </c>
      <c r="C81" t="s">
        <v>24</v>
      </c>
      <c r="D81" t="s">
        <v>5</v>
      </c>
      <c r="E81">
        <v>1336</v>
      </c>
      <c r="F81">
        <v>1272</v>
      </c>
      <c r="G81">
        <v>0.95209580838323349</v>
      </c>
      <c r="H81">
        <v>4.7904191616766512E-2</v>
      </c>
    </row>
    <row r="82" spans="1:9" x14ac:dyDescent="0.3">
      <c r="A82">
        <v>12</v>
      </c>
      <c r="B82">
        <v>2022</v>
      </c>
      <c r="C82" t="s">
        <v>24</v>
      </c>
      <c r="D82" t="s">
        <v>6</v>
      </c>
      <c r="E82">
        <v>0</v>
      </c>
      <c r="F82">
        <v>0</v>
      </c>
      <c r="I82" t="s">
        <v>35</v>
      </c>
    </row>
    <row r="83" spans="1:9" x14ac:dyDescent="0.3">
      <c r="A83">
        <v>12</v>
      </c>
      <c r="B83">
        <v>2022</v>
      </c>
      <c r="C83" t="s">
        <v>24</v>
      </c>
      <c r="D83" t="s">
        <v>7</v>
      </c>
      <c r="E83">
        <v>131729</v>
      </c>
      <c r="F83">
        <v>130263</v>
      </c>
      <c r="G83">
        <v>0.98887109140735907</v>
      </c>
      <c r="H83">
        <v>1.1128908592640929E-2</v>
      </c>
    </row>
    <row r="84" spans="1:9" x14ac:dyDescent="0.3">
      <c r="A84">
        <v>12</v>
      </c>
      <c r="B84">
        <v>2022</v>
      </c>
      <c r="C84" t="s">
        <v>24</v>
      </c>
      <c r="D84" t="s">
        <v>8</v>
      </c>
      <c r="E84">
        <v>3184</v>
      </c>
      <c r="F84">
        <v>3152</v>
      </c>
      <c r="G84">
        <v>0.98994974874371855</v>
      </c>
      <c r="H84">
        <v>1.0050251256281451E-2</v>
      </c>
    </row>
    <row r="85" spans="1:9" x14ac:dyDescent="0.3">
      <c r="A85">
        <v>12</v>
      </c>
      <c r="B85">
        <v>2022</v>
      </c>
      <c r="C85" t="s">
        <v>24</v>
      </c>
      <c r="D85" t="s">
        <v>9</v>
      </c>
      <c r="E85">
        <v>8680</v>
      </c>
      <c r="F85">
        <v>8666</v>
      </c>
      <c r="G85">
        <v>0.99838709677419357</v>
      </c>
      <c r="H85">
        <v>1.612903225806428E-3</v>
      </c>
    </row>
    <row r="86" spans="1:9" x14ac:dyDescent="0.3">
      <c r="A86">
        <v>12</v>
      </c>
      <c r="B86">
        <v>2022</v>
      </c>
      <c r="C86" t="s">
        <v>16</v>
      </c>
      <c r="D86" t="s">
        <v>4</v>
      </c>
      <c r="E86">
        <v>0</v>
      </c>
      <c r="F86">
        <v>0</v>
      </c>
      <c r="I86" t="s">
        <v>35</v>
      </c>
    </row>
    <row r="87" spans="1:9" x14ac:dyDescent="0.3">
      <c r="A87">
        <v>12</v>
      </c>
      <c r="B87">
        <v>2022</v>
      </c>
      <c r="C87" t="s">
        <v>16</v>
      </c>
      <c r="D87" t="s">
        <v>5</v>
      </c>
      <c r="E87">
        <v>1535</v>
      </c>
      <c r="F87">
        <v>1534</v>
      </c>
      <c r="G87">
        <v>0.99934853420195435</v>
      </c>
      <c r="H87">
        <v>6.514657980456473E-4</v>
      </c>
    </row>
    <row r="88" spans="1:9" x14ac:dyDescent="0.3">
      <c r="A88">
        <v>12</v>
      </c>
      <c r="B88">
        <v>2022</v>
      </c>
      <c r="C88" t="s">
        <v>16</v>
      </c>
      <c r="D88" t="s">
        <v>6</v>
      </c>
      <c r="E88">
        <v>0</v>
      </c>
      <c r="F88">
        <v>0</v>
      </c>
      <c r="I88" t="s">
        <v>35</v>
      </c>
    </row>
    <row r="89" spans="1:9" x14ac:dyDescent="0.3">
      <c r="A89">
        <v>12</v>
      </c>
      <c r="B89">
        <v>2022</v>
      </c>
      <c r="C89" t="s">
        <v>16</v>
      </c>
      <c r="D89" t="s">
        <v>7</v>
      </c>
      <c r="E89">
        <v>22801</v>
      </c>
      <c r="F89">
        <v>22742</v>
      </c>
      <c r="G89">
        <v>0.99741239419323713</v>
      </c>
      <c r="H89">
        <v>2.5876058067628716E-3</v>
      </c>
    </row>
    <row r="90" spans="1:9" x14ac:dyDescent="0.3">
      <c r="A90">
        <v>12</v>
      </c>
      <c r="B90">
        <v>2022</v>
      </c>
      <c r="C90" t="s">
        <v>16</v>
      </c>
      <c r="D90" t="s">
        <v>8</v>
      </c>
      <c r="E90">
        <v>1673</v>
      </c>
      <c r="F90">
        <v>1662</v>
      </c>
      <c r="G90">
        <v>0.99342498505678423</v>
      </c>
      <c r="H90">
        <v>6.5750149432157734E-3</v>
      </c>
    </row>
    <row r="91" spans="1:9" x14ac:dyDescent="0.3">
      <c r="A91">
        <v>12</v>
      </c>
      <c r="B91">
        <v>2022</v>
      </c>
      <c r="C91" t="s">
        <v>16</v>
      </c>
      <c r="D91" t="s">
        <v>9</v>
      </c>
      <c r="E91">
        <v>4859</v>
      </c>
      <c r="F91">
        <v>4849</v>
      </c>
      <c r="G91">
        <v>0.99794196336694796</v>
      </c>
      <c r="H91">
        <v>2.0580366330520405E-3</v>
      </c>
    </row>
    <row r="92" spans="1:9" x14ac:dyDescent="0.3">
      <c r="A92">
        <v>12</v>
      </c>
      <c r="B92">
        <v>2022</v>
      </c>
      <c r="C92" t="s">
        <v>25</v>
      </c>
      <c r="D92" t="s">
        <v>4</v>
      </c>
      <c r="E92">
        <v>0</v>
      </c>
      <c r="F92">
        <v>0</v>
      </c>
      <c r="I92" t="s">
        <v>35</v>
      </c>
    </row>
    <row r="93" spans="1:9" x14ac:dyDescent="0.3">
      <c r="A93">
        <v>12</v>
      </c>
      <c r="B93">
        <v>2022</v>
      </c>
      <c r="C93" t="s">
        <v>25</v>
      </c>
      <c r="D93" t="s">
        <v>5</v>
      </c>
      <c r="E93">
        <v>82</v>
      </c>
      <c r="F93">
        <v>82</v>
      </c>
      <c r="G93">
        <v>1</v>
      </c>
      <c r="H93">
        <v>0</v>
      </c>
    </row>
    <row r="94" spans="1:9" x14ac:dyDescent="0.3">
      <c r="A94">
        <v>12</v>
      </c>
      <c r="B94">
        <v>2022</v>
      </c>
      <c r="C94" t="s">
        <v>25</v>
      </c>
      <c r="D94" t="s">
        <v>6</v>
      </c>
      <c r="E94">
        <v>0</v>
      </c>
      <c r="F94">
        <v>0</v>
      </c>
      <c r="I94" t="s">
        <v>35</v>
      </c>
    </row>
    <row r="95" spans="1:9" x14ac:dyDescent="0.3">
      <c r="A95">
        <v>12</v>
      </c>
      <c r="B95">
        <v>2022</v>
      </c>
      <c r="C95" t="s">
        <v>25</v>
      </c>
      <c r="D95" t="s">
        <v>7</v>
      </c>
      <c r="E95">
        <v>33500</v>
      </c>
      <c r="F95">
        <v>33462</v>
      </c>
      <c r="G95">
        <v>0.99886567164179108</v>
      </c>
      <c r="H95">
        <v>1.1343283582089247E-3</v>
      </c>
    </row>
    <row r="96" spans="1:9" x14ac:dyDescent="0.3">
      <c r="A96">
        <v>12</v>
      </c>
      <c r="B96">
        <v>2022</v>
      </c>
      <c r="C96" t="s">
        <v>25</v>
      </c>
      <c r="D96" t="s">
        <v>8</v>
      </c>
      <c r="E96">
        <v>973</v>
      </c>
      <c r="F96">
        <v>972</v>
      </c>
      <c r="G96">
        <v>0.99897225077081198</v>
      </c>
      <c r="H96">
        <v>1.0277492291880241E-3</v>
      </c>
    </row>
    <row r="97" spans="1:8" x14ac:dyDescent="0.3">
      <c r="A97">
        <v>12</v>
      </c>
      <c r="B97">
        <v>2022</v>
      </c>
      <c r="C97" t="s">
        <v>25</v>
      </c>
      <c r="D97" t="s">
        <v>9</v>
      </c>
      <c r="E97">
        <v>3666</v>
      </c>
      <c r="F97">
        <v>3661</v>
      </c>
      <c r="G97">
        <v>0.9986361156573923</v>
      </c>
      <c r="H97">
        <v>1.3638843426077019E-3</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56E7F-909B-4C20-9CAB-AC5FF4D0D723}">
  <dimension ref="A1:P98"/>
  <sheetViews>
    <sheetView zoomScaleNormal="100" workbookViewId="0">
      <selection activeCell="M2" sqref="M2"/>
    </sheetView>
  </sheetViews>
  <sheetFormatPr defaultRowHeight="14.4" x14ac:dyDescent="0.3"/>
  <cols>
    <col min="3" max="3" width="12" bestFit="1" customWidth="1"/>
    <col min="4" max="4" width="13.109375" bestFit="1" customWidth="1"/>
    <col min="5" max="5" width="12.109375" bestFit="1" customWidth="1"/>
    <col min="6" max="6" width="11.33203125" bestFit="1" customWidth="1"/>
    <col min="7" max="7" width="17.44140625" bestFit="1" customWidth="1"/>
    <col min="8" max="8" width="14.5546875" bestFit="1" customWidth="1"/>
    <col min="9" max="9" width="14.109375" bestFit="1" customWidth="1"/>
    <col min="10" max="10" width="12.88671875" bestFit="1" customWidth="1"/>
    <col min="11" max="11" width="12.44140625" bestFit="1" customWidth="1"/>
    <col min="12" max="12" width="22.5546875" bestFit="1" customWidth="1"/>
    <col min="13" max="13" width="16.109375" bestFit="1" customWidth="1"/>
    <col min="14" max="14" width="20.109375" bestFit="1" customWidth="1"/>
    <col min="15" max="15" width="25.33203125" bestFit="1" customWidth="1"/>
    <col min="16" max="16" width="22.5546875" bestFit="1" customWidth="1"/>
  </cols>
  <sheetData>
    <row r="1" spans="1:16" x14ac:dyDescent="0.3">
      <c r="A1" t="s">
        <v>0</v>
      </c>
      <c r="B1" t="s">
        <v>1</v>
      </c>
      <c r="C1" t="s">
        <v>28</v>
      </c>
      <c r="D1" t="s">
        <v>29</v>
      </c>
      <c r="E1" t="s">
        <v>30</v>
      </c>
      <c r="F1" t="s">
        <v>31</v>
      </c>
      <c r="G1" t="s">
        <v>32</v>
      </c>
      <c r="H1" t="s">
        <v>33</v>
      </c>
      <c r="I1" t="s">
        <v>34</v>
      </c>
      <c r="J1" t="s">
        <v>39</v>
      </c>
      <c r="K1" t="s">
        <v>40</v>
      </c>
      <c r="L1" t="s">
        <v>41</v>
      </c>
      <c r="M1" t="s">
        <v>42</v>
      </c>
      <c r="N1" t="s">
        <v>48</v>
      </c>
      <c r="O1" t="s">
        <v>49</v>
      </c>
      <c r="P1" t="s">
        <v>50</v>
      </c>
    </row>
    <row r="2" spans="1:16" x14ac:dyDescent="0.3">
      <c r="A2">
        <v>12</v>
      </c>
      <c r="B2">
        <v>2022</v>
      </c>
      <c r="C2" t="s">
        <v>10</v>
      </c>
      <c r="D2" t="s">
        <v>4</v>
      </c>
      <c r="E2">
        <v>0</v>
      </c>
      <c r="F2">
        <v>0</v>
      </c>
      <c r="I2" t="s">
        <v>35</v>
      </c>
      <c r="J2" t="str">
        <f>IF(Table1_14[[#This Row],[Registered]] = 0, "ABSENT", "NON_ZERO")</f>
        <v>ABSENT</v>
      </c>
      <c r="K2" t="str">
        <f>IF(Table1_14[[#This Row],[Registered]] = 0, "ABSENT_BASE", IF(Table1_14[[#This Row],[Registered]]&lt;100, "SMALL_BASE", "VALID_BASE"))</f>
        <v>ABSENT_BASE</v>
      </c>
      <c r="L2" t="str">
        <f>IF(Table1_14[[#This Row],[Registered]]=0, "ABSENT", IF(Table1_14[[#This Row],[Appearance Rate]]&lt;0.98, "LOW_RATE", IF(AND(Table1_14[[#This Row],[Appearance Rate]]=1, Table1_14[[#This Row],[Registered]]&lt;100), "SUSPICIOUS_PERFECTION", "NORMAL")))</f>
        <v>ABSENT</v>
      </c>
      <c r="M2" s="4">
        <f>Table1_14[[#This Row],[Registered]]/SUM(Table1_14[Registered])</f>
        <v>0</v>
      </c>
      <c r="N2" t="str">
        <f xml:space="preserve"> IF(OR(Table1_14[[#This Row],[Appearance Rate]]&lt;0, Table1_14[[#This Row],[Appearance Rate]]&gt;1), "FLAG", "OK")</f>
        <v>OK</v>
      </c>
      <c r="O2" t="str">
        <f xml:space="preserve"> IF(Table1_14[[#This Row],[Appeared]]&gt;Table1_14[[#This Row],[Registered]], "FLAG", "OK")</f>
        <v>OK</v>
      </c>
      <c r="P2" t="str">
        <f xml:space="preserve"> IF(OR(ISBLANK(Table1_14[[#This Row],[Registered]]), ISBLANK(Table1_14[[#This Row],[Appeared]]), Table1_14[[#This Row],[Registered]]=0, Table1_14[[#This Row],[Appeared]]=0), "FLAG", "OK")</f>
        <v>FLAG</v>
      </c>
    </row>
    <row r="3" spans="1:16" x14ac:dyDescent="0.3">
      <c r="A3">
        <v>12</v>
      </c>
      <c r="B3">
        <v>2022</v>
      </c>
      <c r="C3" t="s">
        <v>10</v>
      </c>
      <c r="D3" t="s">
        <v>5</v>
      </c>
      <c r="E3">
        <v>4533</v>
      </c>
      <c r="F3">
        <v>4524</v>
      </c>
      <c r="G3">
        <v>0.99801455989410981</v>
      </c>
      <c r="H3">
        <v>1.9854401058901905E-3</v>
      </c>
      <c r="J3" t="str">
        <f>IF(Table1_14[[#This Row],[Registered]] = 0, "ABSENT", "NON_ZERO")</f>
        <v>NON_ZERO</v>
      </c>
      <c r="K3" t="str">
        <f>IF(Table1_14[[#This Row],[Registered]] = 0, "ABSENT_BASE", IF(Table1_14[[#This Row],[Registered]]&lt;100, "SMALL_BASE", "VALID_BASE"))</f>
        <v>VALID_BASE</v>
      </c>
      <c r="L3" t="str">
        <f>IF(Table1_14[[#This Row],[Registered]]=0, "ABSENT", IF(Table1_14[[#This Row],[Appearance Rate]]&lt;0.98, "LOW_RATE", IF(AND(Table1_14[[#This Row],[Appearance Rate]]=1, Table1_14[[#This Row],[Registered]]&lt;100), "SUSPICIOUS_PERFECTION", "NORMAL")))</f>
        <v>NORMAL</v>
      </c>
      <c r="M3" s="4">
        <f>Table1_14[[#This Row],[Registered]]/SUM(Table1_14[Registered])</f>
        <v>3.1505048939510722E-3</v>
      </c>
      <c r="N3" t="str">
        <f xml:space="preserve"> IF(OR(Table1_14[[#This Row],[Appearance Rate]]&lt;0, Table1_14[[#This Row],[Appearance Rate]]&gt;1), "FLAG", "OK")</f>
        <v>OK</v>
      </c>
      <c r="O3" t="str">
        <f xml:space="preserve"> IF(Table1_14[[#This Row],[Appeared]]&gt;Table1_14[[#This Row],[Registered]], "FLAG", "OK")</f>
        <v>OK</v>
      </c>
      <c r="P3" t="str">
        <f xml:space="preserve"> IF(OR(ISBLANK(Table1_14[[#This Row],[Registered]]), ISBLANK(Table1_14[[#This Row],[Appeared]]), Table1_14[[#This Row],[Registered]]=0, Table1_14[[#This Row],[Appeared]]=0), "FLAG", "OK")</f>
        <v>OK</v>
      </c>
    </row>
    <row r="4" spans="1:16" x14ac:dyDescent="0.3">
      <c r="A4">
        <v>12</v>
      </c>
      <c r="B4">
        <v>2022</v>
      </c>
      <c r="C4" t="s">
        <v>10</v>
      </c>
      <c r="D4" t="s">
        <v>6</v>
      </c>
      <c r="E4">
        <v>0</v>
      </c>
      <c r="F4">
        <v>0</v>
      </c>
      <c r="I4" t="s">
        <v>35</v>
      </c>
      <c r="J4" t="str">
        <f>IF(Table1_14[[#This Row],[Registered]] = 0, "ABSENT", "NON_ZERO")</f>
        <v>ABSENT</v>
      </c>
      <c r="K4" t="str">
        <f>IF(Table1_14[[#This Row],[Registered]] = 0, "ABSENT_BASE", IF(Table1_14[[#This Row],[Registered]]&lt;100, "SMALL_BASE", "VALID_BASE"))</f>
        <v>ABSENT_BASE</v>
      </c>
      <c r="L4" t="str">
        <f>IF(Table1_14[[#This Row],[Registered]]=0, "ABSENT", IF(Table1_14[[#This Row],[Appearance Rate]]&lt;0.98, "LOW_RATE", IF(AND(Table1_14[[#This Row],[Appearance Rate]]=1, Table1_14[[#This Row],[Registered]]&lt;100), "SUSPICIOUS_PERFECTION", "NORMAL")))</f>
        <v>ABSENT</v>
      </c>
      <c r="M4" s="4">
        <f>Table1_14[[#This Row],[Registered]]/SUM(Table1_14[Registered])</f>
        <v>0</v>
      </c>
      <c r="N4" t="str">
        <f xml:space="preserve"> IF(OR(Table1_14[[#This Row],[Appearance Rate]]&lt;0, Table1_14[[#This Row],[Appearance Rate]]&gt;1), "FLAG", "OK")</f>
        <v>OK</v>
      </c>
      <c r="O4" t="str">
        <f xml:space="preserve"> IF(Table1_14[[#This Row],[Appeared]]&gt;Table1_14[[#This Row],[Registered]], "FLAG", "OK")</f>
        <v>OK</v>
      </c>
      <c r="P4" t="str">
        <f xml:space="preserve"> IF(OR(ISBLANK(Table1_14[[#This Row],[Registered]]), ISBLANK(Table1_14[[#This Row],[Appeared]]), Table1_14[[#This Row],[Registered]]=0, Table1_14[[#This Row],[Appeared]]=0), "FLAG", "OK")</f>
        <v>FLAG</v>
      </c>
    </row>
    <row r="5" spans="1:16" x14ac:dyDescent="0.3">
      <c r="A5">
        <v>12</v>
      </c>
      <c r="B5">
        <v>2022</v>
      </c>
      <c r="C5" t="s">
        <v>10</v>
      </c>
      <c r="D5" t="s">
        <v>7</v>
      </c>
      <c r="E5">
        <v>86178</v>
      </c>
      <c r="F5">
        <v>85839</v>
      </c>
      <c r="G5">
        <v>0.99606628141753117</v>
      </c>
      <c r="H5">
        <v>3.9337185824688259E-3</v>
      </c>
      <c r="J5" t="str">
        <f>IF(Table1_14[[#This Row],[Registered]] = 0, "ABSENT", "NON_ZERO")</f>
        <v>NON_ZERO</v>
      </c>
      <c r="K5" t="str">
        <f>IF(Table1_14[[#This Row],[Registered]] = 0, "ABSENT_BASE", IF(Table1_14[[#This Row],[Registered]]&lt;100, "SMALL_BASE", "VALID_BASE"))</f>
        <v>VALID_BASE</v>
      </c>
      <c r="L5" t="str">
        <f>IF(Table1_14[[#This Row],[Registered]]=0, "ABSENT", IF(Table1_14[[#This Row],[Appearance Rate]]&lt;0.98, "LOW_RATE", IF(AND(Table1_14[[#This Row],[Appearance Rate]]=1, Table1_14[[#This Row],[Registered]]&lt;100), "SUSPICIOUS_PERFECTION", "NORMAL")))</f>
        <v>NORMAL</v>
      </c>
      <c r="M5" s="4">
        <f>Table1_14[[#This Row],[Registered]]/SUM(Table1_14[Registered])</f>
        <v>5.9895038771435143E-2</v>
      </c>
      <c r="N5" t="str">
        <f xml:space="preserve"> IF(OR(Table1_14[[#This Row],[Appearance Rate]]&lt;0, Table1_14[[#This Row],[Appearance Rate]]&gt;1), "FLAG", "OK")</f>
        <v>OK</v>
      </c>
      <c r="O5" t="str">
        <f xml:space="preserve"> IF(Table1_14[[#This Row],[Appeared]]&gt;Table1_14[[#This Row],[Registered]], "FLAG", "OK")</f>
        <v>OK</v>
      </c>
      <c r="P5" t="str">
        <f xml:space="preserve"> IF(OR(ISBLANK(Table1_14[[#This Row],[Registered]]), ISBLANK(Table1_14[[#This Row],[Appeared]]), Table1_14[[#This Row],[Registered]]=0, Table1_14[[#This Row],[Appeared]]=0), "FLAG", "OK")</f>
        <v>OK</v>
      </c>
    </row>
    <row r="6" spans="1:16" x14ac:dyDescent="0.3">
      <c r="A6">
        <v>12</v>
      </c>
      <c r="B6">
        <v>2022</v>
      </c>
      <c r="C6" t="s">
        <v>10</v>
      </c>
      <c r="D6" t="s">
        <v>8</v>
      </c>
      <c r="E6">
        <v>3741</v>
      </c>
      <c r="F6">
        <v>3730</v>
      </c>
      <c r="G6">
        <v>0.99705960973001873</v>
      </c>
      <c r="H6">
        <v>2.9403902699812745E-3</v>
      </c>
      <c r="J6" t="str">
        <f>IF(Table1_14[[#This Row],[Registered]] = 0, "ABSENT", "NON_ZERO")</f>
        <v>NON_ZERO</v>
      </c>
      <c r="K6" t="str">
        <f>IF(Table1_14[[#This Row],[Registered]] = 0, "ABSENT_BASE", IF(Table1_14[[#This Row],[Registered]]&lt;100, "SMALL_BASE", "VALID_BASE"))</f>
        <v>VALID_BASE</v>
      </c>
      <c r="L6" t="str">
        <f>IF(Table1_14[[#This Row],[Registered]]=0, "ABSENT", IF(Table1_14[[#This Row],[Appearance Rate]]&lt;0.98, "LOW_RATE", IF(AND(Table1_14[[#This Row],[Appearance Rate]]=1, Table1_14[[#This Row],[Registered]]&lt;100), "SUSPICIOUS_PERFECTION", "NORMAL")))</f>
        <v>NORMAL</v>
      </c>
      <c r="M6" s="4">
        <f>Table1_14[[#This Row],[Registered]]/SUM(Table1_14[Registered])</f>
        <v>2.600052682168754E-3</v>
      </c>
      <c r="N6" t="str">
        <f xml:space="preserve"> IF(OR(Table1_14[[#This Row],[Appearance Rate]]&lt;0, Table1_14[[#This Row],[Appearance Rate]]&gt;1), "FLAG", "OK")</f>
        <v>OK</v>
      </c>
      <c r="O6" t="str">
        <f xml:space="preserve"> IF(Table1_14[[#This Row],[Appeared]]&gt;Table1_14[[#This Row],[Registered]], "FLAG", "OK")</f>
        <v>OK</v>
      </c>
      <c r="P6" t="str">
        <f xml:space="preserve"> IF(OR(ISBLANK(Table1_14[[#This Row],[Registered]]), ISBLANK(Table1_14[[#This Row],[Appeared]]), Table1_14[[#This Row],[Registered]]=0, Table1_14[[#This Row],[Appeared]]=0), "FLAG", "OK")</f>
        <v>OK</v>
      </c>
    </row>
    <row r="7" spans="1:16" x14ac:dyDescent="0.3">
      <c r="A7">
        <v>12</v>
      </c>
      <c r="B7">
        <v>2022</v>
      </c>
      <c r="C7" t="s">
        <v>10</v>
      </c>
      <c r="D7" t="s">
        <v>9</v>
      </c>
      <c r="E7">
        <v>7736</v>
      </c>
      <c r="F7">
        <v>7725</v>
      </c>
      <c r="G7">
        <v>0.99857807652533614</v>
      </c>
      <c r="H7">
        <v>1.4219234746638554E-3</v>
      </c>
      <c r="J7" t="str">
        <f>IF(Table1_14[[#This Row],[Registered]] = 0, "ABSENT", "NON_ZERO")</f>
        <v>NON_ZERO</v>
      </c>
      <c r="K7" t="str">
        <f>IF(Table1_14[[#This Row],[Registered]] = 0, "ABSENT_BASE", IF(Table1_14[[#This Row],[Registered]]&lt;100, "SMALL_BASE", "VALID_BASE"))</f>
        <v>VALID_BASE</v>
      </c>
      <c r="L7" t="str">
        <f>IF(Table1_14[[#This Row],[Registered]]=0, "ABSENT", IF(Table1_14[[#This Row],[Appearance Rate]]&lt;0.98, "LOW_RATE", IF(AND(Table1_14[[#This Row],[Appearance Rate]]=1, Table1_14[[#This Row],[Registered]]&lt;100), "SUSPICIOUS_PERFECTION", "NORMAL")))</f>
        <v>NORMAL</v>
      </c>
      <c r="M7" s="4">
        <f>Table1_14[[#This Row],[Registered]]/SUM(Table1_14[Registered])</f>
        <v>5.3766392807424431E-3</v>
      </c>
      <c r="N7" t="str">
        <f xml:space="preserve"> IF(OR(Table1_14[[#This Row],[Appearance Rate]]&lt;0, Table1_14[[#This Row],[Appearance Rate]]&gt;1), "FLAG", "OK")</f>
        <v>OK</v>
      </c>
      <c r="O7" t="str">
        <f xml:space="preserve"> IF(Table1_14[[#This Row],[Appeared]]&gt;Table1_14[[#This Row],[Registered]], "FLAG", "OK")</f>
        <v>OK</v>
      </c>
      <c r="P7" t="str">
        <f xml:space="preserve"> IF(OR(ISBLANK(Table1_14[[#This Row],[Registered]]), ISBLANK(Table1_14[[#This Row],[Appeared]]), Table1_14[[#This Row],[Registered]]=0, Table1_14[[#This Row],[Appeared]]=0), "FLAG", "OK")</f>
        <v>OK</v>
      </c>
    </row>
    <row r="8" spans="1:16" x14ac:dyDescent="0.3">
      <c r="A8">
        <v>12</v>
      </c>
      <c r="B8">
        <v>2022</v>
      </c>
      <c r="C8" t="s">
        <v>19</v>
      </c>
      <c r="D8" t="s">
        <v>4</v>
      </c>
      <c r="E8">
        <v>93</v>
      </c>
      <c r="F8">
        <v>92</v>
      </c>
      <c r="G8">
        <v>0.989247311827957</v>
      </c>
      <c r="H8">
        <v>1.0752688172043001E-2</v>
      </c>
      <c r="J8" t="str">
        <f>IF(Table1_14[[#This Row],[Registered]] = 0, "ABSENT", "NON_ZERO")</f>
        <v>NON_ZERO</v>
      </c>
      <c r="K8" t="str">
        <f>IF(Table1_14[[#This Row],[Registered]] = 0, "ABSENT_BASE", IF(Table1_14[[#This Row],[Registered]]&lt;100, "SMALL_BASE", "VALID_BASE"))</f>
        <v>SMALL_BASE</v>
      </c>
      <c r="L8" t="str">
        <f>IF(Table1_14[[#This Row],[Registered]]=0, "ABSENT", IF(Table1_14[[#This Row],[Appearance Rate]]&lt;0.98, "LOW_RATE", IF(AND(Table1_14[[#This Row],[Appearance Rate]]=1, Table1_14[[#This Row],[Registered]]&lt;100), "SUSPICIOUS_PERFECTION", "NORMAL")))</f>
        <v>NORMAL</v>
      </c>
      <c r="M8" s="4">
        <f>Table1_14[[#This Row],[Registered]]/SUM(Table1_14[Registered])</f>
        <v>6.4636433959287392E-5</v>
      </c>
      <c r="N8" t="str">
        <f xml:space="preserve"> IF(OR(Table1_14[[#This Row],[Appearance Rate]]&lt;0, Table1_14[[#This Row],[Appearance Rate]]&gt;1), "FLAG", "OK")</f>
        <v>OK</v>
      </c>
      <c r="O8" t="str">
        <f xml:space="preserve"> IF(Table1_14[[#This Row],[Appeared]]&gt;Table1_14[[#This Row],[Registered]], "FLAG", "OK")</f>
        <v>OK</v>
      </c>
      <c r="P8" t="str">
        <f xml:space="preserve"> IF(OR(ISBLANK(Table1_14[[#This Row],[Registered]]), ISBLANK(Table1_14[[#This Row],[Appeared]]), Table1_14[[#This Row],[Registered]]=0, Table1_14[[#This Row],[Appeared]]=0), "FLAG", "OK")</f>
        <v>OK</v>
      </c>
    </row>
    <row r="9" spans="1:16" x14ac:dyDescent="0.3">
      <c r="A9">
        <v>12</v>
      </c>
      <c r="B9">
        <v>2022</v>
      </c>
      <c r="C9" t="s">
        <v>19</v>
      </c>
      <c r="D9" t="s">
        <v>5</v>
      </c>
      <c r="E9">
        <v>70</v>
      </c>
      <c r="F9">
        <v>70</v>
      </c>
      <c r="G9">
        <v>1</v>
      </c>
      <c r="H9">
        <v>0</v>
      </c>
      <c r="J9" t="str">
        <f>IF(Table1_14[[#This Row],[Registered]] = 0, "ABSENT", "NON_ZERO")</f>
        <v>NON_ZERO</v>
      </c>
      <c r="K9" t="str">
        <f>IF(Table1_14[[#This Row],[Registered]] = 0, "ABSENT_BASE", IF(Table1_14[[#This Row],[Registered]]&lt;100, "SMALL_BASE", "VALID_BASE"))</f>
        <v>SMALL_BASE</v>
      </c>
      <c r="L9" t="str">
        <f>IF(Table1_14[[#This Row],[Registered]]=0, "ABSENT", IF(Table1_14[[#This Row],[Appearance Rate]]&lt;0.98, "LOW_RATE", IF(AND(Table1_14[[#This Row],[Appearance Rate]]=1, Table1_14[[#This Row],[Registered]]&lt;100), "SUSPICIOUS_PERFECTION", "NORMAL")))</f>
        <v>SUSPICIOUS_PERFECTION</v>
      </c>
      <c r="M9" s="4">
        <f>Table1_14[[#This Row],[Registered]]/SUM(Table1_14[Registered])</f>
        <v>4.8651079324194808E-5</v>
      </c>
      <c r="N9" t="str">
        <f xml:space="preserve"> IF(OR(Table1_14[[#This Row],[Appearance Rate]]&lt;0, Table1_14[[#This Row],[Appearance Rate]]&gt;1), "FLAG", "OK")</f>
        <v>OK</v>
      </c>
      <c r="O9" t="str">
        <f xml:space="preserve"> IF(Table1_14[[#This Row],[Appeared]]&gt;Table1_14[[#This Row],[Registered]], "FLAG", "OK")</f>
        <v>OK</v>
      </c>
      <c r="P9" t="str">
        <f xml:space="preserve"> IF(OR(ISBLANK(Table1_14[[#This Row],[Registered]]), ISBLANK(Table1_14[[#This Row],[Appeared]]), Table1_14[[#This Row],[Registered]]=0, Table1_14[[#This Row],[Appeared]]=0), "FLAG", "OK")</f>
        <v>OK</v>
      </c>
    </row>
    <row r="10" spans="1:16" x14ac:dyDescent="0.3">
      <c r="A10">
        <v>12</v>
      </c>
      <c r="B10">
        <v>2022</v>
      </c>
      <c r="C10" t="s">
        <v>19</v>
      </c>
      <c r="D10" t="s">
        <v>6</v>
      </c>
      <c r="E10">
        <v>0</v>
      </c>
      <c r="F10">
        <v>0</v>
      </c>
      <c r="I10" t="s">
        <v>35</v>
      </c>
      <c r="J10" t="str">
        <f>IF(Table1_14[[#This Row],[Registered]] = 0, "ABSENT", "NON_ZERO")</f>
        <v>ABSENT</v>
      </c>
      <c r="K10" t="str">
        <f>IF(Table1_14[[#This Row],[Registered]] = 0, "ABSENT_BASE", IF(Table1_14[[#This Row],[Registered]]&lt;100, "SMALL_BASE", "VALID_BASE"))</f>
        <v>ABSENT_BASE</v>
      </c>
      <c r="L10" t="str">
        <f>IF(Table1_14[[#This Row],[Registered]]=0, "ABSENT", IF(Table1_14[[#This Row],[Appearance Rate]]&lt;0.98, "LOW_RATE", IF(AND(Table1_14[[#This Row],[Appearance Rate]]=1, Table1_14[[#This Row],[Registered]]&lt;100), "SUSPICIOUS_PERFECTION", "NORMAL")))</f>
        <v>ABSENT</v>
      </c>
      <c r="M10" s="4">
        <f>Table1_14[[#This Row],[Registered]]/SUM(Table1_14[Registered])</f>
        <v>0</v>
      </c>
      <c r="N10" t="str">
        <f xml:space="preserve"> IF(OR(Table1_14[[#This Row],[Appearance Rate]]&lt;0, Table1_14[[#This Row],[Appearance Rate]]&gt;1), "FLAG", "OK")</f>
        <v>OK</v>
      </c>
      <c r="O10" t="str">
        <f xml:space="preserve"> IF(Table1_14[[#This Row],[Appeared]]&gt;Table1_14[[#This Row],[Registered]], "FLAG", "OK")</f>
        <v>OK</v>
      </c>
      <c r="P10" t="str">
        <f xml:space="preserve"> IF(OR(ISBLANK(Table1_14[[#This Row],[Registered]]), ISBLANK(Table1_14[[#This Row],[Appeared]]), Table1_14[[#This Row],[Registered]]=0, Table1_14[[#This Row],[Appeared]]=0), "FLAG", "OK")</f>
        <v>FLAG</v>
      </c>
    </row>
    <row r="11" spans="1:16" x14ac:dyDescent="0.3">
      <c r="A11">
        <v>12</v>
      </c>
      <c r="B11">
        <v>2022</v>
      </c>
      <c r="C11" t="s">
        <v>19</v>
      </c>
      <c r="D11" t="s">
        <v>7</v>
      </c>
      <c r="E11">
        <v>12262</v>
      </c>
      <c r="F11">
        <v>12214</v>
      </c>
      <c r="G11">
        <v>0.99608546729734138</v>
      </c>
      <c r="H11">
        <v>3.9145327026586241E-3</v>
      </c>
      <c r="J11" t="str">
        <f>IF(Table1_14[[#This Row],[Registered]] = 0, "ABSENT", "NON_ZERO")</f>
        <v>NON_ZERO</v>
      </c>
      <c r="K11" t="str">
        <f>IF(Table1_14[[#This Row],[Registered]] = 0, "ABSENT_BASE", IF(Table1_14[[#This Row],[Registered]]&lt;100, "SMALL_BASE", "VALID_BASE"))</f>
        <v>VALID_BASE</v>
      </c>
      <c r="L11" t="str">
        <f>IF(Table1_14[[#This Row],[Registered]]=0, "ABSENT", IF(Table1_14[[#This Row],[Appearance Rate]]&lt;0.98, "LOW_RATE", IF(AND(Table1_14[[#This Row],[Appearance Rate]]=1, Table1_14[[#This Row],[Registered]]&lt;100), "SUSPICIOUS_PERFECTION", "NORMAL")))</f>
        <v>NORMAL</v>
      </c>
      <c r="M11" s="4">
        <f>Table1_14[[#This Row],[Registered]]/SUM(Table1_14[Registered])</f>
        <v>8.5222790667610956E-3</v>
      </c>
      <c r="N11" t="str">
        <f xml:space="preserve"> IF(OR(Table1_14[[#This Row],[Appearance Rate]]&lt;0, Table1_14[[#This Row],[Appearance Rate]]&gt;1), "FLAG", "OK")</f>
        <v>OK</v>
      </c>
      <c r="O11" t="str">
        <f xml:space="preserve"> IF(Table1_14[[#This Row],[Appeared]]&gt;Table1_14[[#This Row],[Registered]], "FLAG", "OK")</f>
        <v>OK</v>
      </c>
      <c r="P11" t="str">
        <f xml:space="preserve"> IF(OR(ISBLANK(Table1_14[[#This Row],[Registered]]), ISBLANK(Table1_14[[#This Row],[Appeared]]), Table1_14[[#This Row],[Registered]]=0, Table1_14[[#This Row],[Appeared]]=0), "FLAG", "OK")</f>
        <v>OK</v>
      </c>
    </row>
    <row r="12" spans="1:16" x14ac:dyDescent="0.3">
      <c r="A12">
        <v>12</v>
      </c>
      <c r="B12">
        <v>2022</v>
      </c>
      <c r="C12" t="s">
        <v>19</v>
      </c>
      <c r="D12" t="s">
        <v>8</v>
      </c>
      <c r="E12">
        <v>1901</v>
      </c>
      <c r="F12">
        <v>1894</v>
      </c>
      <c r="G12">
        <v>0.99631772751183589</v>
      </c>
      <c r="H12">
        <v>3.6822724881641067E-3</v>
      </c>
      <c r="J12" t="str">
        <f>IF(Table1_14[[#This Row],[Registered]] = 0, "ABSENT", "NON_ZERO")</f>
        <v>NON_ZERO</v>
      </c>
      <c r="K12" t="str">
        <f>IF(Table1_14[[#This Row],[Registered]] = 0, "ABSENT_BASE", IF(Table1_14[[#This Row],[Registered]]&lt;100, "SMALL_BASE", "VALID_BASE"))</f>
        <v>VALID_BASE</v>
      </c>
      <c r="L12" t="str">
        <f>IF(Table1_14[[#This Row],[Registered]]=0, "ABSENT", IF(Table1_14[[#This Row],[Appearance Rate]]&lt;0.98, "LOW_RATE", IF(AND(Table1_14[[#This Row],[Appearance Rate]]=1, Table1_14[[#This Row],[Registered]]&lt;100), "SUSPICIOUS_PERFECTION", "NORMAL")))</f>
        <v>NORMAL</v>
      </c>
      <c r="M12" s="4">
        <f>Table1_14[[#This Row],[Registered]]/SUM(Table1_14[Registered])</f>
        <v>1.3212243113613475E-3</v>
      </c>
      <c r="N12" t="str">
        <f xml:space="preserve"> IF(OR(Table1_14[[#This Row],[Appearance Rate]]&lt;0, Table1_14[[#This Row],[Appearance Rate]]&gt;1), "FLAG", "OK")</f>
        <v>OK</v>
      </c>
      <c r="O12" t="str">
        <f xml:space="preserve"> IF(Table1_14[[#This Row],[Appeared]]&gt;Table1_14[[#This Row],[Registered]], "FLAG", "OK")</f>
        <v>OK</v>
      </c>
      <c r="P12" t="str">
        <f xml:space="preserve"> IF(OR(ISBLANK(Table1_14[[#This Row],[Registered]]), ISBLANK(Table1_14[[#This Row],[Appeared]]), Table1_14[[#This Row],[Registered]]=0, Table1_14[[#This Row],[Appeared]]=0), "FLAG", "OK")</f>
        <v>OK</v>
      </c>
    </row>
    <row r="13" spans="1:16" x14ac:dyDescent="0.3">
      <c r="A13">
        <v>12</v>
      </c>
      <c r="B13">
        <v>2022</v>
      </c>
      <c r="C13" t="s">
        <v>19</v>
      </c>
      <c r="D13" t="s">
        <v>9</v>
      </c>
      <c r="E13">
        <v>2363</v>
      </c>
      <c r="F13">
        <v>2361</v>
      </c>
      <c r="G13">
        <v>0.99915361828184512</v>
      </c>
      <c r="H13">
        <v>8.4638171815487606E-4</v>
      </c>
      <c r="J13" t="str">
        <f>IF(Table1_14[[#This Row],[Registered]] = 0, "ABSENT", "NON_ZERO")</f>
        <v>NON_ZERO</v>
      </c>
      <c r="K13" t="str">
        <f>IF(Table1_14[[#This Row],[Registered]] = 0, "ABSENT_BASE", IF(Table1_14[[#This Row],[Registered]]&lt;100, "SMALL_BASE", "VALID_BASE"))</f>
        <v>VALID_BASE</v>
      </c>
      <c r="L13" t="str">
        <f>IF(Table1_14[[#This Row],[Registered]]=0, "ABSENT", IF(Table1_14[[#This Row],[Appearance Rate]]&lt;0.98, "LOW_RATE", IF(AND(Table1_14[[#This Row],[Appearance Rate]]=1, Table1_14[[#This Row],[Registered]]&lt;100), "SUSPICIOUS_PERFECTION", "NORMAL")))</f>
        <v>NORMAL</v>
      </c>
      <c r="M13" s="4">
        <f>Table1_14[[#This Row],[Registered]]/SUM(Table1_14[Registered])</f>
        <v>1.6423214349010333E-3</v>
      </c>
      <c r="N13" t="str">
        <f xml:space="preserve"> IF(OR(Table1_14[[#This Row],[Appearance Rate]]&lt;0, Table1_14[[#This Row],[Appearance Rate]]&gt;1), "FLAG", "OK")</f>
        <v>OK</v>
      </c>
      <c r="O13" t="str">
        <f xml:space="preserve"> IF(Table1_14[[#This Row],[Appeared]]&gt;Table1_14[[#This Row],[Registered]], "FLAG", "OK")</f>
        <v>OK</v>
      </c>
      <c r="P13" t="str">
        <f xml:space="preserve"> IF(OR(ISBLANK(Table1_14[[#This Row],[Registered]]), ISBLANK(Table1_14[[#This Row],[Appeared]]), Table1_14[[#This Row],[Registered]]=0, Table1_14[[#This Row],[Appeared]]=0), "FLAG", "OK")</f>
        <v>OK</v>
      </c>
    </row>
    <row r="14" spans="1:16" x14ac:dyDescent="0.3">
      <c r="A14">
        <v>12</v>
      </c>
      <c r="B14">
        <v>2022</v>
      </c>
      <c r="C14" t="s">
        <v>20</v>
      </c>
      <c r="D14" t="s">
        <v>4</v>
      </c>
      <c r="E14">
        <v>0</v>
      </c>
      <c r="F14">
        <v>0</v>
      </c>
      <c r="I14" t="s">
        <v>35</v>
      </c>
      <c r="J14" t="str">
        <f>IF(Table1_14[[#This Row],[Registered]] = 0, "ABSENT", "NON_ZERO")</f>
        <v>ABSENT</v>
      </c>
      <c r="K14" t="str">
        <f>IF(Table1_14[[#This Row],[Registered]] = 0, "ABSENT_BASE", IF(Table1_14[[#This Row],[Registered]]&lt;100, "SMALL_BASE", "VALID_BASE"))</f>
        <v>ABSENT_BASE</v>
      </c>
      <c r="L14" t="str">
        <f>IF(Table1_14[[#This Row],[Registered]]=0, "ABSENT", IF(Table1_14[[#This Row],[Appearance Rate]]&lt;0.98, "LOW_RATE", IF(AND(Table1_14[[#This Row],[Appearance Rate]]=1, Table1_14[[#This Row],[Registered]]&lt;100), "SUSPICIOUS_PERFECTION", "NORMAL")))</f>
        <v>ABSENT</v>
      </c>
      <c r="M14" s="4">
        <f>Table1_14[[#This Row],[Registered]]/SUM(Table1_14[Registered])</f>
        <v>0</v>
      </c>
      <c r="N14" t="str">
        <f xml:space="preserve"> IF(OR(Table1_14[[#This Row],[Appearance Rate]]&lt;0, Table1_14[[#This Row],[Appearance Rate]]&gt;1), "FLAG", "OK")</f>
        <v>OK</v>
      </c>
      <c r="O14" t="str">
        <f xml:space="preserve"> IF(Table1_14[[#This Row],[Appeared]]&gt;Table1_14[[#This Row],[Registered]], "FLAG", "OK")</f>
        <v>OK</v>
      </c>
      <c r="P14" t="str">
        <f xml:space="preserve"> IF(OR(ISBLANK(Table1_14[[#This Row],[Registered]]), ISBLANK(Table1_14[[#This Row],[Appeared]]), Table1_14[[#This Row],[Registered]]=0, Table1_14[[#This Row],[Appeared]]=0), "FLAG", "OK")</f>
        <v>FLAG</v>
      </c>
    </row>
    <row r="15" spans="1:16" x14ac:dyDescent="0.3">
      <c r="A15">
        <v>12</v>
      </c>
      <c r="B15">
        <v>2022</v>
      </c>
      <c r="C15" t="s">
        <v>20</v>
      </c>
      <c r="D15" t="s">
        <v>5</v>
      </c>
      <c r="E15">
        <v>3180</v>
      </c>
      <c r="F15">
        <v>3138</v>
      </c>
      <c r="G15">
        <v>0.98679245283018868</v>
      </c>
      <c r="H15">
        <v>1.3207547169811318E-2</v>
      </c>
      <c r="J15" t="str">
        <f>IF(Table1_14[[#This Row],[Registered]] = 0, "ABSENT", "NON_ZERO")</f>
        <v>NON_ZERO</v>
      </c>
      <c r="K15" t="str">
        <f>IF(Table1_14[[#This Row],[Registered]] = 0, "ABSENT_BASE", IF(Table1_14[[#This Row],[Registered]]&lt;100, "SMALL_BASE", "VALID_BASE"))</f>
        <v>VALID_BASE</v>
      </c>
      <c r="L15" t="str">
        <f>IF(Table1_14[[#This Row],[Registered]]=0, "ABSENT", IF(Table1_14[[#This Row],[Appearance Rate]]&lt;0.98, "LOW_RATE", IF(AND(Table1_14[[#This Row],[Appearance Rate]]=1, Table1_14[[#This Row],[Registered]]&lt;100), "SUSPICIOUS_PERFECTION", "NORMAL")))</f>
        <v>NORMAL</v>
      </c>
      <c r="M15" s="4">
        <f>Table1_14[[#This Row],[Registered]]/SUM(Table1_14[Registered])</f>
        <v>2.2101490321562783E-3</v>
      </c>
      <c r="N15" t="str">
        <f xml:space="preserve"> IF(OR(Table1_14[[#This Row],[Appearance Rate]]&lt;0, Table1_14[[#This Row],[Appearance Rate]]&gt;1), "FLAG", "OK")</f>
        <v>OK</v>
      </c>
      <c r="O15" t="str">
        <f xml:space="preserve"> IF(Table1_14[[#This Row],[Appeared]]&gt;Table1_14[[#This Row],[Registered]], "FLAG", "OK")</f>
        <v>OK</v>
      </c>
      <c r="P15" t="str">
        <f xml:space="preserve"> IF(OR(ISBLANK(Table1_14[[#This Row],[Registered]]), ISBLANK(Table1_14[[#This Row],[Appeared]]), Table1_14[[#This Row],[Registered]]=0, Table1_14[[#This Row],[Appeared]]=0), "FLAG", "OK")</f>
        <v>OK</v>
      </c>
    </row>
    <row r="16" spans="1:16" x14ac:dyDescent="0.3">
      <c r="A16">
        <v>12</v>
      </c>
      <c r="B16">
        <v>2022</v>
      </c>
      <c r="C16" t="s">
        <v>20</v>
      </c>
      <c r="D16" t="s">
        <v>6</v>
      </c>
      <c r="E16">
        <v>0</v>
      </c>
      <c r="F16">
        <v>0</v>
      </c>
      <c r="I16" t="s">
        <v>35</v>
      </c>
      <c r="J16" t="str">
        <f>IF(Table1_14[[#This Row],[Registered]] = 0, "ABSENT", "NON_ZERO")</f>
        <v>ABSENT</v>
      </c>
      <c r="K16" t="str">
        <f>IF(Table1_14[[#This Row],[Registered]] = 0, "ABSENT_BASE", IF(Table1_14[[#This Row],[Registered]]&lt;100, "SMALL_BASE", "VALID_BASE"))</f>
        <v>ABSENT_BASE</v>
      </c>
      <c r="L16" t="str">
        <f>IF(Table1_14[[#This Row],[Registered]]=0, "ABSENT", IF(Table1_14[[#This Row],[Appearance Rate]]&lt;0.98, "LOW_RATE", IF(AND(Table1_14[[#This Row],[Appearance Rate]]=1, Table1_14[[#This Row],[Registered]]&lt;100), "SUSPICIOUS_PERFECTION", "NORMAL")))</f>
        <v>ABSENT</v>
      </c>
      <c r="M16" s="4">
        <f>Table1_14[[#This Row],[Registered]]/SUM(Table1_14[Registered])</f>
        <v>0</v>
      </c>
      <c r="N16" t="str">
        <f xml:space="preserve"> IF(OR(Table1_14[[#This Row],[Appearance Rate]]&lt;0, Table1_14[[#This Row],[Appearance Rate]]&gt;1), "FLAG", "OK")</f>
        <v>OK</v>
      </c>
      <c r="O16" t="str">
        <f xml:space="preserve"> IF(Table1_14[[#This Row],[Appeared]]&gt;Table1_14[[#This Row],[Registered]], "FLAG", "OK")</f>
        <v>OK</v>
      </c>
      <c r="P16" t="str">
        <f xml:space="preserve"> IF(OR(ISBLANK(Table1_14[[#This Row],[Registered]]), ISBLANK(Table1_14[[#This Row],[Appeared]]), Table1_14[[#This Row],[Registered]]=0, Table1_14[[#This Row],[Appeared]]=0), "FLAG", "OK")</f>
        <v>FLAG</v>
      </c>
    </row>
    <row r="17" spans="1:16" x14ac:dyDescent="0.3">
      <c r="A17">
        <v>12</v>
      </c>
      <c r="B17">
        <v>2022</v>
      </c>
      <c r="C17" t="s">
        <v>20</v>
      </c>
      <c r="D17" t="s">
        <v>7</v>
      </c>
      <c r="E17">
        <v>60352</v>
      </c>
      <c r="F17">
        <v>60136</v>
      </c>
      <c r="G17">
        <v>0.99642099681866381</v>
      </c>
      <c r="H17">
        <v>3.5790031813361933E-3</v>
      </c>
      <c r="J17" t="str">
        <f>IF(Table1_14[[#This Row],[Registered]] = 0, "ABSENT", "NON_ZERO")</f>
        <v>NON_ZERO</v>
      </c>
      <c r="K17" t="str">
        <f>IF(Table1_14[[#This Row],[Registered]] = 0, "ABSENT_BASE", IF(Table1_14[[#This Row],[Registered]]&lt;100, "SMALL_BASE", "VALID_BASE"))</f>
        <v>VALID_BASE</v>
      </c>
      <c r="L17" t="str">
        <f>IF(Table1_14[[#This Row],[Registered]]=0, "ABSENT", IF(Table1_14[[#This Row],[Appearance Rate]]&lt;0.98, "LOW_RATE", IF(AND(Table1_14[[#This Row],[Appearance Rate]]=1, Table1_14[[#This Row],[Registered]]&lt;100), "SUSPICIOUS_PERFECTION", "NORMAL")))</f>
        <v>NORMAL</v>
      </c>
      <c r="M17" s="4">
        <f>Table1_14[[#This Row],[Registered]]/SUM(Table1_14[Registered])</f>
        <v>4.194557056248293E-2</v>
      </c>
      <c r="N17" t="str">
        <f xml:space="preserve"> IF(OR(Table1_14[[#This Row],[Appearance Rate]]&lt;0, Table1_14[[#This Row],[Appearance Rate]]&gt;1), "FLAG", "OK")</f>
        <v>OK</v>
      </c>
      <c r="O17" t="str">
        <f xml:space="preserve"> IF(Table1_14[[#This Row],[Appeared]]&gt;Table1_14[[#This Row],[Registered]], "FLAG", "OK")</f>
        <v>OK</v>
      </c>
      <c r="P17" t="str">
        <f xml:space="preserve"> IF(OR(ISBLANK(Table1_14[[#This Row],[Registered]]), ISBLANK(Table1_14[[#This Row],[Appeared]]), Table1_14[[#This Row],[Registered]]=0, Table1_14[[#This Row],[Appeared]]=0), "FLAG", "OK")</f>
        <v>OK</v>
      </c>
    </row>
    <row r="18" spans="1:16" x14ac:dyDescent="0.3">
      <c r="A18">
        <v>12</v>
      </c>
      <c r="B18">
        <v>2022</v>
      </c>
      <c r="C18" t="s">
        <v>20</v>
      </c>
      <c r="D18" t="s">
        <v>8</v>
      </c>
      <c r="E18">
        <v>3640</v>
      </c>
      <c r="F18">
        <v>3629</v>
      </c>
      <c r="G18">
        <v>0.99697802197802199</v>
      </c>
      <c r="H18">
        <v>3.0219780219780112E-3</v>
      </c>
      <c r="J18" t="str">
        <f>IF(Table1_14[[#This Row],[Registered]] = 0, "ABSENT", "NON_ZERO")</f>
        <v>NON_ZERO</v>
      </c>
      <c r="K18" t="str">
        <f>IF(Table1_14[[#This Row],[Registered]] = 0, "ABSENT_BASE", IF(Table1_14[[#This Row],[Registered]]&lt;100, "SMALL_BASE", "VALID_BASE"))</f>
        <v>VALID_BASE</v>
      </c>
      <c r="L18" t="str">
        <f>IF(Table1_14[[#This Row],[Registered]]=0, "ABSENT", IF(Table1_14[[#This Row],[Appearance Rate]]&lt;0.98, "LOW_RATE", IF(AND(Table1_14[[#This Row],[Appearance Rate]]=1, Table1_14[[#This Row],[Registered]]&lt;100), "SUSPICIOUS_PERFECTION", "NORMAL")))</f>
        <v>NORMAL</v>
      </c>
      <c r="M18" s="4">
        <f>Table1_14[[#This Row],[Registered]]/SUM(Table1_14[Registered])</f>
        <v>2.5298561248581299E-3</v>
      </c>
      <c r="N18" t="str">
        <f xml:space="preserve"> IF(OR(Table1_14[[#This Row],[Appearance Rate]]&lt;0, Table1_14[[#This Row],[Appearance Rate]]&gt;1), "FLAG", "OK")</f>
        <v>OK</v>
      </c>
      <c r="O18" t="str">
        <f xml:space="preserve"> IF(Table1_14[[#This Row],[Appeared]]&gt;Table1_14[[#This Row],[Registered]], "FLAG", "OK")</f>
        <v>OK</v>
      </c>
      <c r="P18" t="str">
        <f xml:space="preserve"> IF(OR(ISBLANK(Table1_14[[#This Row],[Registered]]), ISBLANK(Table1_14[[#This Row],[Appeared]]), Table1_14[[#This Row],[Registered]]=0, Table1_14[[#This Row],[Appeared]]=0), "FLAG", "OK")</f>
        <v>OK</v>
      </c>
    </row>
    <row r="19" spans="1:16" x14ac:dyDescent="0.3">
      <c r="A19">
        <v>12</v>
      </c>
      <c r="B19">
        <v>2022</v>
      </c>
      <c r="C19" t="s">
        <v>20</v>
      </c>
      <c r="D19" t="s">
        <v>9</v>
      </c>
      <c r="E19">
        <v>7807</v>
      </c>
      <c r="F19">
        <v>7794</v>
      </c>
      <c r="G19">
        <v>0.99833482771871396</v>
      </c>
      <c r="H19">
        <v>1.6651722812860426E-3</v>
      </c>
      <c r="J19" t="str">
        <f>IF(Table1_14[[#This Row],[Registered]] = 0, "ABSENT", "NON_ZERO")</f>
        <v>NON_ZERO</v>
      </c>
      <c r="K19" t="str">
        <f>IF(Table1_14[[#This Row],[Registered]] = 0, "ABSENT_BASE", IF(Table1_14[[#This Row],[Registered]]&lt;100, "SMALL_BASE", "VALID_BASE"))</f>
        <v>VALID_BASE</v>
      </c>
      <c r="L19" t="str">
        <f>IF(Table1_14[[#This Row],[Registered]]=0, "ABSENT", IF(Table1_14[[#This Row],[Appearance Rate]]&lt;0.98, "LOW_RATE", IF(AND(Table1_14[[#This Row],[Appearance Rate]]=1, Table1_14[[#This Row],[Registered]]&lt;100), "SUSPICIOUS_PERFECTION", "NORMAL")))</f>
        <v>NORMAL</v>
      </c>
      <c r="M19" s="4">
        <f>Table1_14[[#This Row],[Registered]]/SUM(Table1_14[Registered])</f>
        <v>5.4259853754855553E-3</v>
      </c>
      <c r="N19" t="str">
        <f xml:space="preserve"> IF(OR(Table1_14[[#This Row],[Appearance Rate]]&lt;0, Table1_14[[#This Row],[Appearance Rate]]&gt;1), "FLAG", "OK")</f>
        <v>OK</v>
      </c>
      <c r="O19" t="str">
        <f xml:space="preserve"> IF(Table1_14[[#This Row],[Appeared]]&gt;Table1_14[[#This Row],[Registered]], "FLAG", "OK")</f>
        <v>OK</v>
      </c>
      <c r="P19" t="str">
        <f xml:space="preserve"> IF(OR(ISBLANK(Table1_14[[#This Row],[Registered]]), ISBLANK(Table1_14[[#This Row],[Appeared]]), Table1_14[[#This Row],[Registered]]=0, Table1_14[[#This Row],[Appeared]]=0), "FLAG", "OK")</f>
        <v>OK</v>
      </c>
    </row>
    <row r="20" spans="1:16" x14ac:dyDescent="0.3">
      <c r="A20">
        <v>12</v>
      </c>
      <c r="B20">
        <v>2022</v>
      </c>
      <c r="C20" t="s">
        <v>13</v>
      </c>
      <c r="D20" t="s">
        <v>4</v>
      </c>
      <c r="E20">
        <v>103</v>
      </c>
      <c r="F20">
        <v>101</v>
      </c>
      <c r="G20">
        <v>0.98058252427184467</v>
      </c>
      <c r="H20">
        <v>1.9417475728155331E-2</v>
      </c>
      <c r="J20" t="str">
        <f>IF(Table1_14[[#This Row],[Registered]] = 0, "ABSENT", "NON_ZERO")</f>
        <v>NON_ZERO</v>
      </c>
      <c r="K20" t="str">
        <f>IF(Table1_14[[#This Row],[Registered]] = 0, "ABSENT_BASE", IF(Table1_14[[#This Row],[Registered]]&lt;100, "SMALL_BASE", "VALID_BASE"))</f>
        <v>VALID_BASE</v>
      </c>
      <c r="L20" t="str">
        <f>IF(Table1_14[[#This Row],[Registered]]=0, "ABSENT", IF(Table1_14[[#This Row],[Appearance Rate]]&lt;0.98, "LOW_RATE", IF(AND(Table1_14[[#This Row],[Appearance Rate]]=1, Table1_14[[#This Row],[Registered]]&lt;100), "SUSPICIOUS_PERFECTION", "NORMAL")))</f>
        <v>NORMAL</v>
      </c>
      <c r="M20" s="4">
        <f>Table1_14[[#This Row],[Registered]]/SUM(Table1_14[Registered])</f>
        <v>7.1586588148458079E-5</v>
      </c>
      <c r="N20" t="str">
        <f xml:space="preserve"> IF(OR(Table1_14[[#This Row],[Appearance Rate]]&lt;0, Table1_14[[#This Row],[Appearance Rate]]&gt;1), "FLAG", "OK")</f>
        <v>OK</v>
      </c>
      <c r="O20" t="str">
        <f xml:space="preserve"> IF(Table1_14[[#This Row],[Appeared]]&gt;Table1_14[[#This Row],[Registered]], "FLAG", "OK")</f>
        <v>OK</v>
      </c>
      <c r="P20" t="str">
        <f xml:space="preserve"> IF(OR(ISBLANK(Table1_14[[#This Row],[Registered]]), ISBLANK(Table1_14[[#This Row],[Appeared]]), Table1_14[[#This Row],[Registered]]=0, Table1_14[[#This Row],[Appeared]]=0), "FLAG", "OK")</f>
        <v>OK</v>
      </c>
    </row>
    <row r="21" spans="1:16" x14ac:dyDescent="0.3">
      <c r="A21">
        <v>12</v>
      </c>
      <c r="B21">
        <v>2022</v>
      </c>
      <c r="C21" t="s">
        <v>13</v>
      </c>
      <c r="D21" t="s">
        <v>5</v>
      </c>
      <c r="E21">
        <v>7746</v>
      </c>
      <c r="F21">
        <v>7688</v>
      </c>
      <c r="G21">
        <v>0.99251226439452622</v>
      </c>
      <c r="H21">
        <v>7.4877356054737776E-3</v>
      </c>
      <c r="J21" t="str">
        <f>IF(Table1_14[[#This Row],[Registered]] = 0, "ABSENT", "NON_ZERO")</f>
        <v>NON_ZERO</v>
      </c>
      <c r="K21" t="str">
        <f>IF(Table1_14[[#This Row],[Registered]] = 0, "ABSENT_BASE", IF(Table1_14[[#This Row],[Registered]]&lt;100, "SMALL_BASE", "VALID_BASE"))</f>
        <v>VALID_BASE</v>
      </c>
      <c r="L21" t="str">
        <f>IF(Table1_14[[#This Row],[Registered]]=0, "ABSENT", IF(Table1_14[[#This Row],[Appearance Rate]]&lt;0.98, "LOW_RATE", IF(AND(Table1_14[[#This Row],[Appearance Rate]]=1, Table1_14[[#This Row],[Registered]]&lt;100), "SUSPICIOUS_PERFECTION", "NORMAL")))</f>
        <v>NORMAL</v>
      </c>
      <c r="M21" s="4">
        <f>Table1_14[[#This Row],[Registered]]/SUM(Table1_14[Registered])</f>
        <v>5.3835894349316136E-3</v>
      </c>
      <c r="N21" t="str">
        <f xml:space="preserve"> IF(OR(Table1_14[[#This Row],[Appearance Rate]]&lt;0, Table1_14[[#This Row],[Appearance Rate]]&gt;1), "FLAG", "OK")</f>
        <v>OK</v>
      </c>
      <c r="O21" t="str">
        <f xml:space="preserve"> IF(Table1_14[[#This Row],[Appeared]]&gt;Table1_14[[#This Row],[Registered]], "FLAG", "OK")</f>
        <v>OK</v>
      </c>
      <c r="P21" t="str">
        <f xml:space="preserve"> IF(OR(ISBLANK(Table1_14[[#This Row],[Registered]]), ISBLANK(Table1_14[[#This Row],[Appeared]]), Table1_14[[#This Row],[Registered]]=0, Table1_14[[#This Row],[Appeared]]=0), "FLAG", "OK")</f>
        <v>OK</v>
      </c>
    </row>
    <row r="22" spans="1:16" x14ac:dyDescent="0.3">
      <c r="A22">
        <v>12</v>
      </c>
      <c r="B22">
        <v>2022</v>
      </c>
      <c r="C22" t="s">
        <v>13</v>
      </c>
      <c r="D22" t="s">
        <v>6</v>
      </c>
      <c r="E22">
        <v>0</v>
      </c>
      <c r="F22">
        <v>0</v>
      </c>
      <c r="I22" t="s">
        <v>35</v>
      </c>
      <c r="J22" t="str">
        <f>IF(Table1_14[[#This Row],[Registered]] = 0, "ABSENT", "NON_ZERO")</f>
        <v>ABSENT</v>
      </c>
      <c r="K22" t="str">
        <f>IF(Table1_14[[#This Row],[Registered]] = 0, "ABSENT_BASE", IF(Table1_14[[#This Row],[Registered]]&lt;100, "SMALL_BASE", "VALID_BASE"))</f>
        <v>ABSENT_BASE</v>
      </c>
      <c r="L22" t="str">
        <f>IF(Table1_14[[#This Row],[Registered]]=0, "ABSENT", IF(Table1_14[[#This Row],[Appearance Rate]]&lt;0.98, "LOW_RATE", IF(AND(Table1_14[[#This Row],[Appearance Rate]]=1, Table1_14[[#This Row],[Registered]]&lt;100), "SUSPICIOUS_PERFECTION", "NORMAL")))</f>
        <v>ABSENT</v>
      </c>
      <c r="M22" s="4">
        <f>Table1_14[[#This Row],[Registered]]/SUM(Table1_14[Registered])</f>
        <v>0</v>
      </c>
      <c r="N22" t="str">
        <f xml:space="preserve"> IF(OR(Table1_14[[#This Row],[Appearance Rate]]&lt;0, Table1_14[[#This Row],[Appearance Rate]]&gt;1), "FLAG", "OK")</f>
        <v>OK</v>
      </c>
      <c r="O22" t="str">
        <f xml:space="preserve"> IF(Table1_14[[#This Row],[Appeared]]&gt;Table1_14[[#This Row],[Registered]], "FLAG", "OK")</f>
        <v>OK</v>
      </c>
      <c r="P22" t="str">
        <f xml:space="preserve"> IF(OR(ISBLANK(Table1_14[[#This Row],[Registered]]), ISBLANK(Table1_14[[#This Row],[Appeared]]), Table1_14[[#This Row],[Registered]]=0, Table1_14[[#This Row],[Appeared]]=0), "FLAG", "OK")</f>
        <v>FLAG</v>
      </c>
    </row>
    <row r="23" spans="1:16" x14ac:dyDescent="0.3">
      <c r="A23">
        <v>12</v>
      </c>
      <c r="B23">
        <v>2022</v>
      </c>
      <c r="C23" t="s">
        <v>13</v>
      </c>
      <c r="D23" t="s">
        <v>7</v>
      </c>
      <c r="E23">
        <v>69835</v>
      </c>
      <c r="F23">
        <v>69506</v>
      </c>
      <c r="G23">
        <v>0.99528889525309661</v>
      </c>
      <c r="H23">
        <v>4.711104746903394E-3</v>
      </c>
      <c r="J23" t="str">
        <f>IF(Table1_14[[#This Row],[Registered]] = 0, "ABSENT", "NON_ZERO")</f>
        <v>NON_ZERO</v>
      </c>
      <c r="K23" t="str">
        <f>IF(Table1_14[[#This Row],[Registered]] = 0, "ABSENT_BASE", IF(Table1_14[[#This Row],[Registered]]&lt;100, "SMALL_BASE", "VALID_BASE"))</f>
        <v>VALID_BASE</v>
      </c>
      <c r="L23" t="str">
        <f>IF(Table1_14[[#This Row],[Registered]]=0, "ABSENT", IF(Table1_14[[#This Row],[Appearance Rate]]&lt;0.98, "LOW_RATE", IF(AND(Table1_14[[#This Row],[Appearance Rate]]=1, Table1_14[[#This Row],[Registered]]&lt;100), "SUSPICIOUS_PERFECTION", "NORMAL")))</f>
        <v>NORMAL</v>
      </c>
      <c r="M23" s="4">
        <f>Table1_14[[#This Row],[Registered]]/SUM(Table1_14[Registered])</f>
        <v>4.8536401780073492E-2</v>
      </c>
      <c r="N23" t="str">
        <f xml:space="preserve"> IF(OR(Table1_14[[#This Row],[Appearance Rate]]&lt;0, Table1_14[[#This Row],[Appearance Rate]]&gt;1), "FLAG", "OK")</f>
        <v>OK</v>
      </c>
      <c r="O23" t="str">
        <f xml:space="preserve"> IF(Table1_14[[#This Row],[Appeared]]&gt;Table1_14[[#This Row],[Registered]], "FLAG", "OK")</f>
        <v>OK</v>
      </c>
      <c r="P23" t="str">
        <f xml:space="preserve"> IF(OR(ISBLANK(Table1_14[[#This Row],[Registered]]), ISBLANK(Table1_14[[#This Row],[Appeared]]), Table1_14[[#This Row],[Registered]]=0, Table1_14[[#This Row],[Appeared]]=0), "FLAG", "OK")</f>
        <v>OK</v>
      </c>
    </row>
    <row r="24" spans="1:16" x14ac:dyDescent="0.3">
      <c r="A24">
        <v>12</v>
      </c>
      <c r="B24">
        <v>2022</v>
      </c>
      <c r="C24" t="s">
        <v>13</v>
      </c>
      <c r="D24" t="s">
        <v>8</v>
      </c>
      <c r="E24">
        <v>3823</v>
      </c>
      <c r="F24">
        <v>3809</v>
      </c>
      <c r="G24">
        <v>0.99633795448600571</v>
      </c>
      <c r="H24">
        <v>3.6620455139942942E-3</v>
      </c>
      <c r="J24" t="str">
        <f>IF(Table1_14[[#This Row],[Registered]] = 0, "ABSENT", "NON_ZERO")</f>
        <v>NON_ZERO</v>
      </c>
      <c r="K24" t="str">
        <f>IF(Table1_14[[#This Row],[Registered]] = 0, "ABSENT_BASE", IF(Table1_14[[#This Row],[Registered]]&lt;100, "SMALL_BASE", "VALID_BASE"))</f>
        <v>VALID_BASE</v>
      </c>
      <c r="L24" t="str">
        <f>IF(Table1_14[[#This Row],[Registered]]=0, "ABSENT", IF(Table1_14[[#This Row],[Appearance Rate]]&lt;0.98, "LOW_RATE", IF(AND(Table1_14[[#This Row],[Appearance Rate]]=1, Table1_14[[#This Row],[Registered]]&lt;100), "SUSPICIOUS_PERFECTION", "NORMAL")))</f>
        <v>NORMAL</v>
      </c>
      <c r="M24" s="4">
        <f>Table1_14[[#This Row],[Registered]]/SUM(Table1_14[Registered])</f>
        <v>2.6570439465199536E-3</v>
      </c>
      <c r="N24" t="str">
        <f xml:space="preserve"> IF(OR(Table1_14[[#This Row],[Appearance Rate]]&lt;0, Table1_14[[#This Row],[Appearance Rate]]&gt;1), "FLAG", "OK")</f>
        <v>OK</v>
      </c>
      <c r="O24" t="str">
        <f xml:space="preserve"> IF(Table1_14[[#This Row],[Appeared]]&gt;Table1_14[[#This Row],[Registered]], "FLAG", "OK")</f>
        <v>OK</v>
      </c>
      <c r="P24" t="str">
        <f xml:space="preserve"> IF(OR(ISBLANK(Table1_14[[#This Row],[Registered]]), ISBLANK(Table1_14[[#This Row],[Appeared]]), Table1_14[[#This Row],[Registered]]=0, Table1_14[[#This Row],[Appeared]]=0), "FLAG", "OK")</f>
        <v>OK</v>
      </c>
    </row>
    <row r="25" spans="1:16" x14ac:dyDescent="0.3">
      <c r="A25">
        <v>12</v>
      </c>
      <c r="B25">
        <v>2022</v>
      </c>
      <c r="C25" t="s">
        <v>13</v>
      </c>
      <c r="D25" t="s">
        <v>9</v>
      </c>
      <c r="E25">
        <v>11465</v>
      </c>
      <c r="F25">
        <v>11431</v>
      </c>
      <c r="G25">
        <v>0.99703445268207591</v>
      </c>
      <c r="H25">
        <v>2.9655473179240888E-3</v>
      </c>
      <c r="J25" t="str">
        <f>IF(Table1_14[[#This Row],[Registered]] = 0, "ABSENT", "NON_ZERO")</f>
        <v>NON_ZERO</v>
      </c>
      <c r="K25" t="str">
        <f>IF(Table1_14[[#This Row],[Registered]] = 0, "ABSENT_BASE", IF(Table1_14[[#This Row],[Registered]]&lt;100, "SMALL_BASE", "VALID_BASE"))</f>
        <v>VALID_BASE</v>
      </c>
      <c r="L25" t="str">
        <f>IF(Table1_14[[#This Row],[Registered]]=0, "ABSENT", IF(Table1_14[[#This Row],[Appearance Rate]]&lt;0.98, "LOW_RATE", IF(AND(Table1_14[[#This Row],[Appearance Rate]]=1, Table1_14[[#This Row],[Registered]]&lt;100), "SUSPICIOUS_PERFECTION", "NORMAL")))</f>
        <v>NORMAL</v>
      </c>
      <c r="M25" s="4">
        <f>Table1_14[[#This Row],[Registered]]/SUM(Table1_14[Registered])</f>
        <v>7.9683517778841931E-3</v>
      </c>
      <c r="N25" t="str">
        <f xml:space="preserve"> IF(OR(Table1_14[[#This Row],[Appearance Rate]]&lt;0, Table1_14[[#This Row],[Appearance Rate]]&gt;1), "FLAG", "OK")</f>
        <v>OK</v>
      </c>
      <c r="O25" t="str">
        <f xml:space="preserve"> IF(Table1_14[[#This Row],[Appeared]]&gt;Table1_14[[#This Row],[Registered]], "FLAG", "OK")</f>
        <v>OK</v>
      </c>
      <c r="P25" t="str">
        <f xml:space="preserve"> IF(OR(ISBLANK(Table1_14[[#This Row],[Registered]]), ISBLANK(Table1_14[[#This Row],[Appeared]]), Table1_14[[#This Row],[Registered]]=0, Table1_14[[#This Row],[Appeared]]=0), "FLAG", "OK")</f>
        <v>OK</v>
      </c>
    </row>
    <row r="26" spans="1:16" x14ac:dyDescent="0.3">
      <c r="A26">
        <v>12</v>
      </c>
      <c r="B26">
        <v>2022</v>
      </c>
      <c r="C26" t="s">
        <v>14</v>
      </c>
      <c r="D26" t="s">
        <v>4</v>
      </c>
      <c r="E26">
        <v>0</v>
      </c>
      <c r="F26">
        <v>0</v>
      </c>
      <c r="I26" t="s">
        <v>35</v>
      </c>
      <c r="J26" t="str">
        <f>IF(Table1_14[[#This Row],[Registered]] = 0, "ABSENT", "NON_ZERO")</f>
        <v>ABSENT</v>
      </c>
      <c r="K26" t="str">
        <f>IF(Table1_14[[#This Row],[Registered]] = 0, "ABSENT_BASE", IF(Table1_14[[#This Row],[Registered]]&lt;100, "SMALL_BASE", "VALID_BASE"))</f>
        <v>ABSENT_BASE</v>
      </c>
      <c r="L26" t="str">
        <f>IF(Table1_14[[#This Row],[Registered]]=0, "ABSENT", IF(Table1_14[[#This Row],[Appearance Rate]]&lt;0.98, "LOW_RATE", IF(AND(Table1_14[[#This Row],[Appearance Rate]]=1, Table1_14[[#This Row],[Registered]]&lt;100), "SUSPICIOUS_PERFECTION", "NORMAL")))</f>
        <v>ABSENT</v>
      </c>
      <c r="M26" s="4">
        <f>Table1_14[[#This Row],[Registered]]/SUM(Table1_14[Registered])</f>
        <v>0</v>
      </c>
      <c r="N26" t="str">
        <f xml:space="preserve"> IF(OR(Table1_14[[#This Row],[Appearance Rate]]&lt;0, Table1_14[[#This Row],[Appearance Rate]]&gt;1), "FLAG", "OK")</f>
        <v>OK</v>
      </c>
      <c r="O26" t="str">
        <f xml:space="preserve"> IF(Table1_14[[#This Row],[Appeared]]&gt;Table1_14[[#This Row],[Registered]], "FLAG", "OK")</f>
        <v>OK</v>
      </c>
      <c r="P26" t="str">
        <f xml:space="preserve"> IF(OR(ISBLANK(Table1_14[[#This Row],[Registered]]), ISBLANK(Table1_14[[#This Row],[Appeared]]), Table1_14[[#This Row],[Registered]]=0, Table1_14[[#This Row],[Appeared]]=0), "FLAG", "OK")</f>
        <v>FLAG</v>
      </c>
    </row>
    <row r="27" spans="1:16" x14ac:dyDescent="0.3">
      <c r="A27">
        <v>12</v>
      </c>
      <c r="B27">
        <v>2022</v>
      </c>
      <c r="C27" t="s">
        <v>14</v>
      </c>
      <c r="D27" t="s">
        <v>5</v>
      </c>
      <c r="E27">
        <v>13060</v>
      </c>
      <c r="F27">
        <v>13025</v>
      </c>
      <c r="G27">
        <v>0.99732006125574268</v>
      </c>
      <c r="H27">
        <v>2.6799387442573153E-3</v>
      </c>
      <c r="J27" t="str">
        <f>IF(Table1_14[[#This Row],[Registered]] = 0, "ABSENT", "NON_ZERO")</f>
        <v>NON_ZERO</v>
      </c>
      <c r="K27" t="str">
        <f>IF(Table1_14[[#This Row],[Registered]] = 0, "ABSENT_BASE", IF(Table1_14[[#This Row],[Registered]]&lt;100, "SMALL_BASE", "VALID_BASE"))</f>
        <v>VALID_BASE</v>
      </c>
      <c r="L27" t="str">
        <f>IF(Table1_14[[#This Row],[Registered]]=0, "ABSENT", IF(Table1_14[[#This Row],[Appearance Rate]]&lt;0.98, "LOW_RATE", IF(AND(Table1_14[[#This Row],[Appearance Rate]]=1, Table1_14[[#This Row],[Registered]]&lt;100), "SUSPICIOUS_PERFECTION", "NORMAL")))</f>
        <v>NORMAL</v>
      </c>
      <c r="M27" s="4">
        <f>Table1_14[[#This Row],[Registered]]/SUM(Table1_14[Registered])</f>
        <v>9.0769013710569162E-3</v>
      </c>
      <c r="N27" t="str">
        <f xml:space="preserve"> IF(OR(Table1_14[[#This Row],[Appearance Rate]]&lt;0, Table1_14[[#This Row],[Appearance Rate]]&gt;1), "FLAG", "OK")</f>
        <v>OK</v>
      </c>
      <c r="O27" t="str">
        <f xml:space="preserve"> IF(Table1_14[[#This Row],[Appeared]]&gt;Table1_14[[#This Row],[Registered]], "FLAG", "OK")</f>
        <v>OK</v>
      </c>
      <c r="P27" t="str">
        <f xml:space="preserve"> IF(OR(ISBLANK(Table1_14[[#This Row],[Registered]]), ISBLANK(Table1_14[[#This Row],[Appeared]]), Table1_14[[#This Row],[Registered]]=0, Table1_14[[#This Row],[Appeared]]=0), "FLAG", "OK")</f>
        <v>OK</v>
      </c>
    </row>
    <row r="28" spans="1:16" x14ac:dyDescent="0.3">
      <c r="A28">
        <v>12</v>
      </c>
      <c r="B28">
        <v>2022</v>
      </c>
      <c r="C28" t="s">
        <v>14</v>
      </c>
      <c r="D28" t="s">
        <v>6</v>
      </c>
      <c r="E28">
        <v>55</v>
      </c>
      <c r="F28">
        <v>55</v>
      </c>
      <c r="G28">
        <v>1</v>
      </c>
      <c r="H28">
        <v>0</v>
      </c>
      <c r="J28" t="str">
        <f>IF(Table1_14[[#This Row],[Registered]] = 0, "ABSENT", "NON_ZERO")</f>
        <v>NON_ZERO</v>
      </c>
      <c r="K28" t="str">
        <f>IF(Table1_14[[#This Row],[Registered]] = 0, "ABSENT_BASE", IF(Table1_14[[#This Row],[Registered]]&lt;100, "SMALL_BASE", "VALID_BASE"))</f>
        <v>SMALL_BASE</v>
      </c>
      <c r="L28" t="str">
        <f>IF(Table1_14[[#This Row],[Registered]]=0, "ABSENT", IF(Table1_14[[#This Row],[Appearance Rate]]&lt;0.98, "LOW_RATE", IF(AND(Table1_14[[#This Row],[Appearance Rate]]=1, Table1_14[[#This Row],[Registered]]&lt;100), "SUSPICIOUS_PERFECTION", "NORMAL")))</f>
        <v>SUSPICIOUS_PERFECTION</v>
      </c>
      <c r="M28" s="4">
        <f>Table1_14[[#This Row],[Registered]]/SUM(Table1_14[Registered])</f>
        <v>3.8225848040438776E-5</v>
      </c>
      <c r="N28" t="str">
        <f xml:space="preserve"> IF(OR(Table1_14[[#This Row],[Appearance Rate]]&lt;0, Table1_14[[#This Row],[Appearance Rate]]&gt;1), "FLAG", "OK")</f>
        <v>OK</v>
      </c>
      <c r="O28" t="str">
        <f xml:space="preserve"> IF(Table1_14[[#This Row],[Appeared]]&gt;Table1_14[[#This Row],[Registered]], "FLAG", "OK")</f>
        <v>OK</v>
      </c>
      <c r="P28" t="str">
        <f xml:space="preserve"> IF(OR(ISBLANK(Table1_14[[#This Row],[Registered]]), ISBLANK(Table1_14[[#This Row],[Appeared]]), Table1_14[[#This Row],[Registered]]=0, Table1_14[[#This Row],[Appeared]]=0), "FLAG", "OK")</f>
        <v>OK</v>
      </c>
    </row>
    <row r="29" spans="1:16" x14ac:dyDescent="0.3">
      <c r="A29">
        <v>12</v>
      </c>
      <c r="B29">
        <v>2022</v>
      </c>
      <c r="C29" t="s">
        <v>14</v>
      </c>
      <c r="D29" t="s">
        <v>7</v>
      </c>
      <c r="E29">
        <v>89637</v>
      </c>
      <c r="F29">
        <v>89317</v>
      </c>
      <c r="G29">
        <v>0.99643004562847937</v>
      </c>
      <c r="H29">
        <v>3.5699543715206339E-3</v>
      </c>
      <c r="J29" t="str">
        <f>IF(Table1_14[[#This Row],[Registered]] = 0, "ABSENT", "NON_ZERO")</f>
        <v>NON_ZERO</v>
      </c>
      <c r="K29" t="str">
        <f>IF(Table1_14[[#This Row],[Registered]] = 0, "ABSENT_BASE", IF(Table1_14[[#This Row],[Registered]]&lt;100, "SMALL_BASE", "VALID_BASE"))</f>
        <v>VALID_BASE</v>
      </c>
      <c r="L29" t="str">
        <f>IF(Table1_14[[#This Row],[Registered]]=0, "ABSENT", IF(Table1_14[[#This Row],[Appearance Rate]]&lt;0.98, "LOW_RATE", IF(AND(Table1_14[[#This Row],[Appearance Rate]]=1, Table1_14[[#This Row],[Registered]]&lt;100), "SUSPICIOUS_PERFECTION", "NORMAL")))</f>
        <v>NORMAL</v>
      </c>
      <c r="M29" s="4">
        <f>Table1_14[[#This Row],[Registered]]/SUM(Table1_14[Registered])</f>
        <v>6.2299097105469284E-2</v>
      </c>
      <c r="N29" t="str">
        <f xml:space="preserve"> IF(OR(Table1_14[[#This Row],[Appearance Rate]]&lt;0, Table1_14[[#This Row],[Appearance Rate]]&gt;1), "FLAG", "OK")</f>
        <v>OK</v>
      </c>
      <c r="O29" t="str">
        <f xml:space="preserve"> IF(Table1_14[[#This Row],[Appeared]]&gt;Table1_14[[#This Row],[Registered]], "FLAG", "OK")</f>
        <v>OK</v>
      </c>
      <c r="P29" t="str">
        <f xml:space="preserve"> IF(OR(ISBLANK(Table1_14[[#This Row],[Registered]]), ISBLANK(Table1_14[[#This Row],[Appeared]]), Table1_14[[#This Row],[Registered]]=0, Table1_14[[#This Row],[Appeared]]=0), "FLAG", "OK")</f>
        <v>OK</v>
      </c>
    </row>
    <row r="30" spans="1:16" x14ac:dyDescent="0.3">
      <c r="A30">
        <v>12</v>
      </c>
      <c r="B30">
        <v>2022</v>
      </c>
      <c r="C30" t="s">
        <v>14</v>
      </c>
      <c r="D30" t="s">
        <v>8</v>
      </c>
      <c r="E30">
        <v>2549</v>
      </c>
      <c r="F30">
        <v>2537</v>
      </c>
      <c r="G30">
        <v>0.99529227147901134</v>
      </c>
      <c r="H30">
        <v>4.7077285209886632E-3</v>
      </c>
      <c r="J30" t="str">
        <f>IF(Table1_14[[#This Row],[Registered]] = 0, "ABSENT", "NON_ZERO")</f>
        <v>NON_ZERO</v>
      </c>
      <c r="K30" t="str">
        <f>IF(Table1_14[[#This Row],[Registered]] = 0, "ABSENT_BASE", IF(Table1_14[[#This Row],[Registered]]&lt;100, "SMALL_BASE", "VALID_BASE"))</f>
        <v>VALID_BASE</v>
      </c>
      <c r="L30" t="str">
        <f>IF(Table1_14[[#This Row],[Registered]]=0, "ABSENT", IF(Table1_14[[#This Row],[Appearance Rate]]&lt;0.98, "LOW_RATE", IF(AND(Table1_14[[#This Row],[Appearance Rate]]=1, Table1_14[[#This Row],[Registered]]&lt;100), "SUSPICIOUS_PERFECTION", "NORMAL")))</f>
        <v>NORMAL</v>
      </c>
      <c r="M30" s="4">
        <f>Table1_14[[#This Row],[Registered]]/SUM(Table1_14[Registered])</f>
        <v>1.771594302819608E-3</v>
      </c>
      <c r="N30" t="str">
        <f xml:space="preserve"> IF(OR(Table1_14[[#This Row],[Appearance Rate]]&lt;0, Table1_14[[#This Row],[Appearance Rate]]&gt;1), "FLAG", "OK")</f>
        <v>OK</v>
      </c>
      <c r="O30" t="str">
        <f xml:space="preserve"> IF(Table1_14[[#This Row],[Appeared]]&gt;Table1_14[[#This Row],[Registered]], "FLAG", "OK")</f>
        <v>OK</v>
      </c>
      <c r="P30" t="str">
        <f xml:space="preserve"> IF(OR(ISBLANK(Table1_14[[#This Row],[Registered]]), ISBLANK(Table1_14[[#This Row],[Appeared]]), Table1_14[[#This Row],[Registered]]=0, Table1_14[[#This Row],[Appeared]]=0), "FLAG", "OK")</f>
        <v>OK</v>
      </c>
    </row>
    <row r="31" spans="1:16" x14ac:dyDescent="0.3">
      <c r="A31">
        <v>12</v>
      </c>
      <c r="B31">
        <v>2022</v>
      </c>
      <c r="C31" t="s">
        <v>14</v>
      </c>
      <c r="D31" t="s">
        <v>9</v>
      </c>
      <c r="E31">
        <v>5861</v>
      </c>
      <c r="F31">
        <v>5844</v>
      </c>
      <c r="G31">
        <v>0.99709947108002051</v>
      </c>
      <c r="H31">
        <v>2.9005289199794948E-3</v>
      </c>
      <c r="J31" t="str">
        <f>IF(Table1_14[[#This Row],[Registered]] = 0, "ABSENT", "NON_ZERO")</f>
        <v>NON_ZERO</v>
      </c>
      <c r="K31" t="str">
        <f>IF(Table1_14[[#This Row],[Registered]] = 0, "ABSENT_BASE", IF(Table1_14[[#This Row],[Registered]]&lt;100, "SMALL_BASE", "VALID_BASE"))</f>
        <v>VALID_BASE</v>
      </c>
      <c r="L31" t="str">
        <f>IF(Table1_14[[#This Row],[Registered]]=0, "ABSENT", IF(Table1_14[[#This Row],[Appearance Rate]]&lt;0.98, "LOW_RATE", IF(AND(Table1_14[[#This Row],[Appearance Rate]]=1, Table1_14[[#This Row],[Registered]]&lt;100), "SUSPICIOUS_PERFECTION", "NORMAL")))</f>
        <v>NORMAL</v>
      </c>
      <c r="M31" s="4">
        <f>Table1_14[[#This Row],[Registered]]/SUM(Table1_14[Registered])</f>
        <v>4.0734853702729399E-3</v>
      </c>
      <c r="N31" t="str">
        <f xml:space="preserve"> IF(OR(Table1_14[[#This Row],[Appearance Rate]]&lt;0, Table1_14[[#This Row],[Appearance Rate]]&gt;1), "FLAG", "OK")</f>
        <v>OK</v>
      </c>
      <c r="O31" t="str">
        <f xml:space="preserve"> IF(Table1_14[[#This Row],[Appeared]]&gt;Table1_14[[#This Row],[Registered]], "FLAG", "OK")</f>
        <v>OK</v>
      </c>
      <c r="P31" t="str">
        <f xml:space="preserve"> IF(OR(ISBLANK(Table1_14[[#This Row],[Registered]]), ISBLANK(Table1_14[[#This Row],[Appeared]]), Table1_14[[#This Row],[Registered]]=0, Table1_14[[#This Row],[Appeared]]=0), "FLAG", "OK")</f>
        <v>OK</v>
      </c>
    </row>
    <row r="32" spans="1:16" x14ac:dyDescent="0.3">
      <c r="A32">
        <v>12</v>
      </c>
      <c r="B32">
        <v>2022</v>
      </c>
      <c r="C32" t="s">
        <v>21</v>
      </c>
      <c r="D32" t="s">
        <v>4</v>
      </c>
      <c r="E32">
        <v>0</v>
      </c>
      <c r="F32">
        <v>0</v>
      </c>
      <c r="I32" t="s">
        <v>35</v>
      </c>
      <c r="J32" t="str">
        <f>IF(Table1_14[[#This Row],[Registered]] = 0, "ABSENT", "NON_ZERO")</f>
        <v>ABSENT</v>
      </c>
      <c r="K32" t="str">
        <f>IF(Table1_14[[#This Row],[Registered]] = 0, "ABSENT_BASE", IF(Table1_14[[#This Row],[Registered]]&lt;100, "SMALL_BASE", "VALID_BASE"))</f>
        <v>ABSENT_BASE</v>
      </c>
      <c r="L32" t="str">
        <f>IF(Table1_14[[#This Row],[Registered]]=0, "ABSENT", IF(Table1_14[[#This Row],[Appearance Rate]]&lt;0.98, "LOW_RATE", IF(AND(Table1_14[[#This Row],[Appearance Rate]]=1, Table1_14[[#This Row],[Registered]]&lt;100), "SUSPICIOUS_PERFECTION", "NORMAL")))</f>
        <v>ABSENT</v>
      </c>
      <c r="M32" s="4">
        <f>Table1_14[[#This Row],[Registered]]/SUM(Table1_14[Registered])</f>
        <v>0</v>
      </c>
      <c r="N32" t="str">
        <f xml:space="preserve"> IF(OR(Table1_14[[#This Row],[Appearance Rate]]&lt;0, Table1_14[[#This Row],[Appearance Rate]]&gt;1), "FLAG", "OK")</f>
        <v>OK</v>
      </c>
      <c r="O32" t="str">
        <f xml:space="preserve"> IF(Table1_14[[#This Row],[Appeared]]&gt;Table1_14[[#This Row],[Registered]], "FLAG", "OK")</f>
        <v>OK</v>
      </c>
      <c r="P32" t="str">
        <f xml:space="preserve"> IF(OR(ISBLANK(Table1_14[[#This Row],[Registered]]), ISBLANK(Table1_14[[#This Row],[Appeared]]), Table1_14[[#This Row],[Registered]]=0, Table1_14[[#This Row],[Appeared]]=0), "FLAG", "OK")</f>
        <v>FLAG</v>
      </c>
    </row>
    <row r="33" spans="1:16" x14ac:dyDescent="0.3">
      <c r="A33">
        <v>12</v>
      </c>
      <c r="B33">
        <v>2022</v>
      </c>
      <c r="C33" t="s">
        <v>21</v>
      </c>
      <c r="D33" t="s">
        <v>5</v>
      </c>
      <c r="E33">
        <v>3565</v>
      </c>
      <c r="F33">
        <v>3552</v>
      </c>
      <c r="G33">
        <v>0.99635343618513328</v>
      </c>
      <c r="H33">
        <v>3.6465638148667212E-3</v>
      </c>
      <c r="J33" t="str">
        <f>IF(Table1_14[[#This Row],[Registered]] = 0, "ABSENT", "NON_ZERO")</f>
        <v>NON_ZERO</v>
      </c>
      <c r="K33" t="str">
        <f>IF(Table1_14[[#This Row],[Registered]] = 0, "ABSENT_BASE", IF(Table1_14[[#This Row],[Registered]]&lt;100, "SMALL_BASE", "VALID_BASE"))</f>
        <v>VALID_BASE</v>
      </c>
      <c r="L33" t="str">
        <f>IF(Table1_14[[#This Row],[Registered]]=0, "ABSENT", IF(Table1_14[[#This Row],[Appearance Rate]]&lt;0.98, "LOW_RATE", IF(AND(Table1_14[[#This Row],[Appearance Rate]]=1, Table1_14[[#This Row],[Registered]]&lt;100), "SUSPICIOUS_PERFECTION", "NORMAL")))</f>
        <v>NORMAL</v>
      </c>
      <c r="M33" s="4">
        <f>Table1_14[[#This Row],[Registered]]/SUM(Table1_14[Registered])</f>
        <v>2.4777299684393497E-3</v>
      </c>
      <c r="N33" t="str">
        <f xml:space="preserve"> IF(OR(Table1_14[[#This Row],[Appearance Rate]]&lt;0, Table1_14[[#This Row],[Appearance Rate]]&gt;1), "FLAG", "OK")</f>
        <v>OK</v>
      </c>
      <c r="O33" t="str">
        <f xml:space="preserve"> IF(Table1_14[[#This Row],[Appeared]]&gt;Table1_14[[#This Row],[Registered]], "FLAG", "OK")</f>
        <v>OK</v>
      </c>
      <c r="P33" t="str">
        <f xml:space="preserve"> IF(OR(ISBLANK(Table1_14[[#This Row],[Registered]]), ISBLANK(Table1_14[[#This Row],[Appeared]]), Table1_14[[#This Row],[Registered]]=0, Table1_14[[#This Row],[Appeared]]=0), "FLAG", "OK")</f>
        <v>OK</v>
      </c>
    </row>
    <row r="34" spans="1:16" x14ac:dyDescent="0.3">
      <c r="A34">
        <v>12</v>
      </c>
      <c r="B34">
        <v>2022</v>
      </c>
      <c r="C34" t="s">
        <v>21</v>
      </c>
      <c r="D34" t="s">
        <v>6</v>
      </c>
      <c r="E34">
        <v>0</v>
      </c>
      <c r="F34">
        <v>0</v>
      </c>
      <c r="I34" t="s">
        <v>35</v>
      </c>
      <c r="J34" t="str">
        <f>IF(Table1_14[[#This Row],[Registered]] = 0, "ABSENT", "NON_ZERO")</f>
        <v>ABSENT</v>
      </c>
      <c r="K34" t="str">
        <f>IF(Table1_14[[#This Row],[Registered]] = 0, "ABSENT_BASE", IF(Table1_14[[#This Row],[Registered]]&lt;100, "SMALL_BASE", "VALID_BASE"))</f>
        <v>ABSENT_BASE</v>
      </c>
      <c r="L34" t="str">
        <f>IF(Table1_14[[#This Row],[Registered]]=0, "ABSENT", IF(Table1_14[[#This Row],[Appearance Rate]]&lt;0.98, "LOW_RATE", IF(AND(Table1_14[[#This Row],[Appearance Rate]]=1, Table1_14[[#This Row],[Registered]]&lt;100), "SUSPICIOUS_PERFECTION", "NORMAL")))</f>
        <v>ABSENT</v>
      </c>
      <c r="M34" s="4">
        <f>Table1_14[[#This Row],[Registered]]/SUM(Table1_14[Registered])</f>
        <v>0</v>
      </c>
      <c r="N34" t="str">
        <f xml:space="preserve"> IF(OR(Table1_14[[#This Row],[Appearance Rate]]&lt;0, Table1_14[[#This Row],[Appearance Rate]]&gt;1), "FLAG", "OK")</f>
        <v>OK</v>
      </c>
      <c r="O34" t="str">
        <f xml:space="preserve"> IF(Table1_14[[#This Row],[Appeared]]&gt;Table1_14[[#This Row],[Registered]], "FLAG", "OK")</f>
        <v>OK</v>
      </c>
      <c r="P34" t="str">
        <f xml:space="preserve"> IF(OR(ISBLANK(Table1_14[[#This Row],[Registered]]), ISBLANK(Table1_14[[#This Row],[Appeared]]), Table1_14[[#This Row],[Registered]]=0, Table1_14[[#This Row],[Appeared]]=0), "FLAG", "OK")</f>
        <v>FLAG</v>
      </c>
    </row>
    <row r="35" spans="1:16" x14ac:dyDescent="0.3">
      <c r="A35">
        <v>12</v>
      </c>
      <c r="B35">
        <v>2022</v>
      </c>
      <c r="C35" t="s">
        <v>21</v>
      </c>
      <c r="D35" t="s">
        <v>7</v>
      </c>
      <c r="E35">
        <v>67799</v>
      </c>
      <c r="F35">
        <v>67700</v>
      </c>
      <c r="G35">
        <v>0.99853980147199817</v>
      </c>
      <c r="H35">
        <v>1.4601985280018326E-3</v>
      </c>
      <c r="J35" t="str">
        <f>IF(Table1_14[[#This Row],[Registered]] = 0, "ABSENT", "NON_ZERO")</f>
        <v>NON_ZERO</v>
      </c>
      <c r="K35" t="str">
        <f>IF(Table1_14[[#This Row],[Registered]] = 0, "ABSENT_BASE", IF(Table1_14[[#This Row],[Registered]]&lt;100, "SMALL_BASE", "VALID_BASE"))</f>
        <v>VALID_BASE</v>
      </c>
      <c r="L35" t="str">
        <f>IF(Table1_14[[#This Row],[Registered]]=0, "ABSENT", IF(Table1_14[[#This Row],[Appearance Rate]]&lt;0.98, "LOW_RATE", IF(AND(Table1_14[[#This Row],[Appearance Rate]]=1, Table1_14[[#This Row],[Registered]]&lt;100), "SUSPICIOUS_PERFECTION", "NORMAL")))</f>
        <v>NORMAL</v>
      </c>
      <c r="M35" s="4">
        <f>Table1_14[[#This Row],[Registered]]/SUM(Table1_14[Registered])</f>
        <v>4.7121350387158339E-2</v>
      </c>
      <c r="N35" t="str">
        <f xml:space="preserve"> IF(OR(Table1_14[[#This Row],[Appearance Rate]]&lt;0, Table1_14[[#This Row],[Appearance Rate]]&gt;1), "FLAG", "OK")</f>
        <v>OK</v>
      </c>
      <c r="O35" t="str">
        <f xml:space="preserve"> IF(Table1_14[[#This Row],[Appeared]]&gt;Table1_14[[#This Row],[Registered]], "FLAG", "OK")</f>
        <v>OK</v>
      </c>
      <c r="P35" t="str">
        <f xml:space="preserve"> IF(OR(ISBLANK(Table1_14[[#This Row],[Registered]]), ISBLANK(Table1_14[[#This Row],[Appeared]]), Table1_14[[#This Row],[Registered]]=0, Table1_14[[#This Row],[Appeared]]=0), "FLAG", "OK")</f>
        <v>OK</v>
      </c>
    </row>
    <row r="36" spans="1:16" x14ac:dyDescent="0.3">
      <c r="A36">
        <v>12</v>
      </c>
      <c r="B36">
        <v>2022</v>
      </c>
      <c r="C36" t="s">
        <v>21</v>
      </c>
      <c r="D36" t="s">
        <v>8</v>
      </c>
      <c r="E36">
        <v>1646</v>
      </c>
      <c r="F36">
        <v>1642</v>
      </c>
      <c r="G36">
        <v>0.99756986634264888</v>
      </c>
      <c r="H36">
        <v>2.430133657351119E-3</v>
      </c>
      <c r="J36" t="str">
        <f>IF(Table1_14[[#This Row],[Registered]] = 0, "ABSENT", "NON_ZERO")</f>
        <v>NON_ZERO</v>
      </c>
      <c r="K36" t="str">
        <f>IF(Table1_14[[#This Row],[Registered]] = 0, "ABSENT_BASE", IF(Table1_14[[#This Row],[Registered]]&lt;100, "SMALL_BASE", "VALID_BASE"))</f>
        <v>VALID_BASE</v>
      </c>
      <c r="L36" t="str">
        <f>IF(Table1_14[[#This Row],[Registered]]=0, "ABSENT", IF(Table1_14[[#This Row],[Appearance Rate]]&lt;0.98, "LOW_RATE", IF(AND(Table1_14[[#This Row],[Appearance Rate]]=1, Table1_14[[#This Row],[Registered]]&lt;100), "SUSPICIOUS_PERFECTION", "NORMAL")))</f>
        <v>NORMAL</v>
      </c>
      <c r="M36" s="4">
        <f>Table1_14[[#This Row],[Registered]]/SUM(Table1_14[Registered])</f>
        <v>1.143995379537495E-3</v>
      </c>
      <c r="N36" t="str">
        <f xml:space="preserve"> IF(OR(Table1_14[[#This Row],[Appearance Rate]]&lt;0, Table1_14[[#This Row],[Appearance Rate]]&gt;1), "FLAG", "OK")</f>
        <v>OK</v>
      </c>
      <c r="O36" t="str">
        <f xml:space="preserve"> IF(Table1_14[[#This Row],[Appeared]]&gt;Table1_14[[#This Row],[Registered]], "FLAG", "OK")</f>
        <v>OK</v>
      </c>
      <c r="P36" t="str">
        <f xml:space="preserve"> IF(OR(ISBLANK(Table1_14[[#This Row],[Registered]]), ISBLANK(Table1_14[[#This Row],[Appeared]]), Table1_14[[#This Row],[Registered]]=0, Table1_14[[#This Row],[Appeared]]=0), "FLAG", "OK")</f>
        <v>OK</v>
      </c>
    </row>
    <row r="37" spans="1:16" x14ac:dyDescent="0.3">
      <c r="A37">
        <v>12</v>
      </c>
      <c r="B37">
        <v>2022</v>
      </c>
      <c r="C37" t="s">
        <v>21</v>
      </c>
      <c r="D37" t="s">
        <v>9</v>
      </c>
      <c r="E37">
        <v>6713</v>
      </c>
      <c r="F37">
        <v>6701</v>
      </c>
      <c r="G37">
        <v>0.99821242365559359</v>
      </c>
      <c r="H37">
        <v>1.7875763444064052E-3</v>
      </c>
      <c r="J37" t="str">
        <f>IF(Table1_14[[#This Row],[Registered]] = 0, "ABSENT", "NON_ZERO")</f>
        <v>NON_ZERO</v>
      </c>
      <c r="K37" t="str">
        <f>IF(Table1_14[[#This Row],[Registered]] = 0, "ABSENT_BASE", IF(Table1_14[[#This Row],[Registered]]&lt;100, "SMALL_BASE", "VALID_BASE"))</f>
        <v>VALID_BASE</v>
      </c>
      <c r="L37" t="str">
        <f>IF(Table1_14[[#This Row],[Registered]]=0, "ABSENT", IF(Table1_14[[#This Row],[Appearance Rate]]&lt;0.98, "LOW_RATE", IF(AND(Table1_14[[#This Row],[Appearance Rate]]=1, Table1_14[[#This Row],[Registered]]&lt;100), "SUSPICIOUS_PERFECTION", "NORMAL")))</f>
        <v>NORMAL</v>
      </c>
      <c r="M37" s="4">
        <f>Table1_14[[#This Row],[Registered]]/SUM(Table1_14[Registered])</f>
        <v>4.6656385071902817E-3</v>
      </c>
      <c r="N37" t="str">
        <f xml:space="preserve"> IF(OR(Table1_14[[#This Row],[Appearance Rate]]&lt;0, Table1_14[[#This Row],[Appearance Rate]]&gt;1), "FLAG", "OK")</f>
        <v>OK</v>
      </c>
      <c r="O37" t="str">
        <f xml:space="preserve"> IF(Table1_14[[#This Row],[Appeared]]&gt;Table1_14[[#This Row],[Registered]], "FLAG", "OK")</f>
        <v>OK</v>
      </c>
      <c r="P37" t="str">
        <f xml:space="preserve"> IF(OR(ISBLANK(Table1_14[[#This Row],[Registered]]), ISBLANK(Table1_14[[#This Row],[Appeared]]), Table1_14[[#This Row],[Registered]]=0, Table1_14[[#This Row],[Appeared]]=0), "FLAG", "OK")</f>
        <v>OK</v>
      </c>
    </row>
    <row r="38" spans="1:16" x14ac:dyDescent="0.3">
      <c r="A38">
        <v>12</v>
      </c>
      <c r="B38">
        <v>2022</v>
      </c>
      <c r="C38" t="s">
        <v>26</v>
      </c>
      <c r="D38" t="s">
        <v>4</v>
      </c>
      <c r="E38">
        <v>164</v>
      </c>
      <c r="F38">
        <v>162</v>
      </c>
      <c r="G38">
        <v>0.98780487804878048</v>
      </c>
      <c r="H38">
        <v>1.2195121951219523E-2</v>
      </c>
      <c r="J38" t="str">
        <f>IF(Table1_14[[#This Row],[Registered]] = 0, "ABSENT", "NON_ZERO")</f>
        <v>NON_ZERO</v>
      </c>
      <c r="K38" t="str">
        <f>IF(Table1_14[[#This Row],[Registered]] = 0, "ABSENT_BASE", IF(Table1_14[[#This Row],[Registered]]&lt;100, "SMALL_BASE", "VALID_BASE"))</f>
        <v>VALID_BASE</v>
      </c>
      <c r="L38" t="str">
        <f>IF(Table1_14[[#This Row],[Registered]]=0, "ABSENT", IF(Table1_14[[#This Row],[Appearance Rate]]&lt;0.98, "LOW_RATE", IF(AND(Table1_14[[#This Row],[Appearance Rate]]=1, Table1_14[[#This Row],[Registered]]&lt;100), "SUSPICIOUS_PERFECTION", "NORMAL")))</f>
        <v>NORMAL</v>
      </c>
      <c r="M38" s="4">
        <f>Table1_14[[#This Row],[Registered]]/SUM(Table1_14[Registered])</f>
        <v>1.1398252870239926E-4</v>
      </c>
      <c r="N38" t="str">
        <f xml:space="preserve"> IF(OR(Table1_14[[#This Row],[Appearance Rate]]&lt;0, Table1_14[[#This Row],[Appearance Rate]]&gt;1), "FLAG", "OK")</f>
        <v>OK</v>
      </c>
      <c r="O38" t="str">
        <f xml:space="preserve"> IF(Table1_14[[#This Row],[Appeared]]&gt;Table1_14[[#This Row],[Registered]], "FLAG", "OK")</f>
        <v>OK</v>
      </c>
      <c r="P38" t="str">
        <f xml:space="preserve"> IF(OR(ISBLANK(Table1_14[[#This Row],[Registered]]), ISBLANK(Table1_14[[#This Row],[Appeared]]), Table1_14[[#This Row],[Registered]]=0, Table1_14[[#This Row],[Appeared]]=0), "FLAG", "OK")</f>
        <v>OK</v>
      </c>
    </row>
    <row r="39" spans="1:16" x14ac:dyDescent="0.3">
      <c r="A39">
        <v>12</v>
      </c>
      <c r="B39">
        <v>2022</v>
      </c>
      <c r="C39" t="s">
        <v>26</v>
      </c>
      <c r="D39" t="s">
        <v>5</v>
      </c>
      <c r="E39">
        <v>1555</v>
      </c>
      <c r="F39">
        <v>1552</v>
      </c>
      <c r="G39">
        <v>0.99807073954983927</v>
      </c>
      <c r="H39">
        <v>1.9292604501607302E-3</v>
      </c>
      <c r="J39" t="str">
        <f>IF(Table1_14[[#This Row],[Registered]] = 0, "ABSENT", "NON_ZERO")</f>
        <v>NON_ZERO</v>
      </c>
      <c r="K39" t="str">
        <f>IF(Table1_14[[#This Row],[Registered]] = 0, "ABSENT_BASE", IF(Table1_14[[#This Row],[Registered]]&lt;100, "SMALL_BASE", "VALID_BASE"))</f>
        <v>VALID_BASE</v>
      </c>
      <c r="L39" t="str">
        <f>IF(Table1_14[[#This Row],[Registered]]=0, "ABSENT", IF(Table1_14[[#This Row],[Appearance Rate]]&lt;0.98, "LOW_RATE", IF(AND(Table1_14[[#This Row],[Appearance Rate]]=1, Table1_14[[#This Row],[Registered]]&lt;100), "SUSPICIOUS_PERFECTION", "NORMAL")))</f>
        <v>NORMAL</v>
      </c>
      <c r="M39" s="4">
        <f>Table1_14[[#This Row],[Registered]]/SUM(Table1_14[Registered])</f>
        <v>1.0807489764160419E-3</v>
      </c>
      <c r="N39" t="str">
        <f xml:space="preserve"> IF(OR(Table1_14[[#This Row],[Appearance Rate]]&lt;0, Table1_14[[#This Row],[Appearance Rate]]&gt;1), "FLAG", "OK")</f>
        <v>OK</v>
      </c>
      <c r="O39" t="str">
        <f xml:space="preserve"> IF(Table1_14[[#This Row],[Appeared]]&gt;Table1_14[[#This Row],[Registered]], "FLAG", "OK")</f>
        <v>OK</v>
      </c>
      <c r="P39" t="str">
        <f xml:space="preserve"> IF(OR(ISBLANK(Table1_14[[#This Row],[Registered]]), ISBLANK(Table1_14[[#This Row],[Appeared]]), Table1_14[[#This Row],[Registered]]=0, Table1_14[[#This Row],[Appeared]]=0), "FLAG", "OK")</f>
        <v>OK</v>
      </c>
    </row>
    <row r="40" spans="1:16" x14ac:dyDescent="0.3">
      <c r="A40">
        <v>12</v>
      </c>
      <c r="B40">
        <v>2022</v>
      </c>
      <c r="C40" t="s">
        <v>26</v>
      </c>
      <c r="D40" t="s">
        <v>6</v>
      </c>
      <c r="E40">
        <v>22</v>
      </c>
      <c r="F40">
        <v>22</v>
      </c>
      <c r="G40">
        <v>1</v>
      </c>
      <c r="H40">
        <v>0</v>
      </c>
      <c r="J40" t="str">
        <f>IF(Table1_14[[#This Row],[Registered]] = 0, "ABSENT", "NON_ZERO")</f>
        <v>NON_ZERO</v>
      </c>
      <c r="K40" t="str">
        <f>IF(Table1_14[[#This Row],[Registered]] = 0, "ABSENT_BASE", IF(Table1_14[[#This Row],[Registered]]&lt;100, "SMALL_BASE", "VALID_BASE"))</f>
        <v>SMALL_BASE</v>
      </c>
      <c r="L40" t="str">
        <f>IF(Table1_14[[#This Row],[Registered]]=0, "ABSENT", IF(Table1_14[[#This Row],[Appearance Rate]]&lt;0.98, "LOW_RATE", IF(AND(Table1_14[[#This Row],[Appearance Rate]]=1, Table1_14[[#This Row],[Registered]]&lt;100), "SUSPICIOUS_PERFECTION", "NORMAL")))</f>
        <v>SUSPICIOUS_PERFECTION</v>
      </c>
      <c r="M40" s="4">
        <f>Table1_14[[#This Row],[Registered]]/SUM(Table1_14[Registered])</f>
        <v>1.5290339216175512E-5</v>
      </c>
      <c r="N40" t="str">
        <f xml:space="preserve"> IF(OR(Table1_14[[#This Row],[Appearance Rate]]&lt;0, Table1_14[[#This Row],[Appearance Rate]]&gt;1), "FLAG", "OK")</f>
        <v>OK</v>
      </c>
      <c r="O40" t="str">
        <f xml:space="preserve"> IF(Table1_14[[#This Row],[Appeared]]&gt;Table1_14[[#This Row],[Registered]], "FLAG", "OK")</f>
        <v>OK</v>
      </c>
      <c r="P40" t="str">
        <f xml:space="preserve"> IF(OR(ISBLANK(Table1_14[[#This Row],[Registered]]), ISBLANK(Table1_14[[#This Row],[Appeared]]), Table1_14[[#This Row],[Registered]]=0, Table1_14[[#This Row],[Appeared]]=0), "FLAG", "OK")</f>
        <v>OK</v>
      </c>
    </row>
    <row r="41" spans="1:16" x14ac:dyDescent="0.3">
      <c r="A41">
        <v>12</v>
      </c>
      <c r="B41">
        <v>2022</v>
      </c>
      <c r="C41" t="s">
        <v>26</v>
      </c>
      <c r="D41" t="s">
        <v>7</v>
      </c>
      <c r="E41">
        <v>62473</v>
      </c>
      <c r="F41">
        <v>62094</v>
      </c>
      <c r="G41">
        <v>0.99393337921982294</v>
      </c>
      <c r="H41">
        <v>6.0666207801770566E-3</v>
      </c>
      <c r="J41" t="str">
        <f>IF(Table1_14[[#This Row],[Registered]] = 0, "ABSENT", "NON_ZERO")</f>
        <v>NON_ZERO</v>
      </c>
      <c r="K41" t="str">
        <f>IF(Table1_14[[#This Row],[Registered]] = 0, "ABSENT_BASE", IF(Table1_14[[#This Row],[Registered]]&lt;100, "SMALL_BASE", "VALID_BASE"))</f>
        <v>VALID_BASE</v>
      </c>
      <c r="L41" t="str">
        <f>IF(Table1_14[[#This Row],[Registered]]=0, "ABSENT", IF(Table1_14[[#This Row],[Appearance Rate]]&lt;0.98, "LOW_RATE", IF(AND(Table1_14[[#This Row],[Appearance Rate]]=1, Table1_14[[#This Row],[Registered]]&lt;100), "SUSPICIOUS_PERFECTION", "NORMAL")))</f>
        <v>NORMAL</v>
      </c>
      <c r="M41" s="4">
        <f>Table1_14[[#This Row],[Registered]]/SUM(Table1_14[Registered])</f>
        <v>4.3419698266006029E-2</v>
      </c>
      <c r="N41" t="str">
        <f xml:space="preserve"> IF(OR(Table1_14[[#This Row],[Appearance Rate]]&lt;0, Table1_14[[#This Row],[Appearance Rate]]&gt;1), "FLAG", "OK")</f>
        <v>OK</v>
      </c>
      <c r="O41" t="str">
        <f xml:space="preserve"> IF(Table1_14[[#This Row],[Appeared]]&gt;Table1_14[[#This Row],[Registered]], "FLAG", "OK")</f>
        <v>OK</v>
      </c>
      <c r="P41" t="str">
        <f xml:space="preserve"> IF(OR(ISBLANK(Table1_14[[#This Row],[Registered]]), ISBLANK(Table1_14[[#This Row],[Appeared]]), Table1_14[[#This Row],[Registered]]=0, Table1_14[[#This Row],[Appeared]]=0), "FLAG", "OK")</f>
        <v>OK</v>
      </c>
    </row>
    <row r="42" spans="1:16" x14ac:dyDescent="0.3">
      <c r="A42">
        <v>12</v>
      </c>
      <c r="B42">
        <v>2022</v>
      </c>
      <c r="C42" t="s">
        <v>26</v>
      </c>
      <c r="D42" t="s">
        <v>8</v>
      </c>
      <c r="E42">
        <v>1120</v>
      </c>
      <c r="F42">
        <v>1117</v>
      </c>
      <c r="G42">
        <v>0.99732142857142858</v>
      </c>
      <c r="H42">
        <v>2.6785714285714191E-3</v>
      </c>
      <c r="J42" t="str">
        <f>IF(Table1_14[[#This Row],[Registered]] = 0, "ABSENT", "NON_ZERO")</f>
        <v>NON_ZERO</v>
      </c>
      <c r="K42" t="str">
        <f>IF(Table1_14[[#This Row],[Registered]] = 0, "ABSENT_BASE", IF(Table1_14[[#This Row],[Registered]]&lt;100, "SMALL_BASE", "VALID_BASE"))</f>
        <v>VALID_BASE</v>
      </c>
      <c r="L42" t="str">
        <f>IF(Table1_14[[#This Row],[Registered]]=0, "ABSENT", IF(Table1_14[[#This Row],[Appearance Rate]]&lt;0.98, "LOW_RATE", IF(AND(Table1_14[[#This Row],[Appearance Rate]]=1, Table1_14[[#This Row],[Registered]]&lt;100), "SUSPICIOUS_PERFECTION", "NORMAL")))</f>
        <v>NORMAL</v>
      </c>
      <c r="M42" s="4">
        <f>Table1_14[[#This Row],[Registered]]/SUM(Table1_14[Registered])</f>
        <v>7.7841726918711693E-4</v>
      </c>
      <c r="N42" t="str">
        <f xml:space="preserve"> IF(OR(Table1_14[[#This Row],[Appearance Rate]]&lt;0, Table1_14[[#This Row],[Appearance Rate]]&gt;1), "FLAG", "OK")</f>
        <v>OK</v>
      </c>
      <c r="O42" t="str">
        <f xml:space="preserve"> IF(Table1_14[[#This Row],[Appeared]]&gt;Table1_14[[#This Row],[Registered]], "FLAG", "OK")</f>
        <v>OK</v>
      </c>
      <c r="P42" t="str">
        <f xml:space="preserve"> IF(OR(ISBLANK(Table1_14[[#This Row],[Registered]]), ISBLANK(Table1_14[[#This Row],[Appeared]]), Table1_14[[#This Row],[Registered]]=0, Table1_14[[#This Row],[Appeared]]=0), "FLAG", "OK")</f>
        <v>OK</v>
      </c>
    </row>
    <row r="43" spans="1:16" x14ac:dyDescent="0.3">
      <c r="A43">
        <v>12</v>
      </c>
      <c r="B43">
        <v>2022</v>
      </c>
      <c r="C43" t="s">
        <v>26</v>
      </c>
      <c r="D43" t="s">
        <v>9</v>
      </c>
      <c r="E43">
        <v>4312</v>
      </c>
      <c r="F43">
        <v>4307</v>
      </c>
      <c r="G43">
        <v>0.99884044526901672</v>
      </c>
      <c r="H43">
        <v>1.159554730983281E-3</v>
      </c>
      <c r="J43" t="str">
        <f>IF(Table1_14[[#This Row],[Registered]] = 0, "ABSENT", "NON_ZERO")</f>
        <v>NON_ZERO</v>
      </c>
      <c r="K43" t="str">
        <f>IF(Table1_14[[#This Row],[Registered]] = 0, "ABSENT_BASE", IF(Table1_14[[#This Row],[Registered]]&lt;100, "SMALL_BASE", "VALID_BASE"))</f>
        <v>VALID_BASE</v>
      </c>
      <c r="L43" t="str">
        <f>IF(Table1_14[[#This Row],[Registered]]=0, "ABSENT", IF(Table1_14[[#This Row],[Appearance Rate]]&lt;0.98, "LOW_RATE", IF(AND(Table1_14[[#This Row],[Appearance Rate]]=1, Table1_14[[#This Row],[Registered]]&lt;100), "SUSPICIOUS_PERFECTION", "NORMAL")))</f>
        <v>NORMAL</v>
      </c>
      <c r="M43" s="4">
        <f>Table1_14[[#This Row],[Registered]]/SUM(Table1_14[Registered])</f>
        <v>2.9969064863704003E-3</v>
      </c>
      <c r="N43" t="str">
        <f xml:space="preserve"> IF(OR(Table1_14[[#This Row],[Appearance Rate]]&lt;0, Table1_14[[#This Row],[Appearance Rate]]&gt;1), "FLAG", "OK")</f>
        <v>OK</v>
      </c>
      <c r="O43" t="str">
        <f xml:space="preserve"> IF(Table1_14[[#This Row],[Appeared]]&gt;Table1_14[[#This Row],[Registered]], "FLAG", "OK")</f>
        <v>OK</v>
      </c>
      <c r="P43" t="str">
        <f xml:space="preserve"> IF(OR(ISBLANK(Table1_14[[#This Row],[Registered]]), ISBLANK(Table1_14[[#This Row],[Appeared]]), Table1_14[[#This Row],[Registered]]=0, Table1_14[[#This Row],[Appeared]]=0), "FLAG", "OK")</f>
        <v>OK</v>
      </c>
    </row>
    <row r="44" spans="1:16" x14ac:dyDescent="0.3">
      <c r="A44">
        <v>12</v>
      </c>
      <c r="B44">
        <v>2022</v>
      </c>
      <c r="C44" t="s">
        <v>15</v>
      </c>
      <c r="D44" t="s">
        <v>4</v>
      </c>
      <c r="E44">
        <v>0</v>
      </c>
      <c r="F44">
        <v>0</v>
      </c>
      <c r="I44" t="s">
        <v>35</v>
      </c>
      <c r="J44" t="str">
        <f>IF(Table1_14[[#This Row],[Registered]] = 0, "ABSENT", "NON_ZERO")</f>
        <v>ABSENT</v>
      </c>
      <c r="K44" t="str">
        <f>IF(Table1_14[[#This Row],[Registered]] = 0, "ABSENT_BASE", IF(Table1_14[[#This Row],[Registered]]&lt;100, "SMALL_BASE", "VALID_BASE"))</f>
        <v>ABSENT_BASE</v>
      </c>
      <c r="L44" t="str">
        <f>IF(Table1_14[[#This Row],[Registered]]=0, "ABSENT", IF(Table1_14[[#This Row],[Appearance Rate]]&lt;0.98, "LOW_RATE", IF(AND(Table1_14[[#This Row],[Appearance Rate]]=1, Table1_14[[#This Row],[Registered]]&lt;100), "SUSPICIOUS_PERFECTION", "NORMAL")))</f>
        <v>ABSENT</v>
      </c>
      <c r="M44" s="4">
        <f>Table1_14[[#This Row],[Registered]]/SUM(Table1_14[Registered])</f>
        <v>0</v>
      </c>
      <c r="N44" t="str">
        <f xml:space="preserve"> IF(OR(Table1_14[[#This Row],[Appearance Rate]]&lt;0, Table1_14[[#This Row],[Appearance Rate]]&gt;1), "FLAG", "OK")</f>
        <v>OK</v>
      </c>
      <c r="O44" t="str">
        <f xml:space="preserve"> IF(Table1_14[[#This Row],[Appeared]]&gt;Table1_14[[#This Row],[Registered]], "FLAG", "OK")</f>
        <v>OK</v>
      </c>
      <c r="P44" t="str">
        <f xml:space="preserve"> IF(OR(ISBLANK(Table1_14[[#This Row],[Registered]]), ISBLANK(Table1_14[[#This Row],[Appeared]]), Table1_14[[#This Row],[Registered]]=0, Table1_14[[#This Row],[Appeared]]=0), "FLAG", "OK")</f>
        <v>FLAG</v>
      </c>
    </row>
    <row r="45" spans="1:16" x14ac:dyDescent="0.3">
      <c r="A45">
        <v>12</v>
      </c>
      <c r="B45">
        <v>2022</v>
      </c>
      <c r="C45" t="s">
        <v>15</v>
      </c>
      <c r="D45" t="s">
        <v>5</v>
      </c>
      <c r="E45">
        <v>100216</v>
      </c>
      <c r="F45">
        <v>99566</v>
      </c>
      <c r="G45">
        <v>0.99351400973896387</v>
      </c>
      <c r="H45">
        <v>6.4859902610361342E-3</v>
      </c>
      <c r="J45" t="str">
        <f>IF(Table1_14[[#This Row],[Registered]] = 0, "ABSENT", "NON_ZERO")</f>
        <v>NON_ZERO</v>
      </c>
      <c r="K45" t="str">
        <f>IF(Table1_14[[#This Row],[Registered]] = 0, "ABSENT_BASE", IF(Table1_14[[#This Row],[Registered]]&lt;100, "SMALL_BASE", "VALID_BASE"))</f>
        <v>VALID_BASE</v>
      </c>
      <c r="L45" t="str">
        <f>IF(Table1_14[[#This Row],[Registered]]=0, "ABSENT", IF(Table1_14[[#This Row],[Appearance Rate]]&lt;0.98, "LOW_RATE", IF(AND(Table1_14[[#This Row],[Appearance Rate]]=1, Table1_14[[#This Row],[Registered]]&lt;100), "SUSPICIOUS_PERFECTION", "NORMAL")))</f>
        <v>NORMAL</v>
      </c>
      <c r="M45" s="4">
        <f>Table1_14[[#This Row],[Registered]]/SUM(Table1_14[Registered])</f>
        <v>6.965166522219296E-2</v>
      </c>
      <c r="N45" t="str">
        <f xml:space="preserve"> IF(OR(Table1_14[[#This Row],[Appearance Rate]]&lt;0, Table1_14[[#This Row],[Appearance Rate]]&gt;1), "FLAG", "OK")</f>
        <v>OK</v>
      </c>
      <c r="O45" t="str">
        <f xml:space="preserve"> IF(Table1_14[[#This Row],[Appeared]]&gt;Table1_14[[#This Row],[Registered]], "FLAG", "OK")</f>
        <v>OK</v>
      </c>
      <c r="P45" t="str">
        <f xml:space="preserve"> IF(OR(ISBLANK(Table1_14[[#This Row],[Registered]]), ISBLANK(Table1_14[[#This Row],[Appeared]]), Table1_14[[#This Row],[Registered]]=0, Table1_14[[#This Row],[Appeared]]=0), "FLAG", "OK")</f>
        <v>OK</v>
      </c>
    </row>
    <row r="46" spans="1:16" x14ac:dyDescent="0.3">
      <c r="A46">
        <v>12</v>
      </c>
      <c r="B46">
        <v>2022</v>
      </c>
      <c r="C46" t="s">
        <v>15</v>
      </c>
      <c r="D46" t="s">
        <v>6</v>
      </c>
      <c r="E46">
        <v>6420</v>
      </c>
      <c r="F46">
        <v>6393</v>
      </c>
      <c r="G46">
        <v>0.99579439252336444</v>
      </c>
      <c r="H46">
        <v>4.2056074766355644E-3</v>
      </c>
      <c r="J46" t="str">
        <f>IF(Table1_14[[#This Row],[Registered]] = 0, "ABSENT", "NON_ZERO")</f>
        <v>NON_ZERO</v>
      </c>
      <c r="K46" t="str">
        <f>IF(Table1_14[[#This Row],[Registered]] = 0, "ABSENT_BASE", IF(Table1_14[[#This Row],[Registered]]&lt;100, "SMALL_BASE", "VALID_BASE"))</f>
        <v>VALID_BASE</v>
      </c>
      <c r="L46" t="str">
        <f>IF(Table1_14[[#This Row],[Registered]]=0, "ABSENT", IF(Table1_14[[#This Row],[Appearance Rate]]&lt;0.98, "LOW_RATE", IF(AND(Table1_14[[#This Row],[Appearance Rate]]=1, Table1_14[[#This Row],[Registered]]&lt;100), "SUSPICIOUS_PERFECTION", "NORMAL")))</f>
        <v>NORMAL</v>
      </c>
      <c r="M46" s="4">
        <f>Table1_14[[#This Row],[Registered]]/SUM(Table1_14[Registered])</f>
        <v>4.4619989894475812E-3</v>
      </c>
      <c r="N46" t="str">
        <f xml:space="preserve"> IF(OR(Table1_14[[#This Row],[Appearance Rate]]&lt;0, Table1_14[[#This Row],[Appearance Rate]]&gt;1), "FLAG", "OK")</f>
        <v>OK</v>
      </c>
      <c r="O46" t="str">
        <f xml:space="preserve"> IF(Table1_14[[#This Row],[Appeared]]&gt;Table1_14[[#This Row],[Registered]], "FLAG", "OK")</f>
        <v>OK</v>
      </c>
      <c r="P46" t="str">
        <f xml:space="preserve"> IF(OR(ISBLANK(Table1_14[[#This Row],[Registered]]), ISBLANK(Table1_14[[#This Row],[Appeared]]), Table1_14[[#This Row],[Registered]]=0, Table1_14[[#This Row],[Appeared]]=0), "FLAG", "OK")</f>
        <v>OK</v>
      </c>
    </row>
    <row r="47" spans="1:16" x14ac:dyDescent="0.3">
      <c r="A47">
        <v>12</v>
      </c>
      <c r="B47">
        <v>2022</v>
      </c>
      <c r="C47" t="s">
        <v>15</v>
      </c>
      <c r="D47" t="s">
        <v>7</v>
      </c>
      <c r="E47">
        <v>64953</v>
      </c>
      <c r="F47">
        <v>64774</v>
      </c>
      <c r="G47">
        <v>0.99724416116268688</v>
      </c>
      <c r="H47">
        <v>2.7558388373131182E-3</v>
      </c>
      <c r="J47" t="str">
        <f>IF(Table1_14[[#This Row],[Registered]] = 0, "ABSENT", "NON_ZERO")</f>
        <v>NON_ZERO</v>
      </c>
      <c r="K47" t="str">
        <f>IF(Table1_14[[#This Row],[Registered]] = 0, "ABSENT_BASE", IF(Table1_14[[#This Row],[Registered]]&lt;100, "SMALL_BASE", "VALID_BASE"))</f>
        <v>VALID_BASE</v>
      </c>
      <c r="L47" t="str">
        <f>IF(Table1_14[[#This Row],[Registered]]=0, "ABSENT", IF(Table1_14[[#This Row],[Appearance Rate]]&lt;0.98, "LOW_RATE", IF(AND(Table1_14[[#This Row],[Appearance Rate]]=1, Table1_14[[#This Row],[Registered]]&lt;100), "SUSPICIOUS_PERFECTION", "NORMAL")))</f>
        <v>NORMAL</v>
      </c>
      <c r="M47" s="4">
        <f>Table1_14[[#This Row],[Registered]]/SUM(Table1_14[Registered])</f>
        <v>4.5143336504920362E-2</v>
      </c>
      <c r="N47" t="str">
        <f xml:space="preserve"> IF(OR(Table1_14[[#This Row],[Appearance Rate]]&lt;0, Table1_14[[#This Row],[Appearance Rate]]&gt;1), "FLAG", "OK")</f>
        <v>OK</v>
      </c>
      <c r="O47" t="str">
        <f xml:space="preserve"> IF(Table1_14[[#This Row],[Appeared]]&gt;Table1_14[[#This Row],[Registered]], "FLAG", "OK")</f>
        <v>OK</v>
      </c>
      <c r="P47" t="str">
        <f xml:space="preserve"> IF(OR(ISBLANK(Table1_14[[#This Row],[Registered]]), ISBLANK(Table1_14[[#This Row],[Appeared]]), Table1_14[[#This Row],[Registered]]=0, Table1_14[[#This Row],[Appeared]]=0), "FLAG", "OK")</f>
        <v>OK</v>
      </c>
    </row>
    <row r="48" spans="1:16" x14ac:dyDescent="0.3">
      <c r="A48">
        <v>12</v>
      </c>
      <c r="B48">
        <v>2022</v>
      </c>
      <c r="C48" t="s">
        <v>15</v>
      </c>
      <c r="D48" t="s">
        <v>8</v>
      </c>
      <c r="E48">
        <v>81</v>
      </c>
      <c r="F48">
        <v>81</v>
      </c>
      <c r="G48">
        <v>1</v>
      </c>
      <c r="H48">
        <v>0</v>
      </c>
      <c r="J48" t="str">
        <f>IF(Table1_14[[#This Row],[Registered]] = 0, "ABSENT", "NON_ZERO")</f>
        <v>NON_ZERO</v>
      </c>
      <c r="K48" t="str">
        <f>IF(Table1_14[[#This Row],[Registered]] = 0, "ABSENT_BASE", IF(Table1_14[[#This Row],[Registered]]&lt;100, "SMALL_BASE", "VALID_BASE"))</f>
        <v>SMALL_BASE</v>
      </c>
      <c r="L48" t="str">
        <f>IF(Table1_14[[#This Row],[Registered]]=0, "ABSENT", IF(Table1_14[[#This Row],[Appearance Rate]]&lt;0.98, "LOW_RATE", IF(AND(Table1_14[[#This Row],[Appearance Rate]]=1, Table1_14[[#This Row],[Registered]]&lt;100), "SUSPICIOUS_PERFECTION", "NORMAL")))</f>
        <v>SUSPICIOUS_PERFECTION</v>
      </c>
      <c r="M48" s="4">
        <f>Table1_14[[#This Row],[Registered]]/SUM(Table1_14[Registered])</f>
        <v>5.6296248932282561E-5</v>
      </c>
      <c r="N48" t="str">
        <f xml:space="preserve"> IF(OR(Table1_14[[#This Row],[Appearance Rate]]&lt;0, Table1_14[[#This Row],[Appearance Rate]]&gt;1), "FLAG", "OK")</f>
        <v>OK</v>
      </c>
      <c r="O48" t="str">
        <f xml:space="preserve"> IF(Table1_14[[#This Row],[Appeared]]&gt;Table1_14[[#This Row],[Registered]], "FLAG", "OK")</f>
        <v>OK</v>
      </c>
      <c r="P48" t="str">
        <f xml:space="preserve"> IF(OR(ISBLANK(Table1_14[[#This Row],[Registered]]), ISBLANK(Table1_14[[#This Row],[Appeared]]), Table1_14[[#This Row],[Registered]]=0, Table1_14[[#This Row],[Appeared]]=0), "FLAG", "OK")</f>
        <v>OK</v>
      </c>
    </row>
    <row r="49" spans="1:16" x14ac:dyDescent="0.3">
      <c r="A49">
        <v>12</v>
      </c>
      <c r="B49">
        <v>2022</v>
      </c>
      <c r="C49" t="s">
        <v>15</v>
      </c>
      <c r="D49" t="s">
        <v>9</v>
      </c>
      <c r="E49">
        <v>6669</v>
      </c>
      <c r="F49">
        <v>6661</v>
      </c>
      <c r="G49">
        <v>0.99880041985305146</v>
      </c>
      <c r="H49">
        <v>1.1995801469485423E-3</v>
      </c>
      <c r="J49" t="str">
        <f>IF(Table1_14[[#This Row],[Registered]] = 0, "ABSENT", "NON_ZERO")</f>
        <v>NON_ZERO</v>
      </c>
      <c r="K49" t="str">
        <f>IF(Table1_14[[#This Row],[Registered]] = 0, "ABSENT_BASE", IF(Table1_14[[#This Row],[Registered]]&lt;100, "SMALL_BASE", "VALID_BASE"))</f>
        <v>VALID_BASE</v>
      </c>
      <c r="L49" t="str">
        <f>IF(Table1_14[[#This Row],[Registered]]=0, "ABSENT", IF(Table1_14[[#This Row],[Appearance Rate]]&lt;0.98, "LOW_RATE", IF(AND(Table1_14[[#This Row],[Appearance Rate]]=1, Table1_14[[#This Row],[Registered]]&lt;100), "SUSPICIOUS_PERFECTION", "NORMAL")))</f>
        <v>NORMAL</v>
      </c>
      <c r="M49" s="4">
        <f>Table1_14[[#This Row],[Registered]]/SUM(Table1_14[Registered])</f>
        <v>4.6350578287579309E-3</v>
      </c>
      <c r="N49" t="str">
        <f xml:space="preserve"> IF(OR(Table1_14[[#This Row],[Appearance Rate]]&lt;0, Table1_14[[#This Row],[Appearance Rate]]&gt;1), "FLAG", "OK")</f>
        <v>OK</v>
      </c>
      <c r="O49" t="str">
        <f xml:space="preserve"> IF(Table1_14[[#This Row],[Appeared]]&gt;Table1_14[[#This Row],[Registered]], "FLAG", "OK")</f>
        <v>OK</v>
      </c>
      <c r="P49" t="str">
        <f xml:space="preserve"> IF(OR(ISBLANK(Table1_14[[#This Row],[Registered]]), ISBLANK(Table1_14[[#This Row],[Appeared]]), Table1_14[[#This Row],[Registered]]=0, Table1_14[[#This Row],[Appeared]]=0), "FLAG", "OK")</f>
        <v>OK</v>
      </c>
    </row>
    <row r="50" spans="1:16" x14ac:dyDescent="0.3">
      <c r="A50">
        <v>12</v>
      </c>
      <c r="B50">
        <v>2022</v>
      </c>
      <c r="C50" t="s">
        <v>27</v>
      </c>
      <c r="D50" t="s">
        <v>4</v>
      </c>
      <c r="E50">
        <v>0</v>
      </c>
      <c r="F50">
        <v>0</v>
      </c>
      <c r="I50" t="s">
        <v>35</v>
      </c>
      <c r="J50" t="str">
        <f>IF(Table1_14[[#This Row],[Registered]] = 0, "ABSENT", "NON_ZERO")</f>
        <v>ABSENT</v>
      </c>
      <c r="K50" t="str">
        <f>IF(Table1_14[[#This Row],[Registered]] = 0, "ABSENT_BASE", IF(Table1_14[[#This Row],[Registered]]&lt;100, "SMALL_BASE", "VALID_BASE"))</f>
        <v>ABSENT_BASE</v>
      </c>
      <c r="L50" t="str">
        <f>IF(Table1_14[[#This Row],[Registered]]=0, "ABSENT", IF(Table1_14[[#This Row],[Appearance Rate]]&lt;0.98, "LOW_RATE", IF(AND(Table1_14[[#This Row],[Appearance Rate]]=1, Table1_14[[#This Row],[Registered]]&lt;100), "SUSPICIOUS_PERFECTION", "NORMAL")))</f>
        <v>ABSENT</v>
      </c>
      <c r="M50" s="4">
        <f>Table1_14[[#This Row],[Registered]]/SUM(Table1_14[Registered])</f>
        <v>0</v>
      </c>
      <c r="N50" t="str">
        <f xml:space="preserve"> IF(OR(Table1_14[[#This Row],[Appearance Rate]]&lt;0, Table1_14[[#This Row],[Appearance Rate]]&gt;1), "FLAG", "OK")</f>
        <v>OK</v>
      </c>
      <c r="O50" t="str">
        <f xml:space="preserve"> IF(Table1_14[[#This Row],[Appeared]]&gt;Table1_14[[#This Row],[Registered]], "FLAG", "OK")</f>
        <v>OK</v>
      </c>
      <c r="P50" t="str">
        <f xml:space="preserve"> IF(OR(ISBLANK(Table1_14[[#This Row],[Registered]]), ISBLANK(Table1_14[[#This Row],[Appeared]]), Table1_14[[#This Row],[Registered]]=0, Table1_14[[#This Row],[Appeared]]=0), "FLAG", "OK")</f>
        <v>FLAG</v>
      </c>
    </row>
    <row r="51" spans="1:16" x14ac:dyDescent="0.3">
      <c r="A51">
        <v>12</v>
      </c>
      <c r="B51">
        <v>2022</v>
      </c>
      <c r="C51" t="s">
        <v>27</v>
      </c>
      <c r="D51" t="s">
        <v>5</v>
      </c>
      <c r="E51">
        <v>69504</v>
      </c>
      <c r="F51">
        <v>69109</v>
      </c>
      <c r="G51">
        <v>0.99431687384898715</v>
      </c>
      <c r="H51">
        <v>5.6831261510128517E-3</v>
      </c>
      <c r="J51" t="str">
        <f>IF(Table1_14[[#This Row],[Registered]] = 0, "ABSENT", "NON_ZERO")</f>
        <v>NON_ZERO</v>
      </c>
      <c r="K51" t="str">
        <f>IF(Table1_14[[#This Row],[Registered]] = 0, "ABSENT_BASE", IF(Table1_14[[#This Row],[Registered]]&lt;100, "SMALL_BASE", "VALID_BASE"))</f>
        <v>VALID_BASE</v>
      </c>
      <c r="L51" t="str">
        <f>IF(Table1_14[[#This Row],[Registered]]=0, "ABSENT", IF(Table1_14[[#This Row],[Appearance Rate]]&lt;0.98, "LOW_RATE", IF(AND(Table1_14[[#This Row],[Appearance Rate]]=1, Table1_14[[#This Row],[Registered]]&lt;100), "SUSPICIOUS_PERFECTION", "NORMAL")))</f>
        <v>NORMAL</v>
      </c>
      <c r="M51" s="4">
        <f>Table1_14[[#This Row],[Registered]]/SUM(Table1_14[Registered])</f>
        <v>4.8306351676411945E-2</v>
      </c>
      <c r="N51" t="str">
        <f xml:space="preserve"> IF(OR(Table1_14[[#This Row],[Appearance Rate]]&lt;0, Table1_14[[#This Row],[Appearance Rate]]&gt;1), "FLAG", "OK")</f>
        <v>OK</v>
      </c>
      <c r="O51" t="str">
        <f xml:space="preserve"> IF(Table1_14[[#This Row],[Appeared]]&gt;Table1_14[[#This Row],[Registered]], "FLAG", "OK")</f>
        <v>OK</v>
      </c>
      <c r="P51" t="str">
        <f xml:space="preserve"> IF(OR(ISBLANK(Table1_14[[#This Row],[Registered]]), ISBLANK(Table1_14[[#This Row],[Appeared]]), Table1_14[[#This Row],[Registered]]=0, Table1_14[[#This Row],[Appeared]]=0), "FLAG", "OK")</f>
        <v>OK</v>
      </c>
    </row>
    <row r="52" spans="1:16" x14ac:dyDescent="0.3">
      <c r="A52">
        <v>12</v>
      </c>
      <c r="B52">
        <v>2022</v>
      </c>
      <c r="C52" t="s">
        <v>27</v>
      </c>
      <c r="D52" t="s">
        <v>6</v>
      </c>
      <c r="E52">
        <v>7775</v>
      </c>
      <c r="F52">
        <v>7743</v>
      </c>
      <c r="G52">
        <v>0.99588424437299039</v>
      </c>
      <c r="H52">
        <v>4.1157556270096096E-3</v>
      </c>
      <c r="J52" t="str">
        <f>IF(Table1_14[[#This Row],[Registered]] = 0, "ABSENT", "NON_ZERO")</f>
        <v>NON_ZERO</v>
      </c>
      <c r="K52" t="str">
        <f>IF(Table1_14[[#This Row],[Registered]] = 0, "ABSENT_BASE", IF(Table1_14[[#This Row],[Registered]]&lt;100, "SMALL_BASE", "VALID_BASE"))</f>
        <v>VALID_BASE</v>
      </c>
      <c r="L52" t="str">
        <f>IF(Table1_14[[#This Row],[Registered]]=0, "ABSENT", IF(Table1_14[[#This Row],[Appearance Rate]]&lt;0.98, "LOW_RATE", IF(AND(Table1_14[[#This Row],[Appearance Rate]]=1, Table1_14[[#This Row],[Registered]]&lt;100), "SUSPICIOUS_PERFECTION", "NORMAL")))</f>
        <v>NORMAL</v>
      </c>
      <c r="M52" s="4">
        <f>Table1_14[[#This Row],[Registered]]/SUM(Table1_14[Registered])</f>
        <v>5.4037448820802086E-3</v>
      </c>
      <c r="N52" t="str">
        <f xml:space="preserve"> IF(OR(Table1_14[[#This Row],[Appearance Rate]]&lt;0, Table1_14[[#This Row],[Appearance Rate]]&gt;1), "FLAG", "OK")</f>
        <v>OK</v>
      </c>
      <c r="O52" t="str">
        <f xml:space="preserve"> IF(Table1_14[[#This Row],[Appeared]]&gt;Table1_14[[#This Row],[Registered]], "FLAG", "OK")</f>
        <v>OK</v>
      </c>
      <c r="P52" t="str">
        <f xml:space="preserve"> IF(OR(ISBLANK(Table1_14[[#This Row],[Registered]]), ISBLANK(Table1_14[[#This Row],[Appeared]]), Table1_14[[#This Row],[Registered]]=0, Table1_14[[#This Row],[Appeared]]=0), "FLAG", "OK")</f>
        <v>OK</v>
      </c>
    </row>
    <row r="53" spans="1:16" x14ac:dyDescent="0.3">
      <c r="A53">
        <v>12</v>
      </c>
      <c r="B53">
        <v>2022</v>
      </c>
      <c r="C53" t="s">
        <v>27</v>
      </c>
      <c r="D53" t="s">
        <v>7</v>
      </c>
      <c r="E53">
        <v>40461</v>
      </c>
      <c r="F53">
        <v>40291</v>
      </c>
      <c r="G53">
        <v>0.99579842317293199</v>
      </c>
      <c r="H53">
        <v>4.2015768270680098E-3</v>
      </c>
      <c r="J53" t="str">
        <f>IF(Table1_14[[#This Row],[Registered]] = 0, "ABSENT", "NON_ZERO")</f>
        <v>NON_ZERO</v>
      </c>
      <c r="K53" t="str">
        <f>IF(Table1_14[[#This Row],[Registered]] = 0, "ABSENT_BASE", IF(Table1_14[[#This Row],[Registered]]&lt;100, "SMALL_BASE", "VALID_BASE"))</f>
        <v>VALID_BASE</v>
      </c>
      <c r="L53" t="str">
        <f>IF(Table1_14[[#This Row],[Registered]]=0, "ABSENT", IF(Table1_14[[#This Row],[Appearance Rate]]&lt;0.98, "LOW_RATE", IF(AND(Table1_14[[#This Row],[Appearance Rate]]=1, Table1_14[[#This Row],[Registered]]&lt;100), "SUSPICIOUS_PERFECTION", "NORMAL")))</f>
        <v>NORMAL</v>
      </c>
      <c r="M53" s="4">
        <f>Table1_14[[#This Row],[Registered]]/SUM(Table1_14[Registered])</f>
        <v>2.8121018864803515E-2</v>
      </c>
      <c r="N53" t="str">
        <f xml:space="preserve"> IF(OR(Table1_14[[#This Row],[Appearance Rate]]&lt;0, Table1_14[[#This Row],[Appearance Rate]]&gt;1), "FLAG", "OK")</f>
        <v>OK</v>
      </c>
      <c r="O53" t="str">
        <f xml:space="preserve"> IF(Table1_14[[#This Row],[Appeared]]&gt;Table1_14[[#This Row],[Registered]], "FLAG", "OK")</f>
        <v>OK</v>
      </c>
      <c r="P53" t="str">
        <f xml:space="preserve"> IF(OR(ISBLANK(Table1_14[[#This Row],[Registered]]), ISBLANK(Table1_14[[#This Row],[Appeared]]), Table1_14[[#This Row],[Registered]]=0, Table1_14[[#This Row],[Appeared]]=0), "FLAG", "OK")</f>
        <v>OK</v>
      </c>
    </row>
    <row r="54" spans="1:16" x14ac:dyDescent="0.3">
      <c r="A54">
        <v>12</v>
      </c>
      <c r="B54">
        <v>2022</v>
      </c>
      <c r="C54" t="s">
        <v>27</v>
      </c>
      <c r="D54" t="s">
        <v>8</v>
      </c>
      <c r="E54">
        <v>65</v>
      </c>
      <c r="F54">
        <v>65</v>
      </c>
      <c r="G54">
        <v>1</v>
      </c>
      <c r="H54">
        <v>0</v>
      </c>
      <c r="J54" t="str">
        <f>IF(Table1_14[[#This Row],[Registered]] = 0, "ABSENT", "NON_ZERO")</f>
        <v>NON_ZERO</v>
      </c>
      <c r="K54" t="str">
        <f>IF(Table1_14[[#This Row],[Registered]] = 0, "ABSENT_BASE", IF(Table1_14[[#This Row],[Registered]]&lt;100, "SMALL_BASE", "VALID_BASE"))</f>
        <v>SMALL_BASE</v>
      </c>
      <c r="L54" t="str">
        <f>IF(Table1_14[[#This Row],[Registered]]=0, "ABSENT", IF(Table1_14[[#This Row],[Appearance Rate]]&lt;0.98, "LOW_RATE", IF(AND(Table1_14[[#This Row],[Appearance Rate]]=1, Table1_14[[#This Row],[Registered]]&lt;100), "SUSPICIOUS_PERFECTION", "NORMAL")))</f>
        <v>SUSPICIOUS_PERFECTION</v>
      </c>
      <c r="M54" s="4">
        <f>Table1_14[[#This Row],[Registered]]/SUM(Table1_14[Registered])</f>
        <v>4.5176002229609464E-5</v>
      </c>
      <c r="N54" t="str">
        <f xml:space="preserve"> IF(OR(Table1_14[[#This Row],[Appearance Rate]]&lt;0, Table1_14[[#This Row],[Appearance Rate]]&gt;1), "FLAG", "OK")</f>
        <v>OK</v>
      </c>
      <c r="O54" t="str">
        <f xml:space="preserve"> IF(Table1_14[[#This Row],[Appeared]]&gt;Table1_14[[#This Row],[Registered]], "FLAG", "OK")</f>
        <v>OK</v>
      </c>
      <c r="P54" t="str">
        <f xml:space="preserve"> IF(OR(ISBLANK(Table1_14[[#This Row],[Registered]]), ISBLANK(Table1_14[[#This Row],[Appeared]]), Table1_14[[#This Row],[Registered]]=0, Table1_14[[#This Row],[Appeared]]=0), "FLAG", "OK")</f>
        <v>OK</v>
      </c>
    </row>
    <row r="55" spans="1:16" x14ac:dyDescent="0.3">
      <c r="A55">
        <v>12</v>
      </c>
      <c r="B55">
        <v>2022</v>
      </c>
      <c r="C55" t="s">
        <v>27</v>
      </c>
      <c r="D55" t="s">
        <v>9</v>
      </c>
      <c r="E55">
        <v>2872</v>
      </c>
      <c r="F55">
        <v>2872</v>
      </c>
      <c r="G55">
        <v>1</v>
      </c>
      <c r="H55">
        <v>0</v>
      </c>
      <c r="J55" t="str">
        <f>IF(Table1_14[[#This Row],[Registered]] = 0, "ABSENT", "NON_ZERO")</f>
        <v>NON_ZERO</v>
      </c>
      <c r="K55" t="str">
        <f>IF(Table1_14[[#This Row],[Registered]] = 0, "ABSENT_BASE", IF(Table1_14[[#This Row],[Registered]]&lt;100, "SMALL_BASE", "VALID_BASE"))</f>
        <v>VALID_BASE</v>
      </c>
      <c r="L55" t="str">
        <f>IF(Table1_14[[#This Row],[Registered]]=0, "ABSENT", IF(Table1_14[[#This Row],[Appearance Rate]]&lt;0.98, "LOW_RATE", IF(AND(Table1_14[[#This Row],[Appearance Rate]]=1, Table1_14[[#This Row],[Registered]]&lt;100), "SUSPICIOUS_PERFECTION", "NORMAL")))</f>
        <v>NORMAL</v>
      </c>
      <c r="M55" s="4">
        <f>Table1_14[[#This Row],[Registered]]/SUM(Table1_14[Registered])</f>
        <v>1.9960842831298212E-3</v>
      </c>
      <c r="N55" t="str">
        <f xml:space="preserve"> IF(OR(Table1_14[[#This Row],[Appearance Rate]]&lt;0, Table1_14[[#This Row],[Appearance Rate]]&gt;1), "FLAG", "OK")</f>
        <v>OK</v>
      </c>
      <c r="O55" t="str">
        <f xml:space="preserve"> IF(Table1_14[[#This Row],[Appeared]]&gt;Table1_14[[#This Row],[Registered]], "FLAG", "OK")</f>
        <v>OK</v>
      </c>
      <c r="P55" t="str">
        <f xml:space="preserve"> IF(OR(ISBLANK(Table1_14[[#This Row],[Registered]]), ISBLANK(Table1_14[[#This Row],[Appeared]]), Table1_14[[#This Row],[Registered]]=0, Table1_14[[#This Row],[Appeared]]=0), "FLAG", "OK")</f>
        <v>OK</v>
      </c>
    </row>
    <row r="56" spans="1:16" x14ac:dyDescent="0.3">
      <c r="A56">
        <v>12</v>
      </c>
      <c r="B56">
        <v>2022</v>
      </c>
      <c r="C56" t="s">
        <v>17</v>
      </c>
      <c r="D56" t="s">
        <v>4</v>
      </c>
      <c r="E56">
        <v>0</v>
      </c>
      <c r="F56">
        <v>0</v>
      </c>
      <c r="I56" t="s">
        <v>35</v>
      </c>
      <c r="J56" t="str">
        <f>IF(Table1_14[[#This Row],[Registered]] = 0, "ABSENT", "NON_ZERO")</f>
        <v>ABSENT</v>
      </c>
      <c r="K56" t="str">
        <f>IF(Table1_14[[#This Row],[Registered]] = 0, "ABSENT_BASE", IF(Table1_14[[#This Row],[Registered]]&lt;100, "SMALL_BASE", "VALID_BASE"))</f>
        <v>ABSENT_BASE</v>
      </c>
      <c r="L56" t="str">
        <f>IF(Table1_14[[#This Row],[Registered]]=0, "ABSENT", IF(Table1_14[[#This Row],[Appearance Rate]]&lt;0.98, "LOW_RATE", IF(AND(Table1_14[[#This Row],[Appearance Rate]]=1, Table1_14[[#This Row],[Registered]]&lt;100), "SUSPICIOUS_PERFECTION", "NORMAL")))</f>
        <v>ABSENT</v>
      </c>
      <c r="M56" s="4">
        <f>Table1_14[[#This Row],[Registered]]/SUM(Table1_14[Registered])</f>
        <v>0</v>
      </c>
      <c r="N56" t="str">
        <f xml:space="preserve"> IF(OR(Table1_14[[#This Row],[Appearance Rate]]&lt;0, Table1_14[[#This Row],[Appearance Rate]]&gt;1), "FLAG", "OK")</f>
        <v>OK</v>
      </c>
      <c r="O56" t="str">
        <f xml:space="preserve"> IF(Table1_14[[#This Row],[Appeared]]&gt;Table1_14[[#This Row],[Registered]], "FLAG", "OK")</f>
        <v>OK</v>
      </c>
      <c r="P56" t="str">
        <f xml:space="preserve"> IF(OR(ISBLANK(Table1_14[[#This Row],[Registered]]), ISBLANK(Table1_14[[#This Row],[Appeared]]), Table1_14[[#This Row],[Registered]]=0, Table1_14[[#This Row],[Appeared]]=0), "FLAG", "OK")</f>
        <v>FLAG</v>
      </c>
    </row>
    <row r="57" spans="1:16" x14ac:dyDescent="0.3">
      <c r="A57">
        <v>12</v>
      </c>
      <c r="B57">
        <v>2022</v>
      </c>
      <c r="C57" t="s">
        <v>17</v>
      </c>
      <c r="D57" t="s">
        <v>5</v>
      </c>
      <c r="E57">
        <v>20672</v>
      </c>
      <c r="F57">
        <v>20518</v>
      </c>
      <c r="G57">
        <v>0.99255030959752322</v>
      </c>
      <c r="H57">
        <v>7.4496904024767829E-3</v>
      </c>
      <c r="J57" t="str">
        <f>IF(Table1_14[[#This Row],[Registered]] = 0, "ABSENT", "NON_ZERO")</f>
        <v>NON_ZERO</v>
      </c>
      <c r="K57" t="str">
        <f>IF(Table1_14[[#This Row],[Registered]] = 0, "ABSENT_BASE", IF(Table1_14[[#This Row],[Registered]]&lt;100, "SMALL_BASE", "VALID_BASE"))</f>
        <v>VALID_BASE</v>
      </c>
      <c r="L57" t="str">
        <f>IF(Table1_14[[#This Row],[Registered]]=0, "ABSENT", IF(Table1_14[[#This Row],[Appearance Rate]]&lt;0.98, "LOW_RATE", IF(AND(Table1_14[[#This Row],[Appearance Rate]]=1, Table1_14[[#This Row],[Registered]]&lt;100), "SUSPICIOUS_PERFECTION", "NORMAL")))</f>
        <v>NORMAL</v>
      </c>
      <c r="M57" s="4">
        <f>Table1_14[[#This Row],[Registered]]/SUM(Table1_14[Registered])</f>
        <v>1.4367358739853644E-2</v>
      </c>
      <c r="N57" t="str">
        <f xml:space="preserve"> IF(OR(Table1_14[[#This Row],[Appearance Rate]]&lt;0, Table1_14[[#This Row],[Appearance Rate]]&gt;1), "FLAG", "OK")</f>
        <v>OK</v>
      </c>
      <c r="O57" t="str">
        <f xml:space="preserve"> IF(Table1_14[[#This Row],[Appeared]]&gt;Table1_14[[#This Row],[Registered]], "FLAG", "OK")</f>
        <v>OK</v>
      </c>
      <c r="P57" t="str">
        <f xml:space="preserve"> IF(OR(ISBLANK(Table1_14[[#This Row],[Registered]]), ISBLANK(Table1_14[[#This Row],[Appeared]]), Table1_14[[#This Row],[Registered]]=0, Table1_14[[#This Row],[Appeared]]=0), "FLAG", "OK")</f>
        <v>OK</v>
      </c>
    </row>
    <row r="58" spans="1:16" x14ac:dyDescent="0.3">
      <c r="A58">
        <v>12</v>
      </c>
      <c r="B58">
        <v>2022</v>
      </c>
      <c r="C58" t="s">
        <v>17</v>
      </c>
      <c r="D58" t="s">
        <v>6</v>
      </c>
      <c r="E58">
        <v>102</v>
      </c>
      <c r="F58">
        <v>101</v>
      </c>
      <c r="G58">
        <v>0.99019607843137258</v>
      </c>
      <c r="H58">
        <v>9.8039215686274161E-3</v>
      </c>
      <c r="J58" t="str">
        <f>IF(Table1_14[[#This Row],[Registered]] = 0, "ABSENT", "NON_ZERO")</f>
        <v>NON_ZERO</v>
      </c>
      <c r="K58" t="str">
        <f>IF(Table1_14[[#This Row],[Registered]] = 0, "ABSENT_BASE", IF(Table1_14[[#This Row],[Registered]]&lt;100, "SMALL_BASE", "VALID_BASE"))</f>
        <v>VALID_BASE</v>
      </c>
      <c r="L58" t="str">
        <f>IF(Table1_14[[#This Row],[Registered]]=0, "ABSENT", IF(Table1_14[[#This Row],[Appearance Rate]]&lt;0.98, "LOW_RATE", IF(AND(Table1_14[[#This Row],[Appearance Rate]]=1, Table1_14[[#This Row],[Registered]]&lt;100), "SUSPICIOUS_PERFECTION", "NORMAL")))</f>
        <v>NORMAL</v>
      </c>
      <c r="M58" s="4">
        <f>Table1_14[[#This Row],[Registered]]/SUM(Table1_14[Registered])</f>
        <v>7.0891572729541008E-5</v>
      </c>
      <c r="N58" t="str">
        <f xml:space="preserve"> IF(OR(Table1_14[[#This Row],[Appearance Rate]]&lt;0, Table1_14[[#This Row],[Appearance Rate]]&gt;1), "FLAG", "OK")</f>
        <v>OK</v>
      </c>
      <c r="O58" t="str">
        <f xml:space="preserve"> IF(Table1_14[[#This Row],[Appeared]]&gt;Table1_14[[#This Row],[Registered]], "FLAG", "OK")</f>
        <v>OK</v>
      </c>
      <c r="P58" t="str">
        <f xml:space="preserve"> IF(OR(ISBLANK(Table1_14[[#This Row],[Registered]]), ISBLANK(Table1_14[[#This Row],[Appeared]]), Table1_14[[#This Row],[Registered]]=0, Table1_14[[#This Row],[Appeared]]=0), "FLAG", "OK")</f>
        <v>OK</v>
      </c>
    </row>
    <row r="59" spans="1:16" x14ac:dyDescent="0.3">
      <c r="A59">
        <v>12</v>
      </c>
      <c r="B59">
        <v>2022</v>
      </c>
      <c r="C59" t="s">
        <v>17</v>
      </c>
      <c r="D59" t="s">
        <v>7</v>
      </c>
      <c r="E59">
        <v>20768</v>
      </c>
      <c r="F59">
        <v>20601</v>
      </c>
      <c r="G59">
        <v>0.99195878274268101</v>
      </c>
      <c r="H59">
        <v>8.0412172573189888E-3</v>
      </c>
      <c r="J59" t="str">
        <f>IF(Table1_14[[#This Row],[Registered]] = 0, "ABSENT", "NON_ZERO")</f>
        <v>NON_ZERO</v>
      </c>
      <c r="K59" t="str">
        <f>IF(Table1_14[[#This Row],[Registered]] = 0, "ABSENT_BASE", IF(Table1_14[[#This Row],[Registered]]&lt;100, "SMALL_BASE", "VALID_BASE"))</f>
        <v>VALID_BASE</v>
      </c>
      <c r="L59" t="str">
        <f>IF(Table1_14[[#This Row],[Registered]]=0, "ABSENT", IF(Table1_14[[#This Row],[Appearance Rate]]&lt;0.98, "LOW_RATE", IF(AND(Table1_14[[#This Row],[Appearance Rate]]=1, Table1_14[[#This Row],[Registered]]&lt;100), "SUSPICIOUS_PERFECTION", "NORMAL")))</f>
        <v>NORMAL</v>
      </c>
      <c r="M59" s="4">
        <f>Table1_14[[#This Row],[Registered]]/SUM(Table1_14[Registered])</f>
        <v>1.4434080220069681E-2</v>
      </c>
      <c r="N59" t="str">
        <f xml:space="preserve"> IF(OR(Table1_14[[#This Row],[Appearance Rate]]&lt;0, Table1_14[[#This Row],[Appearance Rate]]&gt;1), "FLAG", "OK")</f>
        <v>OK</v>
      </c>
      <c r="O59" t="str">
        <f xml:space="preserve"> IF(Table1_14[[#This Row],[Appeared]]&gt;Table1_14[[#This Row],[Registered]], "FLAG", "OK")</f>
        <v>OK</v>
      </c>
      <c r="P59" t="str">
        <f xml:space="preserve"> IF(OR(ISBLANK(Table1_14[[#This Row],[Registered]]), ISBLANK(Table1_14[[#This Row],[Appeared]]), Table1_14[[#This Row],[Registered]]=0, Table1_14[[#This Row],[Appeared]]=0), "FLAG", "OK")</f>
        <v>OK</v>
      </c>
    </row>
    <row r="60" spans="1:16" x14ac:dyDescent="0.3">
      <c r="A60">
        <v>12</v>
      </c>
      <c r="B60">
        <v>2022</v>
      </c>
      <c r="C60" t="s">
        <v>17</v>
      </c>
      <c r="D60" t="s">
        <v>8</v>
      </c>
      <c r="E60">
        <v>4536</v>
      </c>
      <c r="F60">
        <v>4481</v>
      </c>
      <c r="G60">
        <v>0.9878747795414462</v>
      </c>
      <c r="H60">
        <v>1.2125220458553798E-2</v>
      </c>
      <c r="J60" t="str">
        <f>IF(Table1_14[[#This Row],[Registered]] = 0, "ABSENT", "NON_ZERO")</f>
        <v>NON_ZERO</v>
      </c>
      <c r="K60" t="str">
        <f>IF(Table1_14[[#This Row],[Registered]] = 0, "ABSENT_BASE", IF(Table1_14[[#This Row],[Registered]]&lt;100, "SMALL_BASE", "VALID_BASE"))</f>
        <v>VALID_BASE</v>
      </c>
      <c r="L60" t="str">
        <f>IF(Table1_14[[#This Row],[Registered]]=0, "ABSENT", IF(Table1_14[[#This Row],[Appearance Rate]]&lt;0.98, "LOW_RATE", IF(AND(Table1_14[[#This Row],[Appearance Rate]]=1, Table1_14[[#This Row],[Registered]]&lt;100), "SUSPICIOUS_PERFECTION", "NORMAL")))</f>
        <v>NORMAL</v>
      </c>
      <c r="M60" s="4">
        <f>Table1_14[[#This Row],[Registered]]/SUM(Table1_14[Registered])</f>
        <v>3.1525899402078234E-3</v>
      </c>
      <c r="N60" t="str">
        <f xml:space="preserve"> IF(OR(Table1_14[[#This Row],[Appearance Rate]]&lt;0, Table1_14[[#This Row],[Appearance Rate]]&gt;1), "FLAG", "OK")</f>
        <v>OK</v>
      </c>
      <c r="O60" t="str">
        <f xml:space="preserve"> IF(Table1_14[[#This Row],[Appeared]]&gt;Table1_14[[#This Row],[Registered]], "FLAG", "OK")</f>
        <v>OK</v>
      </c>
      <c r="P60" t="str">
        <f xml:space="preserve"> IF(OR(ISBLANK(Table1_14[[#This Row],[Registered]]), ISBLANK(Table1_14[[#This Row],[Appeared]]), Table1_14[[#This Row],[Registered]]=0, Table1_14[[#This Row],[Appeared]]=0), "FLAG", "OK")</f>
        <v>OK</v>
      </c>
    </row>
    <row r="61" spans="1:16" x14ac:dyDescent="0.3">
      <c r="A61">
        <v>12</v>
      </c>
      <c r="B61">
        <v>2022</v>
      </c>
      <c r="C61" t="s">
        <v>17</v>
      </c>
      <c r="D61" t="s">
        <v>9</v>
      </c>
      <c r="E61">
        <v>6071</v>
      </c>
      <c r="F61">
        <v>6047</v>
      </c>
      <c r="G61">
        <v>0.99604677977268985</v>
      </c>
      <c r="H61">
        <v>3.9532202273101502E-3</v>
      </c>
      <c r="J61" t="str">
        <f>IF(Table1_14[[#This Row],[Registered]] = 0, "ABSENT", "NON_ZERO")</f>
        <v>NON_ZERO</v>
      </c>
      <c r="K61" t="str">
        <f>IF(Table1_14[[#This Row],[Registered]] = 0, "ABSENT_BASE", IF(Table1_14[[#This Row],[Registered]]&lt;100, "SMALL_BASE", "VALID_BASE"))</f>
        <v>VALID_BASE</v>
      </c>
      <c r="L61" t="str">
        <f>IF(Table1_14[[#This Row],[Registered]]=0, "ABSENT", IF(Table1_14[[#This Row],[Appearance Rate]]&lt;0.98, "LOW_RATE", IF(AND(Table1_14[[#This Row],[Appearance Rate]]=1, Table1_14[[#This Row],[Registered]]&lt;100), "SUSPICIOUS_PERFECTION", "NORMAL")))</f>
        <v>NORMAL</v>
      </c>
      <c r="M61" s="4">
        <f>Table1_14[[#This Row],[Registered]]/SUM(Table1_14[Registered])</f>
        <v>4.2194386082455241E-3</v>
      </c>
      <c r="N61" t="str">
        <f xml:space="preserve"> IF(OR(Table1_14[[#This Row],[Appearance Rate]]&lt;0, Table1_14[[#This Row],[Appearance Rate]]&gt;1), "FLAG", "OK")</f>
        <v>OK</v>
      </c>
      <c r="O61" t="str">
        <f xml:space="preserve"> IF(Table1_14[[#This Row],[Appeared]]&gt;Table1_14[[#This Row],[Registered]], "FLAG", "OK")</f>
        <v>OK</v>
      </c>
      <c r="P61" t="str">
        <f xml:space="preserve"> IF(OR(ISBLANK(Table1_14[[#This Row],[Registered]]), ISBLANK(Table1_14[[#This Row],[Appeared]]), Table1_14[[#This Row],[Registered]]=0, Table1_14[[#This Row],[Appeared]]=0), "FLAG", "OK")</f>
        <v>OK</v>
      </c>
    </row>
    <row r="62" spans="1:16" x14ac:dyDescent="0.3">
      <c r="A62">
        <v>12</v>
      </c>
      <c r="B62">
        <v>2022</v>
      </c>
      <c r="C62" t="s">
        <v>22</v>
      </c>
      <c r="D62" t="s">
        <v>4</v>
      </c>
      <c r="E62">
        <v>0</v>
      </c>
      <c r="F62">
        <v>0</v>
      </c>
      <c r="I62" t="s">
        <v>35</v>
      </c>
      <c r="J62" t="str">
        <f>IF(Table1_14[[#This Row],[Registered]] = 0, "ABSENT", "NON_ZERO")</f>
        <v>ABSENT</v>
      </c>
      <c r="K62" t="str">
        <f>IF(Table1_14[[#This Row],[Registered]] = 0, "ABSENT_BASE", IF(Table1_14[[#This Row],[Registered]]&lt;100, "SMALL_BASE", "VALID_BASE"))</f>
        <v>ABSENT_BASE</v>
      </c>
      <c r="L62" t="str">
        <f>IF(Table1_14[[#This Row],[Registered]]=0, "ABSENT", IF(Table1_14[[#This Row],[Appearance Rate]]&lt;0.98, "LOW_RATE", IF(AND(Table1_14[[#This Row],[Appearance Rate]]=1, Table1_14[[#This Row],[Registered]]&lt;100), "SUSPICIOUS_PERFECTION", "NORMAL")))</f>
        <v>ABSENT</v>
      </c>
      <c r="M62" s="4">
        <f>Table1_14[[#This Row],[Registered]]/SUM(Table1_14[Registered])</f>
        <v>0</v>
      </c>
      <c r="N62" t="str">
        <f xml:space="preserve"> IF(OR(Table1_14[[#This Row],[Appearance Rate]]&lt;0, Table1_14[[#This Row],[Appearance Rate]]&gt;1), "FLAG", "OK")</f>
        <v>OK</v>
      </c>
      <c r="O62" t="str">
        <f xml:space="preserve"> IF(Table1_14[[#This Row],[Appeared]]&gt;Table1_14[[#This Row],[Registered]], "FLAG", "OK")</f>
        <v>OK</v>
      </c>
      <c r="P62" t="str">
        <f xml:space="preserve"> IF(OR(ISBLANK(Table1_14[[#This Row],[Registered]]), ISBLANK(Table1_14[[#This Row],[Appeared]]), Table1_14[[#This Row],[Registered]]=0, Table1_14[[#This Row],[Appeared]]=0), "FLAG", "OK")</f>
        <v>FLAG</v>
      </c>
    </row>
    <row r="63" spans="1:16" x14ac:dyDescent="0.3">
      <c r="A63">
        <v>12</v>
      </c>
      <c r="B63">
        <v>2022</v>
      </c>
      <c r="C63" t="s">
        <v>22</v>
      </c>
      <c r="D63" t="s">
        <v>5</v>
      </c>
      <c r="E63">
        <v>278</v>
      </c>
      <c r="F63">
        <v>272</v>
      </c>
      <c r="G63">
        <v>0.97841726618705038</v>
      </c>
      <c r="H63">
        <v>2.1582733812949617E-2</v>
      </c>
      <c r="J63" t="str">
        <f>IF(Table1_14[[#This Row],[Registered]] = 0, "ABSENT", "NON_ZERO")</f>
        <v>NON_ZERO</v>
      </c>
      <c r="K63" t="str">
        <f>IF(Table1_14[[#This Row],[Registered]] = 0, "ABSENT_BASE", IF(Table1_14[[#This Row],[Registered]]&lt;100, "SMALL_BASE", "VALID_BASE"))</f>
        <v>VALID_BASE</v>
      </c>
      <c r="L63" t="str">
        <f>IF(Table1_14[[#This Row],[Registered]]=0, "ABSENT", IF(Table1_14[[#This Row],[Appearance Rate]]&lt;0.98, "LOW_RATE", IF(AND(Table1_14[[#This Row],[Appearance Rate]]=1, Table1_14[[#This Row],[Registered]]&lt;100), "SUSPICIOUS_PERFECTION", "NORMAL")))</f>
        <v>LOW_RATE</v>
      </c>
      <c r="M63" s="4">
        <f>Table1_14[[#This Row],[Registered]]/SUM(Table1_14[Registered])</f>
        <v>1.9321428645894509E-4</v>
      </c>
      <c r="N63" t="str">
        <f xml:space="preserve"> IF(OR(Table1_14[[#This Row],[Appearance Rate]]&lt;0, Table1_14[[#This Row],[Appearance Rate]]&gt;1), "FLAG", "OK")</f>
        <v>OK</v>
      </c>
      <c r="O63" t="str">
        <f xml:space="preserve"> IF(Table1_14[[#This Row],[Appeared]]&gt;Table1_14[[#This Row],[Registered]], "FLAG", "OK")</f>
        <v>OK</v>
      </c>
      <c r="P63" t="str">
        <f xml:space="preserve"> IF(OR(ISBLANK(Table1_14[[#This Row],[Registered]]), ISBLANK(Table1_14[[#This Row],[Appeared]]), Table1_14[[#This Row],[Registered]]=0, Table1_14[[#This Row],[Appeared]]=0), "FLAG", "OK")</f>
        <v>OK</v>
      </c>
    </row>
    <row r="64" spans="1:16" x14ac:dyDescent="0.3">
      <c r="A64">
        <v>12</v>
      </c>
      <c r="B64">
        <v>2022</v>
      </c>
      <c r="C64" t="s">
        <v>22</v>
      </c>
      <c r="D64" t="s">
        <v>6</v>
      </c>
      <c r="E64">
        <v>921</v>
      </c>
      <c r="F64">
        <v>920</v>
      </c>
      <c r="G64">
        <v>0.998914223669924</v>
      </c>
      <c r="H64">
        <v>1.0857763300760048E-3</v>
      </c>
      <c r="J64" t="str">
        <f>IF(Table1_14[[#This Row],[Registered]] = 0, "ABSENT", "NON_ZERO")</f>
        <v>NON_ZERO</v>
      </c>
      <c r="K64" t="str">
        <f>IF(Table1_14[[#This Row],[Registered]] = 0, "ABSENT_BASE", IF(Table1_14[[#This Row],[Registered]]&lt;100, "SMALL_BASE", "VALID_BASE"))</f>
        <v>VALID_BASE</v>
      </c>
      <c r="L64" t="str">
        <f>IF(Table1_14[[#This Row],[Registered]]=0, "ABSENT", IF(Table1_14[[#This Row],[Appearance Rate]]&lt;0.98, "LOW_RATE", IF(AND(Table1_14[[#This Row],[Appearance Rate]]=1, Table1_14[[#This Row],[Registered]]&lt;100), "SUSPICIOUS_PERFECTION", "NORMAL")))</f>
        <v>NORMAL</v>
      </c>
      <c r="M64" s="4">
        <f>Table1_14[[#This Row],[Registered]]/SUM(Table1_14[Registered])</f>
        <v>6.4010920082262029E-4</v>
      </c>
      <c r="N64" t="str">
        <f xml:space="preserve"> IF(OR(Table1_14[[#This Row],[Appearance Rate]]&lt;0, Table1_14[[#This Row],[Appearance Rate]]&gt;1), "FLAG", "OK")</f>
        <v>OK</v>
      </c>
      <c r="O64" t="str">
        <f xml:space="preserve"> IF(Table1_14[[#This Row],[Appeared]]&gt;Table1_14[[#This Row],[Registered]], "FLAG", "OK")</f>
        <v>OK</v>
      </c>
      <c r="P64" t="str">
        <f xml:space="preserve"> IF(OR(ISBLANK(Table1_14[[#This Row],[Registered]]), ISBLANK(Table1_14[[#This Row],[Appeared]]), Table1_14[[#This Row],[Registered]]=0, Table1_14[[#This Row],[Appeared]]=0), "FLAG", "OK")</f>
        <v>OK</v>
      </c>
    </row>
    <row r="65" spans="1:16" x14ac:dyDescent="0.3">
      <c r="A65">
        <v>12</v>
      </c>
      <c r="B65">
        <v>2022</v>
      </c>
      <c r="C65" t="s">
        <v>22</v>
      </c>
      <c r="D65" t="s">
        <v>7</v>
      </c>
      <c r="E65">
        <v>100688</v>
      </c>
      <c r="F65">
        <v>99746</v>
      </c>
      <c r="G65">
        <v>0.99064436675671386</v>
      </c>
      <c r="H65">
        <v>9.3556332432861433E-3</v>
      </c>
      <c r="J65" t="str">
        <f>IF(Table1_14[[#This Row],[Registered]] = 0, "ABSENT", "NON_ZERO")</f>
        <v>NON_ZERO</v>
      </c>
      <c r="K65" t="str">
        <f>IF(Table1_14[[#This Row],[Registered]] = 0, "ABSENT_BASE", IF(Table1_14[[#This Row],[Registered]]&lt;100, "SMALL_BASE", "VALID_BASE"))</f>
        <v>VALID_BASE</v>
      </c>
      <c r="L65" t="str">
        <f>IF(Table1_14[[#This Row],[Registered]]=0, "ABSENT", IF(Table1_14[[#This Row],[Appearance Rate]]&lt;0.98, "LOW_RATE", IF(AND(Table1_14[[#This Row],[Appearance Rate]]=1, Table1_14[[#This Row],[Registered]]&lt;100), "SUSPICIOUS_PERFECTION", "NORMAL")))</f>
        <v>NORMAL</v>
      </c>
      <c r="M65" s="4">
        <f>Table1_14[[#This Row],[Registered]]/SUM(Table1_14[Registered])</f>
        <v>6.9979712499921812E-2</v>
      </c>
      <c r="N65" t="str">
        <f xml:space="preserve"> IF(OR(Table1_14[[#This Row],[Appearance Rate]]&lt;0, Table1_14[[#This Row],[Appearance Rate]]&gt;1), "FLAG", "OK")</f>
        <v>OK</v>
      </c>
      <c r="O65" t="str">
        <f xml:space="preserve"> IF(Table1_14[[#This Row],[Appeared]]&gt;Table1_14[[#This Row],[Registered]], "FLAG", "OK")</f>
        <v>OK</v>
      </c>
      <c r="P65" t="str">
        <f xml:space="preserve"> IF(OR(ISBLANK(Table1_14[[#This Row],[Registered]]), ISBLANK(Table1_14[[#This Row],[Appeared]]), Table1_14[[#This Row],[Registered]]=0, Table1_14[[#This Row],[Appeared]]=0), "FLAG", "OK")</f>
        <v>OK</v>
      </c>
    </row>
    <row r="66" spans="1:16" x14ac:dyDescent="0.3">
      <c r="A66">
        <v>12</v>
      </c>
      <c r="B66">
        <v>2022</v>
      </c>
      <c r="C66" t="s">
        <v>22</v>
      </c>
      <c r="D66" t="s">
        <v>8</v>
      </c>
      <c r="E66">
        <v>1069</v>
      </c>
      <c r="F66">
        <v>1060</v>
      </c>
      <c r="G66">
        <v>0.99158091674462112</v>
      </c>
      <c r="H66">
        <v>8.4190832553788786E-3</v>
      </c>
      <c r="J66" t="str">
        <f>IF(Table1_14[[#This Row],[Registered]] = 0, "ABSENT", "NON_ZERO")</f>
        <v>NON_ZERO</v>
      </c>
      <c r="K66" t="str">
        <f>IF(Table1_14[[#This Row],[Registered]] = 0, "ABSENT_BASE", IF(Table1_14[[#This Row],[Registered]]&lt;100, "SMALL_BASE", "VALID_BASE"))</f>
        <v>VALID_BASE</v>
      </c>
      <c r="L66" t="str">
        <f>IF(Table1_14[[#This Row],[Registered]]=0, "ABSENT", IF(Table1_14[[#This Row],[Appearance Rate]]&lt;0.98, "LOW_RATE", IF(AND(Table1_14[[#This Row],[Appearance Rate]]=1, Table1_14[[#This Row],[Registered]]&lt;100), "SUSPICIOUS_PERFECTION", "NORMAL")))</f>
        <v>NORMAL</v>
      </c>
      <c r="M66" s="4">
        <f>Table1_14[[#This Row],[Registered]]/SUM(Table1_14[Registered])</f>
        <v>7.4297148282234638E-4</v>
      </c>
      <c r="N66" t="str">
        <f xml:space="preserve"> IF(OR(Table1_14[[#This Row],[Appearance Rate]]&lt;0, Table1_14[[#This Row],[Appearance Rate]]&gt;1), "FLAG", "OK")</f>
        <v>OK</v>
      </c>
      <c r="O66" t="str">
        <f xml:space="preserve"> IF(Table1_14[[#This Row],[Appeared]]&gt;Table1_14[[#This Row],[Registered]], "FLAG", "OK")</f>
        <v>OK</v>
      </c>
      <c r="P66" t="str">
        <f xml:space="preserve"> IF(OR(ISBLANK(Table1_14[[#This Row],[Registered]]), ISBLANK(Table1_14[[#This Row],[Appeared]]), Table1_14[[#This Row],[Registered]]=0, Table1_14[[#This Row],[Appeared]]=0), "FLAG", "OK")</f>
        <v>OK</v>
      </c>
    </row>
    <row r="67" spans="1:16" x14ac:dyDescent="0.3">
      <c r="A67">
        <v>12</v>
      </c>
      <c r="B67">
        <v>2022</v>
      </c>
      <c r="C67" t="s">
        <v>22</v>
      </c>
      <c r="D67" t="s">
        <v>9</v>
      </c>
      <c r="E67">
        <v>4480</v>
      </c>
      <c r="F67">
        <v>4471</v>
      </c>
      <c r="G67">
        <v>0.99799107142857146</v>
      </c>
      <c r="H67">
        <v>2.0089285714285365E-3</v>
      </c>
      <c r="J67" t="str">
        <f>IF(Table1_14[[#This Row],[Registered]] = 0, "ABSENT", "NON_ZERO")</f>
        <v>NON_ZERO</v>
      </c>
      <c r="K67" t="str">
        <f>IF(Table1_14[[#This Row],[Registered]] = 0, "ABSENT_BASE", IF(Table1_14[[#This Row],[Registered]]&lt;100, "SMALL_BASE", "VALID_BASE"))</f>
        <v>VALID_BASE</v>
      </c>
      <c r="L67" t="str">
        <f>IF(Table1_14[[#This Row],[Registered]]=0, "ABSENT", IF(Table1_14[[#This Row],[Appearance Rate]]&lt;0.98, "LOW_RATE", IF(AND(Table1_14[[#This Row],[Appearance Rate]]=1, Table1_14[[#This Row],[Registered]]&lt;100), "SUSPICIOUS_PERFECTION", "NORMAL")))</f>
        <v>NORMAL</v>
      </c>
      <c r="M67" s="4">
        <f>Table1_14[[#This Row],[Registered]]/SUM(Table1_14[Registered])</f>
        <v>3.1136690767484677E-3</v>
      </c>
      <c r="N67" t="str">
        <f xml:space="preserve"> IF(OR(Table1_14[[#This Row],[Appearance Rate]]&lt;0, Table1_14[[#This Row],[Appearance Rate]]&gt;1), "FLAG", "OK")</f>
        <v>OK</v>
      </c>
      <c r="O67" t="str">
        <f xml:space="preserve"> IF(Table1_14[[#This Row],[Appeared]]&gt;Table1_14[[#This Row],[Registered]], "FLAG", "OK")</f>
        <v>OK</v>
      </c>
      <c r="P67" t="str">
        <f xml:space="preserve"> IF(OR(ISBLANK(Table1_14[[#This Row],[Registered]]), ISBLANK(Table1_14[[#This Row],[Appeared]]), Table1_14[[#This Row],[Registered]]=0, Table1_14[[#This Row],[Appeared]]=0), "FLAG", "OK")</f>
        <v>OK</v>
      </c>
    </row>
    <row r="68" spans="1:16" x14ac:dyDescent="0.3">
      <c r="A68">
        <v>12</v>
      </c>
      <c r="B68">
        <v>2022</v>
      </c>
      <c r="C68" t="s">
        <v>18</v>
      </c>
      <c r="D68" t="s">
        <v>4</v>
      </c>
      <c r="E68">
        <v>38</v>
      </c>
      <c r="F68">
        <v>38</v>
      </c>
      <c r="G68">
        <v>1</v>
      </c>
      <c r="H68">
        <v>0</v>
      </c>
      <c r="J68" t="str">
        <f>IF(Table1_14[[#This Row],[Registered]] = 0, "ABSENT", "NON_ZERO")</f>
        <v>NON_ZERO</v>
      </c>
      <c r="K68" t="str">
        <f>IF(Table1_14[[#This Row],[Registered]] = 0, "ABSENT_BASE", IF(Table1_14[[#This Row],[Registered]]&lt;100, "SMALL_BASE", "VALID_BASE"))</f>
        <v>SMALL_BASE</v>
      </c>
      <c r="L68" t="str">
        <f>IF(Table1_14[[#This Row],[Registered]]=0, "ABSENT", IF(Table1_14[[#This Row],[Appearance Rate]]&lt;0.98, "LOW_RATE", IF(AND(Table1_14[[#This Row],[Appearance Rate]]=1, Table1_14[[#This Row],[Registered]]&lt;100), "SUSPICIOUS_PERFECTION", "NORMAL")))</f>
        <v>SUSPICIOUS_PERFECTION</v>
      </c>
      <c r="M68" s="4">
        <f>Table1_14[[#This Row],[Registered]]/SUM(Table1_14[Registered])</f>
        <v>2.6410585918848608E-5</v>
      </c>
      <c r="N68" t="str">
        <f xml:space="preserve"> IF(OR(Table1_14[[#This Row],[Appearance Rate]]&lt;0, Table1_14[[#This Row],[Appearance Rate]]&gt;1), "FLAG", "OK")</f>
        <v>OK</v>
      </c>
      <c r="O68" t="str">
        <f xml:space="preserve"> IF(Table1_14[[#This Row],[Appeared]]&gt;Table1_14[[#This Row],[Registered]], "FLAG", "OK")</f>
        <v>OK</v>
      </c>
      <c r="P68" t="str">
        <f xml:space="preserve"> IF(OR(ISBLANK(Table1_14[[#This Row],[Registered]]), ISBLANK(Table1_14[[#This Row],[Appeared]]), Table1_14[[#This Row],[Registered]]=0, Table1_14[[#This Row],[Appeared]]=0), "FLAG", "OK")</f>
        <v>OK</v>
      </c>
    </row>
    <row r="69" spans="1:16" x14ac:dyDescent="0.3">
      <c r="A69">
        <v>12</v>
      </c>
      <c r="B69">
        <v>2022</v>
      </c>
      <c r="C69" t="s">
        <v>18</v>
      </c>
      <c r="D69" t="s">
        <v>5</v>
      </c>
      <c r="E69">
        <v>357</v>
      </c>
      <c r="F69">
        <v>357</v>
      </c>
      <c r="G69">
        <v>1</v>
      </c>
      <c r="H69">
        <v>0</v>
      </c>
      <c r="J69" t="str">
        <f>IF(Table1_14[[#This Row],[Registered]] = 0, "ABSENT", "NON_ZERO")</f>
        <v>NON_ZERO</v>
      </c>
      <c r="K69" t="str">
        <f>IF(Table1_14[[#This Row],[Registered]] = 0, "ABSENT_BASE", IF(Table1_14[[#This Row],[Registered]]&lt;100, "SMALL_BASE", "VALID_BASE"))</f>
        <v>VALID_BASE</v>
      </c>
      <c r="L69" t="str">
        <f>IF(Table1_14[[#This Row],[Registered]]=0, "ABSENT", IF(Table1_14[[#This Row],[Appearance Rate]]&lt;0.98, "LOW_RATE", IF(AND(Table1_14[[#This Row],[Appearance Rate]]=1, Table1_14[[#This Row],[Registered]]&lt;100), "SUSPICIOUS_PERFECTION", "NORMAL")))</f>
        <v>NORMAL</v>
      </c>
      <c r="M69" s="4">
        <f>Table1_14[[#This Row],[Registered]]/SUM(Table1_14[Registered])</f>
        <v>2.4812050455339353E-4</v>
      </c>
      <c r="N69" t="str">
        <f xml:space="preserve"> IF(OR(Table1_14[[#This Row],[Appearance Rate]]&lt;0, Table1_14[[#This Row],[Appearance Rate]]&gt;1), "FLAG", "OK")</f>
        <v>OK</v>
      </c>
      <c r="O69" t="str">
        <f xml:space="preserve"> IF(Table1_14[[#This Row],[Appeared]]&gt;Table1_14[[#This Row],[Registered]], "FLAG", "OK")</f>
        <v>OK</v>
      </c>
      <c r="P69" t="str">
        <f xml:space="preserve"> IF(OR(ISBLANK(Table1_14[[#This Row],[Registered]]), ISBLANK(Table1_14[[#This Row],[Appeared]]), Table1_14[[#This Row],[Registered]]=0, Table1_14[[#This Row],[Appeared]]=0), "FLAG", "OK")</f>
        <v>OK</v>
      </c>
    </row>
    <row r="70" spans="1:16" x14ac:dyDescent="0.3">
      <c r="A70">
        <v>12</v>
      </c>
      <c r="B70">
        <v>2022</v>
      </c>
      <c r="C70" t="s">
        <v>18</v>
      </c>
      <c r="D70" t="s">
        <v>6</v>
      </c>
      <c r="E70">
        <v>0</v>
      </c>
      <c r="F70">
        <v>0</v>
      </c>
      <c r="I70" t="s">
        <v>35</v>
      </c>
      <c r="J70" t="str">
        <f>IF(Table1_14[[#This Row],[Registered]] = 0, "ABSENT", "NON_ZERO")</f>
        <v>ABSENT</v>
      </c>
      <c r="K70" t="str">
        <f>IF(Table1_14[[#This Row],[Registered]] = 0, "ABSENT_BASE", IF(Table1_14[[#This Row],[Registered]]&lt;100, "SMALL_BASE", "VALID_BASE"))</f>
        <v>ABSENT_BASE</v>
      </c>
      <c r="L70" t="str">
        <f>IF(Table1_14[[#This Row],[Registered]]=0, "ABSENT", IF(Table1_14[[#This Row],[Appearance Rate]]&lt;0.98, "LOW_RATE", IF(AND(Table1_14[[#This Row],[Appearance Rate]]=1, Table1_14[[#This Row],[Registered]]&lt;100), "SUSPICIOUS_PERFECTION", "NORMAL")))</f>
        <v>ABSENT</v>
      </c>
      <c r="M70" s="4">
        <f>Table1_14[[#This Row],[Registered]]/SUM(Table1_14[Registered])</f>
        <v>0</v>
      </c>
      <c r="N70" t="str">
        <f xml:space="preserve"> IF(OR(Table1_14[[#This Row],[Appearance Rate]]&lt;0, Table1_14[[#This Row],[Appearance Rate]]&gt;1), "FLAG", "OK")</f>
        <v>OK</v>
      </c>
      <c r="O70" t="str">
        <f xml:space="preserve"> IF(Table1_14[[#This Row],[Appeared]]&gt;Table1_14[[#This Row],[Registered]], "FLAG", "OK")</f>
        <v>OK</v>
      </c>
      <c r="P70" t="str">
        <f xml:space="preserve"> IF(OR(ISBLANK(Table1_14[[#This Row],[Registered]]), ISBLANK(Table1_14[[#This Row],[Appeared]]), Table1_14[[#This Row],[Registered]]=0, Table1_14[[#This Row],[Appeared]]=0), "FLAG", "OK")</f>
        <v>FLAG</v>
      </c>
    </row>
    <row r="71" spans="1:16" x14ac:dyDescent="0.3">
      <c r="A71">
        <v>12</v>
      </c>
      <c r="B71">
        <v>2022</v>
      </c>
      <c r="C71" t="s">
        <v>18</v>
      </c>
      <c r="D71" t="s">
        <v>7</v>
      </c>
      <c r="E71">
        <v>118675</v>
      </c>
      <c r="F71">
        <v>118046</v>
      </c>
      <c r="G71">
        <v>0.99469981040657263</v>
      </c>
      <c r="H71">
        <v>5.3001895934273735E-3</v>
      </c>
      <c r="J71" t="str">
        <f>IF(Table1_14[[#This Row],[Registered]] = 0, "ABSENT", "NON_ZERO")</f>
        <v>NON_ZERO</v>
      </c>
      <c r="K71" t="str">
        <f>IF(Table1_14[[#This Row],[Registered]] = 0, "ABSENT_BASE", IF(Table1_14[[#This Row],[Registered]]&lt;100, "SMALL_BASE", "VALID_BASE"))</f>
        <v>VALID_BASE</v>
      </c>
      <c r="L71" t="str">
        <f>IF(Table1_14[[#This Row],[Registered]]=0, "ABSENT", IF(Table1_14[[#This Row],[Appearance Rate]]&lt;0.98, "LOW_RATE", IF(AND(Table1_14[[#This Row],[Appearance Rate]]=1, Table1_14[[#This Row],[Registered]]&lt;100), "SUSPICIOUS_PERFECTION", "NORMAL")))</f>
        <v>NORMAL</v>
      </c>
      <c r="M71" s="4">
        <f>Table1_14[[#This Row],[Registered]]/SUM(Table1_14[Registered])</f>
        <v>8.248095483998312E-2</v>
      </c>
      <c r="N71" t="str">
        <f xml:space="preserve"> IF(OR(Table1_14[[#This Row],[Appearance Rate]]&lt;0, Table1_14[[#This Row],[Appearance Rate]]&gt;1), "FLAG", "OK")</f>
        <v>OK</v>
      </c>
      <c r="O71" t="str">
        <f xml:space="preserve"> IF(Table1_14[[#This Row],[Appeared]]&gt;Table1_14[[#This Row],[Registered]], "FLAG", "OK")</f>
        <v>OK</v>
      </c>
      <c r="P71" t="str">
        <f xml:space="preserve"> IF(OR(ISBLANK(Table1_14[[#This Row],[Registered]]), ISBLANK(Table1_14[[#This Row],[Appeared]]), Table1_14[[#This Row],[Registered]]=0, Table1_14[[#This Row],[Appeared]]=0), "FLAG", "OK")</f>
        <v>OK</v>
      </c>
    </row>
    <row r="72" spans="1:16" x14ac:dyDescent="0.3">
      <c r="A72">
        <v>12</v>
      </c>
      <c r="B72">
        <v>2022</v>
      </c>
      <c r="C72" t="s">
        <v>18</v>
      </c>
      <c r="D72" t="s">
        <v>8</v>
      </c>
      <c r="E72">
        <v>2231</v>
      </c>
      <c r="F72">
        <v>2225</v>
      </c>
      <c r="G72">
        <v>0.99731062303899598</v>
      </c>
      <c r="H72">
        <v>2.6893769610040197E-3</v>
      </c>
      <c r="J72" t="str">
        <f>IF(Table1_14[[#This Row],[Registered]] = 0, "ABSENT", "NON_ZERO")</f>
        <v>NON_ZERO</v>
      </c>
      <c r="K72" t="str">
        <f>IF(Table1_14[[#This Row],[Registered]] = 0, "ABSENT_BASE", IF(Table1_14[[#This Row],[Registered]]&lt;100, "SMALL_BASE", "VALID_BASE"))</f>
        <v>VALID_BASE</v>
      </c>
      <c r="L72" t="str">
        <f>IF(Table1_14[[#This Row],[Registered]]=0, "ABSENT", IF(Table1_14[[#This Row],[Appearance Rate]]&lt;0.98, "LOW_RATE", IF(AND(Table1_14[[#This Row],[Appearance Rate]]=1, Table1_14[[#This Row],[Registered]]&lt;100), "SUSPICIOUS_PERFECTION", "NORMAL")))</f>
        <v>NORMAL</v>
      </c>
      <c r="M72" s="4">
        <f>Table1_14[[#This Row],[Registered]]/SUM(Table1_14[Registered])</f>
        <v>1.5505793996039802E-3</v>
      </c>
      <c r="N72" t="str">
        <f xml:space="preserve"> IF(OR(Table1_14[[#This Row],[Appearance Rate]]&lt;0, Table1_14[[#This Row],[Appearance Rate]]&gt;1), "FLAG", "OK")</f>
        <v>OK</v>
      </c>
      <c r="O72" t="str">
        <f xml:space="preserve"> IF(Table1_14[[#This Row],[Appeared]]&gt;Table1_14[[#This Row],[Registered]], "FLAG", "OK")</f>
        <v>OK</v>
      </c>
      <c r="P72" t="str">
        <f xml:space="preserve"> IF(OR(ISBLANK(Table1_14[[#This Row],[Registered]]), ISBLANK(Table1_14[[#This Row],[Appeared]]), Table1_14[[#This Row],[Registered]]=0, Table1_14[[#This Row],[Appeared]]=0), "FLAG", "OK")</f>
        <v>OK</v>
      </c>
    </row>
    <row r="73" spans="1:16" x14ac:dyDescent="0.3">
      <c r="A73">
        <v>12</v>
      </c>
      <c r="B73">
        <v>2022</v>
      </c>
      <c r="C73" t="s">
        <v>18</v>
      </c>
      <c r="D73" t="s">
        <v>9</v>
      </c>
      <c r="E73">
        <v>3615</v>
      </c>
      <c r="F73">
        <v>3607</v>
      </c>
      <c r="G73">
        <v>0.99778699861687414</v>
      </c>
      <c r="H73">
        <v>2.2130013831258566E-3</v>
      </c>
      <c r="J73" t="str">
        <f>IF(Table1_14[[#This Row],[Registered]] = 0, "ABSENT", "NON_ZERO")</f>
        <v>NON_ZERO</v>
      </c>
      <c r="K73" t="str">
        <f>IF(Table1_14[[#This Row],[Registered]] = 0, "ABSENT_BASE", IF(Table1_14[[#This Row],[Registered]]&lt;100, "SMALL_BASE", "VALID_BASE"))</f>
        <v>VALID_BASE</v>
      </c>
      <c r="L73" t="str">
        <f>IF(Table1_14[[#This Row],[Registered]]=0, "ABSENT", IF(Table1_14[[#This Row],[Appearance Rate]]&lt;0.98, "LOW_RATE", IF(AND(Table1_14[[#This Row],[Appearance Rate]]=1, Table1_14[[#This Row],[Registered]]&lt;100), "SUSPICIOUS_PERFECTION", "NORMAL")))</f>
        <v>NORMAL</v>
      </c>
      <c r="M73" s="4">
        <f>Table1_14[[#This Row],[Registered]]/SUM(Table1_14[Registered])</f>
        <v>2.5124807393852033E-3</v>
      </c>
      <c r="N73" t="str">
        <f xml:space="preserve"> IF(OR(Table1_14[[#This Row],[Appearance Rate]]&lt;0, Table1_14[[#This Row],[Appearance Rate]]&gt;1), "FLAG", "OK")</f>
        <v>OK</v>
      </c>
      <c r="O73" t="str">
        <f xml:space="preserve"> IF(Table1_14[[#This Row],[Appeared]]&gt;Table1_14[[#This Row],[Registered]], "FLAG", "OK")</f>
        <v>OK</v>
      </c>
      <c r="P73" t="str">
        <f xml:space="preserve"> IF(OR(ISBLANK(Table1_14[[#This Row],[Registered]]), ISBLANK(Table1_14[[#This Row],[Appeared]]), Table1_14[[#This Row],[Registered]]=0, Table1_14[[#This Row],[Appeared]]=0), "FLAG", "OK")</f>
        <v>OK</v>
      </c>
    </row>
    <row r="74" spans="1:16" x14ac:dyDescent="0.3">
      <c r="A74">
        <v>12</v>
      </c>
      <c r="B74">
        <v>2022</v>
      </c>
      <c r="C74" t="s">
        <v>23</v>
      </c>
      <c r="D74" t="s">
        <v>4</v>
      </c>
      <c r="E74">
        <v>0</v>
      </c>
      <c r="F74">
        <v>0</v>
      </c>
      <c r="I74" t="s">
        <v>35</v>
      </c>
      <c r="J74" t="str">
        <f>IF(Table1_14[[#This Row],[Registered]] = 0, "ABSENT", "NON_ZERO")</f>
        <v>ABSENT</v>
      </c>
      <c r="K74" t="str">
        <f>IF(Table1_14[[#This Row],[Registered]] = 0, "ABSENT_BASE", IF(Table1_14[[#This Row],[Registered]]&lt;100, "SMALL_BASE", "VALID_BASE"))</f>
        <v>ABSENT_BASE</v>
      </c>
      <c r="L74" t="str">
        <f>IF(Table1_14[[#This Row],[Registered]]=0, "ABSENT", IF(Table1_14[[#This Row],[Appearance Rate]]&lt;0.98, "LOW_RATE", IF(AND(Table1_14[[#This Row],[Appearance Rate]]=1, Table1_14[[#This Row],[Registered]]&lt;100), "SUSPICIOUS_PERFECTION", "NORMAL")))</f>
        <v>ABSENT</v>
      </c>
      <c r="M74" s="4">
        <f>Table1_14[[#This Row],[Registered]]/SUM(Table1_14[Registered])</f>
        <v>0</v>
      </c>
      <c r="N74" t="str">
        <f xml:space="preserve"> IF(OR(Table1_14[[#This Row],[Appearance Rate]]&lt;0, Table1_14[[#This Row],[Appearance Rate]]&gt;1), "FLAG", "OK")</f>
        <v>OK</v>
      </c>
      <c r="O74" t="str">
        <f xml:space="preserve"> IF(Table1_14[[#This Row],[Appeared]]&gt;Table1_14[[#This Row],[Registered]], "FLAG", "OK")</f>
        <v>OK</v>
      </c>
      <c r="P74" t="str">
        <f xml:space="preserve"> IF(OR(ISBLANK(Table1_14[[#This Row],[Registered]]), ISBLANK(Table1_14[[#This Row],[Appeared]]), Table1_14[[#This Row],[Registered]]=0, Table1_14[[#This Row],[Appeared]]=0), "FLAG", "OK")</f>
        <v>FLAG</v>
      </c>
    </row>
    <row r="75" spans="1:16" x14ac:dyDescent="0.3">
      <c r="A75">
        <v>12</v>
      </c>
      <c r="B75">
        <v>2022</v>
      </c>
      <c r="C75" t="s">
        <v>23</v>
      </c>
      <c r="D75" t="s">
        <v>5</v>
      </c>
      <c r="E75">
        <v>84</v>
      </c>
      <c r="F75">
        <v>83</v>
      </c>
      <c r="G75">
        <v>0.98809523809523814</v>
      </c>
      <c r="H75">
        <v>1.1904761904761862E-2</v>
      </c>
      <c r="J75" t="str">
        <f>IF(Table1_14[[#This Row],[Registered]] = 0, "ABSENT", "NON_ZERO")</f>
        <v>NON_ZERO</v>
      </c>
      <c r="K75" t="str">
        <f>IF(Table1_14[[#This Row],[Registered]] = 0, "ABSENT_BASE", IF(Table1_14[[#This Row],[Registered]]&lt;100, "SMALL_BASE", "VALID_BASE"))</f>
        <v>SMALL_BASE</v>
      </c>
      <c r="L75" t="str">
        <f>IF(Table1_14[[#This Row],[Registered]]=0, "ABSENT", IF(Table1_14[[#This Row],[Appearance Rate]]&lt;0.98, "LOW_RATE", IF(AND(Table1_14[[#This Row],[Appearance Rate]]=1, Table1_14[[#This Row],[Registered]]&lt;100), "SUSPICIOUS_PERFECTION", "NORMAL")))</f>
        <v>NORMAL</v>
      </c>
      <c r="M75" s="4">
        <f>Table1_14[[#This Row],[Registered]]/SUM(Table1_14[Registered])</f>
        <v>5.8381295189033768E-5</v>
      </c>
      <c r="N75" t="str">
        <f xml:space="preserve"> IF(OR(Table1_14[[#This Row],[Appearance Rate]]&lt;0, Table1_14[[#This Row],[Appearance Rate]]&gt;1), "FLAG", "OK")</f>
        <v>OK</v>
      </c>
      <c r="O75" t="str">
        <f xml:space="preserve"> IF(Table1_14[[#This Row],[Appeared]]&gt;Table1_14[[#This Row],[Registered]], "FLAG", "OK")</f>
        <v>OK</v>
      </c>
      <c r="P75" t="str">
        <f xml:space="preserve"> IF(OR(ISBLANK(Table1_14[[#This Row],[Registered]]), ISBLANK(Table1_14[[#This Row],[Appeared]]), Table1_14[[#This Row],[Registered]]=0, Table1_14[[#This Row],[Appeared]]=0), "FLAG", "OK")</f>
        <v>OK</v>
      </c>
    </row>
    <row r="76" spans="1:16" x14ac:dyDescent="0.3">
      <c r="A76">
        <v>12</v>
      </c>
      <c r="B76">
        <v>2022</v>
      </c>
      <c r="C76" t="s">
        <v>23</v>
      </c>
      <c r="D76" t="s">
        <v>6</v>
      </c>
      <c r="E76">
        <v>0</v>
      </c>
      <c r="F76">
        <v>0</v>
      </c>
      <c r="I76" t="s">
        <v>35</v>
      </c>
      <c r="J76" t="str">
        <f>IF(Table1_14[[#This Row],[Registered]] = 0, "ABSENT", "NON_ZERO")</f>
        <v>ABSENT</v>
      </c>
      <c r="K76" t="str">
        <f>IF(Table1_14[[#This Row],[Registered]] = 0, "ABSENT_BASE", IF(Table1_14[[#This Row],[Registered]]&lt;100, "SMALL_BASE", "VALID_BASE"))</f>
        <v>ABSENT_BASE</v>
      </c>
      <c r="L76" t="str">
        <f>IF(Table1_14[[#This Row],[Registered]]=0, "ABSENT", IF(Table1_14[[#This Row],[Appearance Rate]]&lt;0.98, "LOW_RATE", IF(AND(Table1_14[[#This Row],[Appearance Rate]]=1, Table1_14[[#This Row],[Registered]]&lt;100), "SUSPICIOUS_PERFECTION", "NORMAL")))</f>
        <v>ABSENT</v>
      </c>
      <c r="M76" s="4">
        <f>Table1_14[[#This Row],[Registered]]/SUM(Table1_14[Registered])</f>
        <v>0</v>
      </c>
      <c r="N76" t="str">
        <f xml:space="preserve"> IF(OR(Table1_14[[#This Row],[Appearance Rate]]&lt;0, Table1_14[[#This Row],[Appearance Rate]]&gt;1), "FLAG", "OK")</f>
        <v>OK</v>
      </c>
      <c r="O76" t="str">
        <f xml:space="preserve"> IF(Table1_14[[#This Row],[Appeared]]&gt;Table1_14[[#This Row],[Registered]], "FLAG", "OK")</f>
        <v>OK</v>
      </c>
      <c r="P76" t="str">
        <f xml:space="preserve"> IF(OR(ISBLANK(Table1_14[[#This Row],[Registered]]), ISBLANK(Table1_14[[#This Row],[Appeared]]), Table1_14[[#This Row],[Registered]]=0, Table1_14[[#This Row],[Appeared]]=0), "FLAG", "OK")</f>
        <v>FLAG</v>
      </c>
    </row>
    <row r="77" spans="1:16" x14ac:dyDescent="0.3">
      <c r="A77">
        <v>12</v>
      </c>
      <c r="B77">
        <v>2022</v>
      </c>
      <c r="C77" t="s">
        <v>23</v>
      </c>
      <c r="D77" t="s">
        <v>7</v>
      </c>
      <c r="E77">
        <v>84716</v>
      </c>
      <c r="F77">
        <v>83962</v>
      </c>
      <c r="G77">
        <v>0.99109967420558098</v>
      </c>
      <c r="H77">
        <v>8.9003257944190173E-3</v>
      </c>
      <c r="J77" t="str">
        <f>IF(Table1_14[[#This Row],[Registered]] = 0, "ABSENT", "NON_ZERO")</f>
        <v>NON_ZERO</v>
      </c>
      <c r="K77" t="str">
        <f>IF(Table1_14[[#This Row],[Registered]] = 0, "ABSENT_BASE", IF(Table1_14[[#This Row],[Registered]]&lt;100, "SMALL_BASE", "VALID_BASE"))</f>
        <v>VALID_BASE</v>
      </c>
      <c r="L77" t="str">
        <f>IF(Table1_14[[#This Row],[Registered]]=0, "ABSENT", IF(Table1_14[[#This Row],[Appearance Rate]]&lt;0.98, "LOW_RATE", IF(AND(Table1_14[[#This Row],[Appearance Rate]]=1, Table1_14[[#This Row],[Registered]]&lt;100), "SUSPICIOUS_PERFECTION", "NORMAL")))</f>
        <v>NORMAL</v>
      </c>
      <c r="M77" s="4">
        <f>Table1_14[[#This Row],[Registered]]/SUM(Table1_14[Registered])</f>
        <v>5.887892622897839E-2</v>
      </c>
      <c r="N77" t="str">
        <f xml:space="preserve"> IF(OR(Table1_14[[#This Row],[Appearance Rate]]&lt;0, Table1_14[[#This Row],[Appearance Rate]]&gt;1), "FLAG", "OK")</f>
        <v>OK</v>
      </c>
      <c r="O77" t="str">
        <f xml:space="preserve"> IF(Table1_14[[#This Row],[Appeared]]&gt;Table1_14[[#This Row],[Registered]], "FLAG", "OK")</f>
        <v>OK</v>
      </c>
      <c r="P77" t="str">
        <f xml:space="preserve"> IF(OR(ISBLANK(Table1_14[[#This Row],[Registered]]), ISBLANK(Table1_14[[#This Row],[Appeared]]), Table1_14[[#This Row],[Registered]]=0, Table1_14[[#This Row],[Appeared]]=0), "FLAG", "OK")</f>
        <v>OK</v>
      </c>
    </row>
    <row r="78" spans="1:16" x14ac:dyDescent="0.3">
      <c r="A78">
        <v>12</v>
      </c>
      <c r="B78">
        <v>2022</v>
      </c>
      <c r="C78" t="s">
        <v>23</v>
      </c>
      <c r="D78" t="s">
        <v>8</v>
      </c>
      <c r="E78">
        <v>3714</v>
      </c>
      <c r="F78">
        <v>3669</v>
      </c>
      <c r="G78">
        <v>0.98788368336025845</v>
      </c>
      <c r="H78">
        <v>1.2116316639741553E-2</v>
      </c>
      <c r="J78" t="str">
        <f>IF(Table1_14[[#This Row],[Registered]] = 0, "ABSENT", "NON_ZERO")</f>
        <v>NON_ZERO</v>
      </c>
      <c r="K78" t="str">
        <f>IF(Table1_14[[#This Row],[Registered]] = 0, "ABSENT_BASE", IF(Table1_14[[#This Row],[Registered]]&lt;100, "SMALL_BASE", "VALID_BASE"))</f>
        <v>VALID_BASE</v>
      </c>
      <c r="L78" t="str">
        <f>IF(Table1_14[[#This Row],[Registered]]=0, "ABSENT", IF(Table1_14[[#This Row],[Appearance Rate]]&lt;0.98, "LOW_RATE", IF(AND(Table1_14[[#This Row],[Appearance Rate]]=1, Table1_14[[#This Row],[Registered]]&lt;100), "SUSPICIOUS_PERFECTION", "NORMAL")))</f>
        <v>NORMAL</v>
      </c>
      <c r="M78" s="4">
        <f>Table1_14[[#This Row],[Registered]]/SUM(Table1_14[Registered])</f>
        <v>2.581287265857993E-3</v>
      </c>
      <c r="N78" t="str">
        <f xml:space="preserve"> IF(OR(Table1_14[[#This Row],[Appearance Rate]]&lt;0, Table1_14[[#This Row],[Appearance Rate]]&gt;1), "FLAG", "OK")</f>
        <v>OK</v>
      </c>
      <c r="O78" t="str">
        <f xml:space="preserve"> IF(Table1_14[[#This Row],[Appeared]]&gt;Table1_14[[#This Row],[Registered]], "FLAG", "OK")</f>
        <v>OK</v>
      </c>
      <c r="P78" t="str">
        <f xml:space="preserve"> IF(OR(ISBLANK(Table1_14[[#This Row],[Registered]]), ISBLANK(Table1_14[[#This Row],[Appeared]]), Table1_14[[#This Row],[Registered]]=0, Table1_14[[#This Row],[Appeared]]=0), "FLAG", "OK")</f>
        <v>OK</v>
      </c>
    </row>
    <row r="79" spans="1:16" x14ac:dyDescent="0.3">
      <c r="A79">
        <v>12</v>
      </c>
      <c r="B79">
        <v>2022</v>
      </c>
      <c r="C79" t="s">
        <v>23</v>
      </c>
      <c r="D79" t="s">
        <v>9</v>
      </c>
      <c r="E79">
        <v>5409</v>
      </c>
      <c r="F79">
        <v>5398</v>
      </c>
      <c r="G79">
        <v>0.99796635237567022</v>
      </c>
      <c r="H79">
        <v>2.0336476243297819E-3</v>
      </c>
      <c r="J79" t="str">
        <f>IF(Table1_14[[#This Row],[Registered]] = 0, "ABSENT", "NON_ZERO")</f>
        <v>NON_ZERO</v>
      </c>
      <c r="K79" t="str">
        <f>IF(Table1_14[[#This Row],[Registered]] = 0, "ABSENT_BASE", IF(Table1_14[[#This Row],[Registered]]&lt;100, "SMALL_BASE", "VALID_BASE"))</f>
        <v>VALID_BASE</v>
      </c>
      <c r="L79" t="str">
        <f>IF(Table1_14[[#This Row],[Registered]]=0, "ABSENT", IF(Table1_14[[#This Row],[Appearance Rate]]&lt;0.98, "LOW_RATE", IF(AND(Table1_14[[#This Row],[Appearance Rate]]=1, Table1_14[[#This Row],[Registered]]&lt;100), "SUSPICIOUS_PERFECTION", "NORMAL")))</f>
        <v>NORMAL</v>
      </c>
      <c r="M79" s="4">
        <f>Table1_14[[#This Row],[Registered]]/SUM(Table1_14[Registered])</f>
        <v>3.7593384009224243E-3</v>
      </c>
      <c r="N79" t="str">
        <f xml:space="preserve"> IF(OR(Table1_14[[#This Row],[Appearance Rate]]&lt;0, Table1_14[[#This Row],[Appearance Rate]]&gt;1), "FLAG", "OK")</f>
        <v>OK</v>
      </c>
      <c r="O79" t="str">
        <f xml:space="preserve"> IF(Table1_14[[#This Row],[Appeared]]&gt;Table1_14[[#This Row],[Registered]], "FLAG", "OK")</f>
        <v>OK</v>
      </c>
      <c r="P79" t="str">
        <f xml:space="preserve"> IF(OR(ISBLANK(Table1_14[[#This Row],[Registered]]), ISBLANK(Table1_14[[#This Row],[Appeared]]), Table1_14[[#This Row],[Registered]]=0, Table1_14[[#This Row],[Appeared]]=0), "FLAG", "OK")</f>
        <v>OK</v>
      </c>
    </row>
    <row r="80" spans="1:16" x14ac:dyDescent="0.3">
      <c r="A80">
        <v>12</v>
      </c>
      <c r="B80">
        <v>2022</v>
      </c>
      <c r="C80" t="s">
        <v>24</v>
      </c>
      <c r="D80" t="s">
        <v>4</v>
      </c>
      <c r="E80">
        <v>0</v>
      </c>
      <c r="F80">
        <v>0</v>
      </c>
      <c r="I80" t="s">
        <v>35</v>
      </c>
      <c r="J80" t="str">
        <f>IF(Table1_14[[#This Row],[Registered]] = 0, "ABSENT", "NON_ZERO")</f>
        <v>ABSENT</v>
      </c>
      <c r="K80" t="str">
        <f>IF(Table1_14[[#This Row],[Registered]] = 0, "ABSENT_BASE", IF(Table1_14[[#This Row],[Registered]]&lt;100, "SMALL_BASE", "VALID_BASE"))</f>
        <v>ABSENT_BASE</v>
      </c>
      <c r="L80" t="str">
        <f>IF(Table1_14[[#This Row],[Registered]]=0, "ABSENT", IF(Table1_14[[#This Row],[Appearance Rate]]&lt;0.98, "LOW_RATE", IF(AND(Table1_14[[#This Row],[Appearance Rate]]=1, Table1_14[[#This Row],[Registered]]&lt;100), "SUSPICIOUS_PERFECTION", "NORMAL")))</f>
        <v>ABSENT</v>
      </c>
      <c r="M80" s="4">
        <f>Table1_14[[#This Row],[Registered]]/SUM(Table1_14[Registered])</f>
        <v>0</v>
      </c>
      <c r="N80" t="str">
        <f xml:space="preserve"> IF(OR(Table1_14[[#This Row],[Appearance Rate]]&lt;0, Table1_14[[#This Row],[Appearance Rate]]&gt;1), "FLAG", "OK")</f>
        <v>OK</v>
      </c>
      <c r="O80" t="str">
        <f xml:space="preserve"> IF(Table1_14[[#This Row],[Appeared]]&gt;Table1_14[[#This Row],[Registered]], "FLAG", "OK")</f>
        <v>OK</v>
      </c>
      <c r="P80" t="str">
        <f xml:space="preserve"> IF(OR(ISBLANK(Table1_14[[#This Row],[Registered]]), ISBLANK(Table1_14[[#This Row],[Appeared]]), Table1_14[[#This Row],[Registered]]=0, Table1_14[[#This Row],[Appeared]]=0), "FLAG", "OK")</f>
        <v>FLAG</v>
      </c>
    </row>
    <row r="81" spans="1:16" x14ac:dyDescent="0.3">
      <c r="A81">
        <v>12</v>
      </c>
      <c r="B81">
        <v>2022</v>
      </c>
      <c r="C81" t="s">
        <v>24</v>
      </c>
      <c r="D81" t="s">
        <v>5</v>
      </c>
      <c r="E81">
        <v>1336</v>
      </c>
      <c r="F81">
        <v>1272</v>
      </c>
      <c r="G81">
        <v>0.95209580838323349</v>
      </c>
      <c r="H81">
        <v>4.7904191616766512E-2</v>
      </c>
      <c r="J81" t="str">
        <f>IF(Table1_14[[#This Row],[Registered]] = 0, "ABSENT", "NON_ZERO")</f>
        <v>NON_ZERO</v>
      </c>
      <c r="K81" t="str">
        <f>IF(Table1_14[[#This Row],[Registered]] = 0, "ABSENT_BASE", IF(Table1_14[[#This Row],[Registered]]&lt;100, "SMALL_BASE", "VALID_BASE"))</f>
        <v>VALID_BASE</v>
      </c>
      <c r="L81" t="str">
        <f>IF(Table1_14[[#This Row],[Registered]]=0, "ABSENT", IF(Table1_14[[#This Row],[Appearance Rate]]&lt;0.98, "LOW_RATE", IF(AND(Table1_14[[#This Row],[Appearance Rate]]=1, Table1_14[[#This Row],[Registered]]&lt;100), "SUSPICIOUS_PERFECTION", "NORMAL")))</f>
        <v>LOW_RATE</v>
      </c>
      <c r="M81" s="4">
        <f>Table1_14[[#This Row],[Registered]]/SUM(Table1_14[Registered])</f>
        <v>9.2854059967320372E-4</v>
      </c>
      <c r="N81" t="str">
        <f xml:space="preserve"> IF(OR(Table1_14[[#This Row],[Appearance Rate]]&lt;0, Table1_14[[#This Row],[Appearance Rate]]&gt;1), "FLAG", "OK")</f>
        <v>OK</v>
      </c>
      <c r="O81" t="str">
        <f xml:space="preserve"> IF(Table1_14[[#This Row],[Appeared]]&gt;Table1_14[[#This Row],[Registered]], "FLAG", "OK")</f>
        <v>OK</v>
      </c>
      <c r="P81" t="str">
        <f xml:space="preserve"> IF(OR(ISBLANK(Table1_14[[#This Row],[Registered]]), ISBLANK(Table1_14[[#This Row],[Appeared]]), Table1_14[[#This Row],[Registered]]=0, Table1_14[[#This Row],[Appeared]]=0), "FLAG", "OK")</f>
        <v>OK</v>
      </c>
    </row>
    <row r="82" spans="1:16" x14ac:dyDescent="0.3">
      <c r="A82">
        <v>12</v>
      </c>
      <c r="B82">
        <v>2022</v>
      </c>
      <c r="C82" t="s">
        <v>24</v>
      </c>
      <c r="D82" t="s">
        <v>6</v>
      </c>
      <c r="E82">
        <v>0</v>
      </c>
      <c r="F82">
        <v>0</v>
      </c>
      <c r="I82" t="s">
        <v>35</v>
      </c>
      <c r="J82" t="str">
        <f>IF(Table1_14[[#This Row],[Registered]] = 0, "ABSENT", "NON_ZERO")</f>
        <v>ABSENT</v>
      </c>
      <c r="K82" t="str">
        <f>IF(Table1_14[[#This Row],[Registered]] = 0, "ABSENT_BASE", IF(Table1_14[[#This Row],[Registered]]&lt;100, "SMALL_BASE", "VALID_BASE"))</f>
        <v>ABSENT_BASE</v>
      </c>
      <c r="L82" t="str">
        <f>IF(Table1_14[[#This Row],[Registered]]=0, "ABSENT", IF(Table1_14[[#This Row],[Appearance Rate]]&lt;0.98, "LOW_RATE", IF(AND(Table1_14[[#This Row],[Appearance Rate]]=1, Table1_14[[#This Row],[Registered]]&lt;100), "SUSPICIOUS_PERFECTION", "NORMAL")))</f>
        <v>ABSENT</v>
      </c>
      <c r="M82" s="4">
        <f>Table1_14[[#This Row],[Registered]]/SUM(Table1_14[Registered])</f>
        <v>0</v>
      </c>
      <c r="N82" t="str">
        <f xml:space="preserve"> IF(OR(Table1_14[[#This Row],[Appearance Rate]]&lt;0, Table1_14[[#This Row],[Appearance Rate]]&gt;1), "FLAG", "OK")</f>
        <v>OK</v>
      </c>
      <c r="O82" t="str">
        <f xml:space="preserve"> IF(Table1_14[[#This Row],[Appeared]]&gt;Table1_14[[#This Row],[Registered]], "FLAG", "OK")</f>
        <v>OK</v>
      </c>
      <c r="P82" t="str">
        <f xml:space="preserve"> IF(OR(ISBLANK(Table1_14[[#This Row],[Registered]]), ISBLANK(Table1_14[[#This Row],[Appeared]]), Table1_14[[#This Row],[Registered]]=0, Table1_14[[#This Row],[Appeared]]=0), "FLAG", "OK")</f>
        <v>FLAG</v>
      </c>
    </row>
    <row r="83" spans="1:16" x14ac:dyDescent="0.3">
      <c r="A83">
        <v>12</v>
      </c>
      <c r="B83">
        <v>2022</v>
      </c>
      <c r="C83" t="s">
        <v>24</v>
      </c>
      <c r="D83" t="s">
        <v>7</v>
      </c>
      <c r="E83">
        <v>131729</v>
      </c>
      <c r="F83">
        <v>130263</v>
      </c>
      <c r="G83">
        <v>0.98887109140735907</v>
      </c>
      <c r="H83">
        <v>1.1128908592640929E-2</v>
      </c>
      <c r="J83" t="str">
        <f>IF(Table1_14[[#This Row],[Registered]] = 0, "ABSENT", "NON_ZERO")</f>
        <v>NON_ZERO</v>
      </c>
      <c r="K83" t="str">
        <f>IF(Table1_14[[#This Row],[Registered]] = 0, "ABSENT_BASE", IF(Table1_14[[#This Row],[Registered]]&lt;100, "SMALL_BASE", "VALID_BASE"))</f>
        <v>VALID_BASE</v>
      </c>
      <c r="L83" t="str">
        <f>IF(Table1_14[[#This Row],[Registered]]=0, "ABSENT", IF(Table1_14[[#This Row],[Appearance Rate]]&lt;0.98, "LOW_RATE", IF(AND(Table1_14[[#This Row],[Appearance Rate]]=1, Table1_14[[#This Row],[Registered]]&lt;100), "SUSPICIOUS_PERFECTION", "NORMAL")))</f>
        <v>NORMAL</v>
      </c>
      <c r="M83" s="4">
        <f>Table1_14[[#This Row],[Registered]]/SUM(Table1_14[Registered])</f>
        <v>9.1553686118526545E-2</v>
      </c>
      <c r="N83" t="str">
        <f xml:space="preserve"> IF(OR(Table1_14[[#This Row],[Appearance Rate]]&lt;0, Table1_14[[#This Row],[Appearance Rate]]&gt;1), "FLAG", "OK")</f>
        <v>OK</v>
      </c>
      <c r="O83" t="str">
        <f xml:space="preserve"> IF(Table1_14[[#This Row],[Appeared]]&gt;Table1_14[[#This Row],[Registered]], "FLAG", "OK")</f>
        <v>OK</v>
      </c>
      <c r="P83" t="str">
        <f xml:space="preserve"> IF(OR(ISBLANK(Table1_14[[#This Row],[Registered]]), ISBLANK(Table1_14[[#This Row],[Appeared]]), Table1_14[[#This Row],[Registered]]=0, Table1_14[[#This Row],[Appeared]]=0), "FLAG", "OK")</f>
        <v>OK</v>
      </c>
    </row>
    <row r="84" spans="1:16" x14ac:dyDescent="0.3">
      <c r="A84">
        <v>12</v>
      </c>
      <c r="B84">
        <v>2022</v>
      </c>
      <c r="C84" t="s">
        <v>24</v>
      </c>
      <c r="D84" t="s">
        <v>8</v>
      </c>
      <c r="E84">
        <v>3184</v>
      </c>
      <c r="F84">
        <v>3152</v>
      </c>
      <c r="G84">
        <v>0.98994974874371855</v>
      </c>
      <c r="H84">
        <v>1.0050251256281451E-2</v>
      </c>
      <c r="J84" t="str">
        <f>IF(Table1_14[[#This Row],[Registered]] = 0, "ABSENT", "NON_ZERO")</f>
        <v>NON_ZERO</v>
      </c>
      <c r="K84" t="str">
        <f>IF(Table1_14[[#This Row],[Registered]] = 0, "ABSENT_BASE", IF(Table1_14[[#This Row],[Registered]]&lt;100, "SMALL_BASE", "VALID_BASE"))</f>
        <v>VALID_BASE</v>
      </c>
      <c r="L84" t="str">
        <f>IF(Table1_14[[#This Row],[Registered]]=0, "ABSENT", IF(Table1_14[[#This Row],[Appearance Rate]]&lt;0.98, "LOW_RATE", IF(AND(Table1_14[[#This Row],[Appearance Rate]]=1, Table1_14[[#This Row],[Registered]]&lt;100), "SUSPICIOUS_PERFECTION", "NORMAL")))</f>
        <v>NORMAL</v>
      </c>
      <c r="M84" s="4">
        <f>Table1_14[[#This Row],[Registered]]/SUM(Table1_14[Registered])</f>
        <v>2.2129290938319468E-3</v>
      </c>
      <c r="N84" t="str">
        <f xml:space="preserve"> IF(OR(Table1_14[[#This Row],[Appearance Rate]]&lt;0, Table1_14[[#This Row],[Appearance Rate]]&gt;1), "FLAG", "OK")</f>
        <v>OK</v>
      </c>
      <c r="O84" t="str">
        <f xml:space="preserve"> IF(Table1_14[[#This Row],[Appeared]]&gt;Table1_14[[#This Row],[Registered]], "FLAG", "OK")</f>
        <v>OK</v>
      </c>
      <c r="P84" t="str">
        <f xml:space="preserve"> IF(OR(ISBLANK(Table1_14[[#This Row],[Registered]]), ISBLANK(Table1_14[[#This Row],[Appeared]]), Table1_14[[#This Row],[Registered]]=0, Table1_14[[#This Row],[Appeared]]=0), "FLAG", "OK")</f>
        <v>OK</v>
      </c>
    </row>
    <row r="85" spans="1:16" x14ac:dyDescent="0.3">
      <c r="A85">
        <v>12</v>
      </c>
      <c r="B85">
        <v>2022</v>
      </c>
      <c r="C85" t="s">
        <v>24</v>
      </c>
      <c r="D85" t="s">
        <v>9</v>
      </c>
      <c r="E85">
        <v>8680</v>
      </c>
      <c r="F85">
        <v>8666</v>
      </c>
      <c r="G85">
        <v>0.99838709677419357</v>
      </c>
      <c r="H85">
        <v>1.612903225806428E-3</v>
      </c>
      <c r="J85" t="str">
        <f>IF(Table1_14[[#This Row],[Registered]] = 0, "ABSENT", "NON_ZERO")</f>
        <v>NON_ZERO</v>
      </c>
      <c r="K85" t="str">
        <f>IF(Table1_14[[#This Row],[Registered]] = 0, "ABSENT_BASE", IF(Table1_14[[#This Row],[Registered]]&lt;100, "SMALL_BASE", "VALID_BASE"))</f>
        <v>VALID_BASE</v>
      </c>
      <c r="L85" t="str">
        <f>IF(Table1_14[[#This Row],[Registered]]=0, "ABSENT", IF(Table1_14[[#This Row],[Appearance Rate]]&lt;0.98, "LOW_RATE", IF(AND(Table1_14[[#This Row],[Appearance Rate]]=1, Table1_14[[#This Row],[Registered]]&lt;100), "SUSPICIOUS_PERFECTION", "NORMAL")))</f>
        <v>NORMAL</v>
      </c>
      <c r="M85" s="4">
        <f>Table1_14[[#This Row],[Registered]]/SUM(Table1_14[Registered])</f>
        <v>6.0327338362001562E-3</v>
      </c>
      <c r="N85" t="str">
        <f xml:space="preserve"> IF(OR(Table1_14[[#This Row],[Appearance Rate]]&lt;0, Table1_14[[#This Row],[Appearance Rate]]&gt;1), "FLAG", "OK")</f>
        <v>OK</v>
      </c>
      <c r="O85" t="str">
        <f xml:space="preserve"> IF(Table1_14[[#This Row],[Appeared]]&gt;Table1_14[[#This Row],[Registered]], "FLAG", "OK")</f>
        <v>OK</v>
      </c>
      <c r="P85" t="str">
        <f xml:space="preserve"> IF(OR(ISBLANK(Table1_14[[#This Row],[Registered]]), ISBLANK(Table1_14[[#This Row],[Appeared]]), Table1_14[[#This Row],[Registered]]=0, Table1_14[[#This Row],[Appeared]]=0), "FLAG", "OK")</f>
        <v>OK</v>
      </c>
    </row>
    <row r="86" spans="1:16" x14ac:dyDescent="0.3">
      <c r="A86">
        <v>12</v>
      </c>
      <c r="B86">
        <v>2022</v>
      </c>
      <c r="C86" t="s">
        <v>16</v>
      </c>
      <c r="D86" t="s">
        <v>4</v>
      </c>
      <c r="E86">
        <v>0</v>
      </c>
      <c r="F86">
        <v>0</v>
      </c>
      <c r="I86" t="s">
        <v>35</v>
      </c>
      <c r="J86" t="str">
        <f>IF(Table1_14[[#This Row],[Registered]] = 0, "ABSENT", "NON_ZERO")</f>
        <v>ABSENT</v>
      </c>
      <c r="K86" t="str">
        <f>IF(Table1_14[[#This Row],[Registered]] = 0, "ABSENT_BASE", IF(Table1_14[[#This Row],[Registered]]&lt;100, "SMALL_BASE", "VALID_BASE"))</f>
        <v>ABSENT_BASE</v>
      </c>
      <c r="L86" t="str">
        <f>IF(Table1_14[[#This Row],[Registered]]=0, "ABSENT", IF(Table1_14[[#This Row],[Appearance Rate]]&lt;0.98, "LOW_RATE", IF(AND(Table1_14[[#This Row],[Appearance Rate]]=1, Table1_14[[#This Row],[Registered]]&lt;100), "SUSPICIOUS_PERFECTION", "NORMAL")))</f>
        <v>ABSENT</v>
      </c>
      <c r="M86" s="4">
        <f>Table1_14[[#This Row],[Registered]]/SUM(Table1_14[Registered])</f>
        <v>0</v>
      </c>
      <c r="N86" t="str">
        <f xml:space="preserve"> IF(OR(Table1_14[[#This Row],[Appearance Rate]]&lt;0, Table1_14[[#This Row],[Appearance Rate]]&gt;1), "FLAG", "OK")</f>
        <v>OK</v>
      </c>
      <c r="O86" t="str">
        <f xml:space="preserve"> IF(Table1_14[[#This Row],[Appeared]]&gt;Table1_14[[#This Row],[Registered]], "FLAG", "OK")</f>
        <v>OK</v>
      </c>
      <c r="P86" t="str">
        <f xml:space="preserve"> IF(OR(ISBLANK(Table1_14[[#This Row],[Registered]]), ISBLANK(Table1_14[[#This Row],[Appeared]]), Table1_14[[#This Row],[Registered]]=0, Table1_14[[#This Row],[Appeared]]=0), "FLAG", "OK")</f>
        <v>FLAG</v>
      </c>
    </row>
    <row r="87" spans="1:16" x14ac:dyDescent="0.3">
      <c r="A87">
        <v>12</v>
      </c>
      <c r="B87">
        <v>2022</v>
      </c>
      <c r="C87" t="s">
        <v>16</v>
      </c>
      <c r="D87" t="s">
        <v>5</v>
      </c>
      <c r="E87">
        <v>1535</v>
      </c>
      <c r="F87">
        <v>1534</v>
      </c>
      <c r="G87">
        <v>0.99934853420195435</v>
      </c>
      <c r="H87">
        <v>6.514657980456473E-4</v>
      </c>
      <c r="J87" t="str">
        <f>IF(Table1_14[[#This Row],[Registered]] = 0, "ABSENT", "NON_ZERO")</f>
        <v>NON_ZERO</v>
      </c>
      <c r="K87" t="str">
        <f>IF(Table1_14[[#This Row],[Registered]] = 0, "ABSENT_BASE", IF(Table1_14[[#This Row],[Registered]]&lt;100, "SMALL_BASE", "VALID_BASE"))</f>
        <v>VALID_BASE</v>
      </c>
      <c r="L87" t="str">
        <f>IF(Table1_14[[#This Row],[Registered]]=0, "ABSENT", IF(Table1_14[[#This Row],[Appearance Rate]]&lt;0.98, "LOW_RATE", IF(AND(Table1_14[[#This Row],[Appearance Rate]]=1, Table1_14[[#This Row],[Registered]]&lt;100), "SUSPICIOUS_PERFECTION", "NORMAL")))</f>
        <v>NORMAL</v>
      </c>
      <c r="M87" s="4">
        <f>Table1_14[[#This Row],[Registered]]/SUM(Table1_14[Registered])</f>
        <v>1.0668486680377005E-3</v>
      </c>
      <c r="N87" t="str">
        <f xml:space="preserve"> IF(OR(Table1_14[[#This Row],[Appearance Rate]]&lt;0, Table1_14[[#This Row],[Appearance Rate]]&gt;1), "FLAG", "OK")</f>
        <v>OK</v>
      </c>
      <c r="O87" t="str">
        <f xml:space="preserve"> IF(Table1_14[[#This Row],[Appeared]]&gt;Table1_14[[#This Row],[Registered]], "FLAG", "OK")</f>
        <v>OK</v>
      </c>
      <c r="P87" t="str">
        <f xml:space="preserve"> IF(OR(ISBLANK(Table1_14[[#This Row],[Registered]]), ISBLANK(Table1_14[[#This Row],[Appeared]]), Table1_14[[#This Row],[Registered]]=0, Table1_14[[#This Row],[Appeared]]=0), "FLAG", "OK")</f>
        <v>OK</v>
      </c>
    </row>
    <row r="88" spans="1:16" x14ac:dyDescent="0.3">
      <c r="A88">
        <v>12</v>
      </c>
      <c r="B88">
        <v>2022</v>
      </c>
      <c r="C88" t="s">
        <v>16</v>
      </c>
      <c r="D88" t="s">
        <v>6</v>
      </c>
      <c r="E88">
        <v>0</v>
      </c>
      <c r="F88">
        <v>0</v>
      </c>
      <c r="I88" t="s">
        <v>35</v>
      </c>
      <c r="J88" t="str">
        <f>IF(Table1_14[[#This Row],[Registered]] = 0, "ABSENT", "NON_ZERO")</f>
        <v>ABSENT</v>
      </c>
      <c r="K88" t="str">
        <f>IF(Table1_14[[#This Row],[Registered]] = 0, "ABSENT_BASE", IF(Table1_14[[#This Row],[Registered]]&lt;100, "SMALL_BASE", "VALID_BASE"))</f>
        <v>ABSENT_BASE</v>
      </c>
      <c r="L88" t="str">
        <f>IF(Table1_14[[#This Row],[Registered]]=0, "ABSENT", IF(Table1_14[[#This Row],[Appearance Rate]]&lt;0.98, "LOW_RATE", IF(AND(Table1_14[[#This Row],[Appearance Rate]]=1, Table1_14[[#This Row],[Registered]]&lt;100), "SUSPICIOUS_PERFECTION", "NORMAL")))</f>
        <v>ABSENT</v>
      </c>
      <c r="M88" s="4">
        <f>Table1_14[[#This Row],[Registered]]/SUM(Table1_14[Registered])</f>
        <v>0</v>
      </c>
      <c r="N88" t="str">
        <f xml:space="preserve"> IF(OR(Table1_14[[#This Row],[Appearance Rate]]&lt;0, Table1_14[[#This Row],[Appearance Rate]]&gt;1), "FLAG", "OK")</f>
        <v>OK</v>
      </c>
      <c r="O88" t="str">
        <f xml:space="preserve"> IF(Table1_14[[#This Row],[Appeared]]&gt;Table1_14[[#This Row],[Registered]], "FLAG", "OK")</f>
        <v>OK</v>
      </c>
      <c r="P88" t="str">
        <f xml:space="preserve"> IF(OR(ISBLANK(Table1_14[[#This Row],[Registered]]), ISBLANK(Table1_14[[#This Row],[Appeared]]), Table1_14[[#This Row],[Registered]]=0, Table1_14[[#This Row],[Appeared]]=0), "FLAG", "OK")</f>
        <v>FLAG</v>
      </c>
    </row>
    <row r="89" spans="1:16" x14ac:dyDescent="0.3">
      <c r="A89">
        <v>12</v>
      </c>
      <c r="B89">
        <v>2022</v>
      </c>
      <c r="C89" t="s">
        <v>16</v>
      </c>
      <c r="D89" t="s">
        <v>7</v>
      </c>
      <c r="E89">
        <v>22801</v>
      </c>
      <c r="F89">
        <v>22742</v>
      </c>
      <c r="G89">
        <v>0.99741239419323713</v>
      </c>
      <c r="H89">
        <v>2.5876058067628716E-3</v>
      </c>
      <c r="J89" t="str">
        <f>IF(Table1_14[[#This Row],[Registered]] = 0, "ABSENT", "NON_ZERO")</f>
        <v>NON_ZERO</v>
      </c>
      <c r="K89" t="str">
        <f>IF(Table1_14[[#This Row],[Registered]] = 0, "ABSENT_BASE", IF(Table1_14[[#This Row],[Registered]]&lt;100, "SMALL_BASE", "VALID_BASE"))</f>
        <v>VALID_BASE</v>
      </c>
      <c r="L89" t="str">
        <f>IF(Table1_14[[#This Row],[Registered]]=0, "ABSENT", IF(Table1_14[[#This Row],[Appearance Rate]]&lt;0.98, "LOW_RATE", IF(AND(Table1_14[[#This Row],[Appearance Rate]]=1, Table1_14[[#This Row],[Registered]]&lt;100), "SUSPICIOUS_PERFECTION", "NORMAL")))</f>
        <v>NORMAL</v>
      </c>
      <c r="M89" s="4">
        <f>Table1_14[[#This Row],[Registered]]/SUM(Table1_14[Registered])</f>
        <v>1.5847046566728081E-2</v>
      </c>
      <c r="N89" t="str">
        <f xml:space="preserve"> IF(OR(Table1_14[[#This Row],[Appearance Rate]]&lt;0, Table1_14[[#This Row],[Appearance Rate]]&gt;1), "FLAG", "OK")</f>
        <v>OK</v>
      </c>
      <c r="O89" t="str">
        <f xml:space="preserve"> IF(Table1_14[[#This Row],[Appeared]]&gt;Table1_14[[#This Row],[Registered]], "FLAG", "OK")</f>
        <v>OK</v>
      </c>
      <c r="P89" t="str">
        <f xml:space="preserve"> IF(OR(ISBLANK(Table1_14[[#This Row],[Registered]]), ISBLANK(Table1_14[[#This Row],[Appeared]]), Table1_14[[#This Row],[Registered]]=0, Table1_14[[#This Row],[Appeared]]=0), "FLAG", "OK")</f>
        <v>OK</v>
      </c>
    </row>
    <row r="90" spans="1:16" x14ac:dyDescent="0.3">
      <c r="A90">
        <v>12</v>
      </c>
      <c r="B90">
        <v>2022</v>
      </c>
      <c r="C90" t="s">
        <v>16</v>
      </c>
      <c r="D90" t="s">
        <v>8</v>
      </c>
      <c r="E90">
        <v>1673</v>
      </c>
      <c r="F90">
        <v>1662</v>
      </c>
      <c r="G90">
        <v>0.99342498505678423</v>
      </c>
      <c r="H90">
        <v>6.5750149432157734E-3</v>
      </c>
      <c r="J90" t="str">
        <f>IF(Table1_14[[#This Row],[Registered]] = 0, "ABSENT", "NON_ZERO")</f>
        <v>NON_ZERO</v>
      </c>
      <c r="K90" t="str">
        <f>IF(Table1_14[[#This Row],[Registered]] = 0, "ABSENT_BASE", IF(Table1_14[[#This Row],[Registered]]&lt;100, "SMALL_BASE", "VALID_BASE"))</f>
        <v>VALID_BASE</v>
      </c>
      <c r="L90" t="str">
        <f>IF(Table1_14[[#This Row],[Registered]]=0, "ABSENT", IF(Table1_14[[#This Row],[Appearance Rate]]&lt;0.98, "LOW_RATE", IF(AND(Table1_14[[#This Row],[Appearance Rate]]=1, Table1_14[[#This Row],[Registered]]&lt;100), "SUSPICIOUS_PERFECTION", "NORMAL")))</f>
        <v>NORMAL</v>
      </c>
      <c r="M90" s="4">
        <f>Table1_14[[#This Row],[Registered]]/SUM(Table1_14[Registered])</f>
        <v>1.1627607958482559E-3</v>
      </c>
      <c r="N90" t="str">
        <f xml:space="preserve"> IF(OR(Table1_14[[#This Row],[Appearance Rate]]&lt;0, Table1_14[[#This Row],[Appearance Rate]]&gt;1), "FLAG", "OK")</f>
        <v>OK</v>
      </c>
      <c r="O90" t="str">
        <f xml:space="preserve"> IF(Table1_14[[#This Row],[Appeared]]&gt;Table1_14[[#This Row],[Registered]], "FLAG", "OK")</f>
        <v>OK</v>
      </c>
      <c r="P90" t="str">
        <f xml:space="preserve"> IF(OR(ISBLANK(Table1_14[[#This Row],[Registered]]), ISBLANK(Table1_14[[#This Row],[Appeared]]), Table1_14[[#This Row],[Registered]]=0, Table1_14[[#This Row],[Appeared]]=0), "FLAG", "OK")</f>
        <v>OK</v>
      </c>
    </row>
    <row r="91" spans="1:16" x14ac:dyDescent="0.3">
      <c r="A91">
        <v>12</v>
      </c>
      <c r="B91">
        <v>2022</v>
      </c>
      <c r="C91" t="s">
        <v>16</v>
      </c>
      <c r="D91" t="s">
        <v>9</v>
      </c>
      <c r="E91">
        <v>4859</v>
      </c>
      <c r="F91">
        <v>4849</v>
      </c>
      <c r="G91">
        <v>0.99794196336694796</v>
      </c>
      <c r="H91">
        <v>2.0580366330520405E-3</v>
      </c>
      <c r="J91" t="str">
        <f>IF(Table1_14[[#This Row],[Registered]] = 0, "ABSENT", "NON_ZERO")</f>
        <v>NON_ZERO</v>
      </c>
      <c r="K91" t="str">
        <f>IF(Table1_14[[#This Row],[Registered]] = 0, "ABSENT_BASE", IF(Table1_14[[#This Row],[Registered]]&lt;100, "SMALL_BASE", "VALID_BASE"))</f>
        <v>VALID_BASE</v>
      </c>
      <c r="L91" t="str">
        <f>IF(Table1_14[[#This Row],[Registered]]=0, "ABSENT", IF(Table1_14[[#This Row],[Appearance Rate]]&lt;0.98, "LOW_RATE", IF(AND(Table1_14[[#This Row],[Appearance Rate]]=1, Table1_14[[#This Row],[Registered]]&lt;100), "SUSPICIOUS_PERFECTION", "NORMAL")))</f>
        <v>NORMAL</v>
      </c>
      <c r="M91" s="4">
        <f>Table1_14[[#This Row],[Registered]]/SUM(Table1_14[Registered])</f>
        <v>3.3770799205180366E-3</v>
      </c>
      <c r="N91" t="str">
        <f xml:space="preserve"> IF(OR(Table1_14[[#This Row],[Appearance Rate]]&lt;0, Table1_14[[#This Row],[Appearance Rate]]&gt;1), "FLAG", "OK")</f>
        <v>OK</v>
      </c>
      <c r="O91" t="str">
        <f xml:space="preserve"> IF(Table1_14[[#This Row],[Appeared]]&gt;Table1_14[[#This Row],[Registered]], "FLAG", "OK")</f>
        <v>OK</v>
      </c>
      <c r="P91" t="str">
        <f xml:space="preserve"> IF(OR(ISBLANK(Table1_14[[#This Row],[Registered]]), ISBLANK(Table1_14[[#This Row],[Appeared]]), Table1_14[[#This Row],[Registered]]=0, Table1_14[[#This Row],[Appeared]]=0), "FLAG", "OK")</f>
        <v>OK</v>
      </c>
    </row>
    <row r="92" spans="1:16" x14ac:dyDescent="0.3">
      <c r="A92">
        <v>12</v>
      </c>
      <c r="B92">
        <v>2022</v>
      </c>
      <c r="C92" t="s">
        <v>25</v>
      </c>
      <c r="D92" t="s">
        <v>4</v>
      </c>
      <c r="E92">
        <v>0</v>
      </c>
      <c r="F92">
        <v>0</v>
      </c>
      <c r="I92" t="s">
        <v>35</v>
      </c>
      <c r="J92" t="str">
        <f>IF(Table1_14[[#This Row],[Registered]] = 0, "ABSENT", "NON_ZERO")</f>
        <v>ABSENT</v>
      </c>
      <c r="K92" t="str">
        <f>IF(Table1_14[[#This Row],[Registered]] = 0, "ABSENT_BASE", IF(Table1_14[[#This Row],[Registered]]&lt;100, "SMALL_BASE", "VALID_BASE"))</f>
        <v>ABSENT_BASE</v>
      </c>
      <c r="L92" t="str">
        <f>IF(Table1_14[[#This Row],[Registered]]=0, "ABSENT", IF(Table1_14[[#This Row],[Appearance Rate]]&lt;0.98, "LOW_RATE", IF(AND(Table1_14[[#This Row],[Appearance Rate]]=1, Table1_14[[#This Row],[Registered]]&lt;100), "SUSPICIOUS_PERFECTION", "NORMAL")))</f>
        <v>ABSENT</v>
      </c>
      <c r="M92" s="4">
        <f>Table1_14[[#This Row],[Registered]]/SUM(Table1_14[Registered])</f>
        <v>0</v>
      </c>
      <c r="N92" t="str">
        <f xml:space="preserve"> IF(OR(Table1_14[[#This Row],[Appearance Rate]]&lt;0, Table1_14[[#This Row],[Appearance Rate]]&gt;1), "FLAG", "OK")</f>
        <v>OK</v>
      </c>
      <c r="O92" t="str">
        <f xml:space="preserve"> IF(Table1_14[[#This Row],[Appeared]]&gt;Table1_14[[#This Row],[Registered]], "FLAG", "OK")</f>
        <v>OK</v>
      </c>
      <c r="P92" t="str">
        <f xml:space="preserve"> IF(OR(ISBLANK(Table1_14[[#This Row],[Registered]]), ISBLANK(Table1_14[[#This Row],[Appeared]]), Table1_14[[#This Row],[Registered]]=0, Table1_14[[#This Row],[Appeared]]=0), "FLAG", "OK")</f>
        <v>FLAG</v>
      </c>
    </row>
    <row r="93" spans="1:16" x14ac:dyDescent="0.3">
      <c r="A93">
        <v>12</v>
      </c>
      <c r="B93">
        <v>2022</v>
      </c>
      <c r="C93" t="s">
        <v>25</v>
      </c>
      <c r="D93" t="s">
        <v>5</v>
      </c>
      <c r="E93">
        <v>82</v>
      </c>
      <c r="F93">
        <v>82</v>
      </c>
      <c r="G93">
        <v>1</v>
      </c>
      <c r="H93">
        <v>0</v>
      </c>
      <c r="J93" t="str">
        <f>IF(Table1_14[[#This Row],[Registered]] = 0, "ABSENT", "NON_ZERO")</f>
        <v>NON_ZERO</v>
      </c>
      <c r="K93" t="str">
        <f>IF(Table1_14[[#This Row],[Registered]] = 0, "ABSENT_BASE", IF(Table1_14[[#This Row],[Registered]]&lt;100, "SMALL_BASE", "VALID_BASE"))</f>
        <v>SMALL_BASE</v>
      </c>
      <c r="L93" t="str">
        <f>IF(Table1_14[[#This Row],[Registered]]=0, "ABSENT", IF(Table1_14[[#This Row],[Appearance Rate]]&lt;0.98, "LOW_RATE", IF(AND(Table1_14[[#This Row],[Appearance Rate]]=1, Table1_14[[#This Row],[Registered]]&lt;100), "SUSPICIOUS_PERFECTION", "NORMAL")))</f>
        <v>SUSPICIOUS_PERFECTION</v>
      </c>
      <c r="M93" s="4">
        <f>Table1_14[[#This Row],[Registered]]/SUM(Table1_14[Registered])</f>
        <v>5.6991264351199632E-5</v>
      </c>
      <c r="N93" t="str">
        <f xml:space="preserve"> IF(OR(Table1_14[[#This Row],[Appearance Rate]]&lt;0, Table1_14[[#This Row],[Appearance Rate]]&gt;1), "FLAG", "OK")</f>
        <v>OK</v>
      </c>
      <c r="O93" t="str">
        <f xml:space="preserve"> IF(Table1_14[[#This Row],[Appeared]]&gt;Table1_14[[#This Row],[Registered]], "FLAG", "OK")</f>
        <v>OK</v>
      </c>
      <c r="P93" t="str">
        <f xml:space="preserve"> IF(OR(ISBLANK(Table1_14[[#This Row],[Registered]]), ISBLANK(Table1_14[[#This Row],[Appeared]]), Table1_14[[#This Row],[Registered]]=0, Table1_14[[#This Row],[Appeared]]=0), "FLAG", "OK")</f>
        <v>OK</v>
      </c>
    </row>
    <row r="94" spans="1:16" x14ac:dyDescent="0.3">
      <c r="A94">
        <v>12</v>
      </c>
      <c r="B94">
        <v>2022</v>
      </c>
      <c r="C94" t="s">
        <v>25</v>
      </c>
      <c r="D94" t="s">
        <v>6</v>
      </c>
      <c r="E94">
        <v>0</v>
      </c>
      <c r="F94">
        <v>0</v>
      </c>
      <c r="I94" t="s">
        <v>35</v>
      </c>
      <c r="J94" t="str">
        <f>IF(Table1_14[[#This Row],[Registered]] = 0, "ABSENT", "NON_ZERO")</f>
        <v>ABSENT</v>
      </c>
      <c r="K94" t="str">
        <f>IF(Table1_14[[#This Row],[Registered]] = 0, "ABSENT_BASE", IF(Table1_14[[#This Row],[Registered]]&lt;100, "SMALL_BASE", "VALID_BASE"))</f>
        <v>ABSENT_BASE</v>
      </c>
      <c r="L94" t="str">
        <f>IF(Table1_14[[#This Row],[Registered]]=0, "ABSENT", IF(Table1_14[[#This Row],[Appearance Rate]]&lt;0.98, "LOW_RATE", IF(AND(Table1_14[[#This Row],[Appearance Rate]]=1, Table1_14[[#This Row],[Registered]]&lt;100), "SUSPICIOUS_PERFECTION", "NORMAL")))</f>
        <v>ABSENT</v>
      </c>
      <c r="M94" s="4">
        <f>Table1_14[[#This Row],[Registered]]/SUM(Table1_14[Registered])</f>
        <v>0</v>
      </c>
      <c r="N94" t="str">
        <f xml:space="preserve"> IF(OR(Table1_14[[#This Row],[Appearance Rate]]&lt;0, Table1_14[[#This Row],[Appearance Rate]]&gt;1), "FLAG", "OK")</f>
        <v>OK</v>
      </c>
      <c r="O94" t="str">
        <f xml:space="preserve"> IF(Table1_14[[#This Row],[Appeared]]&gt;Table1_14[[#This Row],[Registered]], "FLAG", "OK")</f>
        <v>OK</v>
      </c>
      <c r="P94" t="str">
        <f xml:space="preserve"> IF(OR(ISBLANK(Table1_14[[#This Row],[Registered]]), ISBLANK(Table1_14[[#This Row],[Appeared]]), Table1_14[[#This Row],[Registered]]=0, Table1_14[[#This Row],[Appeared]]=0), "FLAG", "OK")</f>
        <v>FLAG</v>
      </c>
    </row>
    <row r="95" spans="1:16" x14ac:dyDescent="0.3">
      <c r="A95">
        <v>12</v>
      </c>
      <c r="B95">
        <v>2022</v>
      </c>
      <c r="C95" t="s">
        <v>25</v>
      </c>
      <c r="D95" t="s">
        <v>7</v>
      </c>
      <c r="E95">
        <v>33500</v>
      </c>
      <c r="F95">
        <v>33462</v>
      </c>
      <c r="G95">
        <v>0.99886567164179108</v>
      </c>
      <c r="H95">
        <v>1.1343283582089247E-3</v>
      </c>
      <c r="J95" t="str">
        <f>IF(Table1_14[[#This Row],[Registered]] = 0, "ABSENT", "NON_ZERO")</f>
        <v>NON_ZERO</v>
      </c>
      <c r="K95" t="str">
        <f>IF(Table1_14[[#This Row],[Registered]] = 0, "ABSENT_BASE", IF(Table1_14[[#This Row],[Registered]]&lt;100, "SMALL_BASE", "VALID_BASE"))</f>
        <v>VALID_BASE</v>
      </c>
      <c r="L95" t="str">
        <f>IF(Table1_14[[#This Row],[Registered]]=0, "ABSENT", IF(Table1_14[[#This Row],[Appearance Rate]]&lt;0.98, "LOW_RATE", IF(AND(Table1_14[[#This Row],[Appearance Rate]]=1, Table1_14[[#This Row],[Registered]]&lt;100), "SUSPICIOUS_PERFECTION", "NORMAL")))</f>
        <v>NORMAL</v>
      </c>
      <c r="M95" s="4">
        <f>Table1_14[[#This Row],[Registered]]/SUM(Table1_14[Registered])</f>
        <v>2.32830165337218E-2</v>
      </c>
      <c r="N95" t="str">
        <f xml:space="preserve"> IF(OR(Table1_14[[#This Row],[Appearance Rate]]&lt;0, Table1_14[[#This Row],[Appearance Rate]]&gt;1), "FLAG", "OK")</f>
        <v>OK</v>
      </c>
      <c r="O95" t="str">
        <f xml:space="preserve"> IF(Table1_14[[#This Row],[Appeared]]&gt;Table1_14[[#This Row],[Registered]], "FLAG", "OK")</f>
        <v>OK</v>
      </c>
      <c r="P95" t="str">
        <f xml:space="preserve"> IF(OR(ISBLANK(Table1_14[[#This Row],[Registered]]), ISBLANK(Table1_14[[#This Row],[Appeared]]), Table1_14[[#This Row],[Registered]]=0, Table1_14[[#This Row],[Appeared]]=0), "FLAG", "OK")</f>
        <v>OK</v>
      </c>
    </row>
    <row r="96" spans="1:16" x14ac:dyDescent="0.3">
      <c r="A96">
        <v>12</v>
      </c>
      <c r="B96">
        <v>2022</v>
      </c>
      <c r="C96" t="s">
        <v>25</v>
      </c>
      <c r="D96" t="s">
        <v>8</v>
      </c>
      <c r="E96">
        <v>973</v>
      </c>
      <c r="F96">
        <v>972</v>
      </c>
      <c r="G96">
        <v>0.99897225077081198</v>
      </c>
      <c r="H96">
        <v>1.0277492291880241E-3</v>
      </c>
      <c r="J96" t="str">
        <f>IF(Table1_14[[#This Row],[Registered]] = 0, "ABSENT", "NON_ZERO")</f>
        <v>NON_ZERO</v>
      </c>
      <c r="K96" t="str">
        <f>IF(Table1_14[[#This Row],[Registered]] = 0, "ABSENT_BASE", IF(Table1_14[[#This Row],[Registered]]&lt;100, "SMALL_BASE", "VALID_BASE"))</f>
        <v>VALID_BASE</v>
      </c>
      <c r="L96" t="str">
        <f>IF(Table1_14[[#This Row],[Registered]]=0, "ABSENT", IF(Table1_14[[#This Row],[Appearance Rate]]&lt;0.98, "LOW_RATE", IF(AND(Table1_14[[#This Row],[Appearance Rate]]=1, Table1_14[[#This Row],[Registered]]&lt;100), "SUSPICIOUS_PERFECTION", "NORMAL")))</f>
        <v>NORMAL</v>
      </c>
      <c r="M96" s="4">
        <f>Table1_14[[#This Row],[Registered]]/SUM(Table1_14[Registered])</f>
        <v>6.7625000260630784E-4</v>
      </c>
      <c r="N96" t="str">
        <f xml:space="preserve"> IF(OR(Table1_14[[#This Row],[Appearance Rate]]&lt;0, Table1_14[[#This Row],[Appearance Rate]]&gt;1), "FLAG", "OK")</f>
        <v>OK</v>
      </c>
      <c r="O96" t="str">
        <f xml:space="preserve"> IF(Table1_14[[#This Row],[Appeared]]&gt;Table1_14[[#This Row],[Registered]], "FLAG", "OK")</f>
        <v>OK</v>
      </c>
      <c r="P96" t="str">
        <f xml:space="preserve"> IF(OR(ISBLANK(Table1_14[[#This Row],[Registered]]), ISBLANK(Table1_14[[#This Row],[Appeared]]), Table1_14[[#This Row],[Registered]]=0, Table1_14[[#This Row],[Appeared]]=0), "FLAG", "OK")</f>
        <v>OK</v>
      </c>
    </row>
    <row r="97" spans="1:16" x14ac:dyDescent="0.3">
      <c r="A97">
        <v>12</v>
      </c>
      <c r="B97">
        <v>2022</v>
      </c>
      <c r="C97" t="s">
        <v>25</v>
      </c>
      <c r="D97" t="s">
        <v>9</v>
      </c>
      <c r="E97">
        <v>3666</v>
      </c>
      <c r="F97">
        <v>3661</v>
      </c>
      <c r="G97">
        <v>0.9986361156573923</v>
      </c>
      <c r="H97">
        <v>1.3638843426077019E-3</v>
      </c>
      <c r="J97" t="str">
        <f>IF(Table1_14[[#This Row],[Registered]] = 0, "ABSENT", "NON_ZERO")</f>
        <v>NON_ZERO</v>
      </c>
      <c r="K97" t="str">
        <f>IF(Table1_14[[#This Row],[Registered]] = 0, "ABSENT_BASE", IF(Table1_14[[#This Row],[Registered]]&lt;100, "SMALL_BASE", "VALID_BASE"))</f>
        <v>VALID_BASE</v>
      </c>
      <c r="L97" t="str">
        <f>IF(Table1_14[[#This Row],[Registered]]=0, "ABSENT", IF(Table1_14[[#This Row],[Appearance Rate]]&lt;0.98, "LOW_RATE", IF(AND(Table1_14[[#This Row],[Appearance Rate]]=1, Table1_14[[#This Row],[Registered]]&lt;100), "SUSPICIOUS_PERFECTION", "NORMAL")))</f>
        <v>NORMAL</v>
      </c>
      <c r="M97" s="4">
        <f>Table1_14[[#This Row],[Registered]]/SUM(Table1_14[Registered])</f>
        <v>2.5479265257499738E-3</v>
      </c>
      <c r="N97" t="str">
        <f xml:space="preserve"> IF(OR(Table1_14[[#This Row],[Appearance Rate]]&lt;0, Table1_14[[#This Row],[Appearance Rate]]&gt;1), "FLAG", "OK")</f>
        <v>OK</v>
      </c>
      <c r="O97" t="str">
        <f xml:space="preserve"> IF(Table1_14[[#This Row],[Appeared]]&gt;Table1_14[[#This Row],[Registered]], "FLAG", "OK")</f>
        <v>OK</v>
      </c>
      <c r="P97" t="str">
        <f xml:space="preserve"> IF(OR(ISBLANK(Table1_14[[#This Row],[Registered]]), ISBLANK(Table1_14[[#This Row],[Appeared]]), Table1_14[[#This Row],[Registered]]=0, Table1_14[[#This Row],[Appeared]]=0), "FLAG", "OK")</f>
        <v>OK</v>
      </c>
    </row>
    <row r="98" spans="1:16" x14ac:dyDescent="0.3">
      <c r="M98" s="4">
        <f xml:space="preserve"> SUM(Table1_14[Coverage Share])</f>
        <v>0.99999999999999978</v>
      </c>
    </row>
  </sheetData>
  <phoneticPr fontId="18"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6173A-FAE7-4CA4-8819-D4AC6A11F5E2}">
  <dimension ref="A3:D17"/>
  <sheetViews>
    <sheetView tabSelected="1" zoomScale="60" workbookViewId="0">
      <selection activeCell="B11" sqref="B11"/>
    </sheetView>
  </sheetViews>
  <sheetFormatPr defaultRowHeight="14.4" x14ac:dyDescent="0.3"/>
  <cols>
    <col min="1" max="1" width="38.109375" bestFit="1" customWidth="1"/>
    <col min="2" max="2" width="26" bestFit="1" customWidth="1"/>
    <col min="3" max="3" width="5.44140625" bestFit="1" customWidth="1"/>
    <col min="4" max="4" width="15.33203125" bestFit="1" customWidth="1"/>
  </cols>
  <sheetData>
    <row r="3" spans="1:4" x14ac:dyDescent="0.3">
      <c r="A3" s="1" t="s">
        <v>58</v>
      </c>
      <c r="B3" s="1" t="s">
        <v>57</v>
      </c>
    </row>
    <row r="4" spans="1:4" x14ac:dyDescent="0.3">
      <c r="A4" s="1" t="s">
        <v>36</v>
      </c>
      <c r="B4" t="s">
        <v>52</v>
      </c>
      <c r="C4" t="s">
        <v>51</v>
      </c>
      <c r="D4" t="s">
        <v>37</v>
      </c>
    </row>
    <row r="5" spans="1:4" x14ac:dyDescent="0.3">
      <c r="A5" s="2" t="s">
        <v>89</v>
      </c>
      <c r="B5" s="19">
        <v>22</v>
      </c>
      <c r="C5" s="19">
        <v>74</v>
      </c>
      <c r="D5" s="19">
        <v>96</v>
      </c>
    </row>
    <row r="6" spans="1:4" x14ac:dyDescent="0.3">
      <c r="A6" s="2" t="s">
        <v>90</v>
      </c>
      <c r="B6" s="19">
        <v>0</v>
      </c>
      <c r="C6" s="19">
        <v>96</v>
      </c>
      <c r="D6" s="19">
        <v>96</v>
      </c>
    </row>
    <row r="7" spans="1:4" x14ac:dyDescent="0.3">
      <c r="A7" s="2" t="s">
        <v>91</v>
      </c>
      <c r="B7" s="19">
        <v>0</v>
      </c>
      <c r="C7" s="19">
        <v>96</v>
      </c>
      <c r="D7" s="19">
        <v>96</v>
      </c>
    </row>
    <row r="8" spans="1:4" x14ac:dyDescent="0.3">
      <c r="A8" s="2" t="s">
        <v>37</v>
      </c>
      <c r="B8" s="19">
        <v>22</v>
      </c>
      <c r="C8" s="19">
        <v>266</v>
      </c>
      <c r="D8" s="19">
        <v>288</v>
      </c>
    </row>
    <row r="9" spans="1:4" ht="15" thickBot="1" x14ac:dyDescent="0.35"/>
    <row r="10" spans="1:4" ht="26.4" thickBot="1" x14ac:dyDescent="0.55000000000000004">
      <c r="B10" s="14" t="s">
        <v>61</v>
      </c>
    </row>
    <row r="11" spans="1:4" ht="26.4" thickBot="1" x14ac:dyDescent="0.55000000000000004">
      <c r="B11" s="20">
        <v>22</v>
      </c>
    </row>
    <row r="12" spans="1:4" ht="15" thickBot="1" x14ac:dyDescent="0.35"/>
    <row r="13" spans="1:4" ht="26.4" thickBot="1" x14ac:dyDescent="0.55000000000000004">
      <c r="B13" s="16" t="s">
        <v>62</v>
      </c>
    </row>
    <row r="14" spans="1:4" ht="26.4" thickBot="1" x14ac:dyDescent="0.55000000000000004">
      <c r="B14" s="20">
        <v>288</v>
      </c>
    </row>
    <row r="15" spans="1:4" ht="15" thickBot="1" x14ac:dyDescent="0.35"/>
    <row r="16" spans="1:4" ht="26.4" thickBot="1" x14ac:dyDescent="0.55000000000000004">
      <c r="B16" s="14" t="s">
        <v>60</v>
      </c>
    </row>
    <row r="17" spans="2:2" ht="26.4" thickBot="1" x14ac:dyDescent="0.55000000000000004">
      <c r="B17" s="15">
        <v>7.6388888888888895E-2</v>
      </c>
    </row>
  </sheetData>
  <conditionalFormatting pivot="1" sqref="B17">
    <cfRule type="cellIs" dxfId="313" priority="1" operator="greaterThan">
      <formula>10%</formula>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FE3D-89BE-44DC-B463-A8963B449DF1}">
  <dimension ref="A5:G30"/>
  <sheetViews>
    <sheetView zoomScale="48" workbookViewId="0">
      <selection activeCell="M34" sqref="M34"/>
    </sheetView>
  </sheetViews>
  <sheetFormatPr defaultRowHeight="14.4" x14ac:dyDescent="0.3"/>
  <cols>
    <col min="1" max="1" width="20" bestFit="1" customWidth="1"/>
    <col min="2" max="2" width="24.6640625" bestFit="1" customWidth="1"/>
    <col min="3" max="3" width="21.21875" bestFit="1" customWidth="1"/>
    <col min="4" max="4" width="24.21875" bestFit="1" customWidth="1"/>
    <col min="5" max="5" width="40.5546875" bestFit="1" customWidth="1"/>
    <col min="6" max="6" width="23.109375" bestFit="1" customWidth="1"/>
    <col min="7" max="7" width="8.44140625" bestFit="1" customWidth="1"/>
  </cols>
  <sheetData>
    <row r="5" spans="6:7" ht="15" thickBot="1" x14ac:dyDescent="0.35"/>
    <row r="6" spans="6:7" x14ac:dyDescent="0.3">
      <c r="F6" s="22" t="s">
        <v>95</v>
      </c>
      <c r="G6" s="23">
        <f>GETPIVOTDATA("[Measures].[Count of BaseFlag]",$A$21,"[Table1_14  2].[BaseFlag]","[Table1_14  2].[BaseFlag].&amp;[ABSENT_BASE]")/GETPIVOTDATA("[Measures].[Count of BaseFlag]",$A$21)</f>
        <v>0.22916666666666666</v>
      </c>
    </row>
    <row r="7" spans="6:7" x14ac:dyDescent="0.3">
      <c r="F7" s="24" t="s">
        <v>96</v>
      </c>
      <c r="G7" s="25">
        <f>GETPIVOTDATA("[Measures].[Coverage Share]",$A$21,"[Table1_14  2].[BaseFlag]","[Table1_14  2].[BaseFlag].&amp;[VALID_BASE]")</f>
        <v>0.99958994090283892</v>
      </c>
    </row>
    <row r="8" spans="6:7" ht="15" thickBot="1" x14ac:dyDescent="0.35">
      <c r="F8" s="26" t="s">
        <v>97</v>
      </c>
      <c r="G8" s="27">
        <f>GETPIVOTDATA("[Measures].[Sum of Registered]",$A$21)</f>
        <v>4316451</v>
      </c>
    </row>
    <row r="21" spans="1:5" x14ac:dyDescent="0.3">
      <c r="A21" s="1" t="s">
        <v>36</v>
      </c>
      <c r="B21" t="s">
        <v>70</v>
      </c>
      <c r="C21" t="s">
        <v>42</v>
      </c>
      <c r="D21" t="s">
        <v>98</v>
      </c>
    </row>
    <row r="22" spans="1:5" x14ac:dyDescent="0.3">
      <c r="A22" s="2" t="s">
        <v>88</v>
      </c>
      <c r="B22" s="19">
        <v>66</v>
      </c>
      <c r="C22" s="4">
        <v>0</v>
      </c>
      <c r="D22" s="19">
        <v>0</v>
      </c>
    </row>
    <row r="23" spans="1:5" x14ac:dyDescent="0.3">
      <c r="A23" s="2" t="s">
        <v>55</v>
      </c>
      <c r="B23" s="19">
        <v>27</v>
      </c>
      <c r="C23" s="4">
        <v>4.1005909716107053E-4</v>
      </c>
      <c r="D23" s="19">
        <v>1770</v>
      </c>
    </row>
    <row r="24" spans="1:5" x14ac:dyDescent="0.3">
      <c r="A24" s="2" t="s">
        <v>53</v>
      </c>
      <c r="B24" s="19">
        <v>195</v>
      </c>
      <c r="C24" s="4">
        <v>0.99958994090283892</v>
      </c>
      <c r="D24" s="19">
        <v>4314681</v>
      </c>
    </row>
    <row r="25" spans="1:5" x14ac:dyDescent="0.3">
      <c r="A25" s="2" t="s">
        <v>37</v>
      </c>
      <c r="B25" s="19">
        <v>288</v>
      </c>
      <c r="C25" s="4">
        <v>1</v>
      </c>
      <c r="D25" s="19">
        <v>4316451</v>
      </c>
    </row>
    <row r="27" spans="1:5" x14ac:dyDescent="0.3">
      <c r="A27" s="2" t="s">
        <v>40</v>
      </c>
      <c r="B27" t="str">
        <f>B21</f>
        <v>Count of BaseFlag</v>
      </c>
      <c r="C27" t="str">
        <f>C21</f>
        <v>Coverage Share</v>
      </c>
      <c r="D27" t="s">
        <v>93</v>
      </c>
      <c r="E27" t="s">
        <v>94</v>
      </c>
    </row>
    <row r="28" spans="1:5" x14ac:dyDescent="0.3">
      <c r="A28" t="str">
        <f>A22</f>
        <v>ABSENT_BASE</v>
      </c>
      <c r="B28">
        <f>B22</f>
        <v>66</v>
      </c>
      <c r="C28" s="21">
        <f>C22</f>
        <v>0</v>
      </c>
      <c r="D28" s="21">
        <f>B28/($B$28+$B$29+$B$30)</f>
        <v>0.22916666666666666</v>
      </c>
      <c r="E28" t="str">
        <f xml:space="preserve"> "Count: " &amp; B28 &amp; " | Coverage: " &amp; TEXT(C28, "0.00%") &amp; " | Row%: " &amp; TEXT(D28, "0.0%")</f>
        <v>Count: 66 | Coverage: 0.00% | Row%: 22.9%</v>
      </c>
    </row>
    <row r="29" spans="1:5" x14ac:dyDescent="0.3">
      <c r="A29" t="str">
        <f>A23</f>
        <v>SMALL_BASE</v>
      </c>
      <c r="B29">
        <f>B23</f>
        <v>27</v>
      </c>
      <c r="C29" s="21">
        <f>C23</f>
        <v>4.1005909716107053E-4</v>
      </c>
      <c r="D29" s="21">
        <f>B29/($B$28+$B$29+$B$30)</f>
        <v>9.375E-2</v>
      </c>
      <c r="E29" t="str">
        <f t="shared" ref="E29:E30" si="0" xml:space="preserve"> "Count: " &amp; B29 &amp; " | Coverage: " &amp; TEXT(C29, "0.00%") &amp; " | Row%: " &amp; TEXT(D29, "0.0%")</f>
        <v>Count: 27 | Coverage: 0.04% | Row%: 9.4%</v>
      </c>
    </row>
    <row r="30" spans="1:5" x14ac:dyDescent="0.3">
      <c r="A30" t="str">
        <f>A24</f>
        <v>VALID_BASE</v>
      </c>
      <c r="B30">
        <f>B24</f>
        <v>195</v>
      </c>
      <c r="C30" s="21">
        <f>C24</f>
        <v>0.99958994090283892</v>
      </c>
      <c r="D30" s="21">
        <f>B30/($B$28+$B$29+$B$30)</f>
        <v>0.67708333333333337</v>
      </c>
      <c r="E30" t="str">
        <f t="shared" si="0"/>
        <v>Count: 195 | Coverage: 99.96% | Row%: 67.7%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C760-73DB-48C7-B24C-902581F38B71}">
  <dimension ref="A3:C8"/>
  <sheetViews>
    <sheetView zoomScale="75" workbookViewId="0">
      <selection activeCell="A3" sqref="A3"/>
    </sheetView>
  </sheetViews>
  <sheetFormatPr defaultRowHeight="14.4" x14ac:dyDescent="0.3"/>
  <cols>
    <col min="1" max="1" width="23.33203125" bestFit="1" customWidth="1"/>
    <col min="2" max="2" width="19.77734375" bestFit="1" customWidth="1"/>
    <col min="3" max="3" width="14.6640625" bestFit="1" customWidth="1"/>
  </cols>
  <sheetData>
    <row r="3" spans="1:3" x14ac:dyDescent="0.3">
      <c r="A3" s="1" t="s">
        <v>36</v>
      </c>
      <c r="B3" t="s">
        <v>71</v>
      </c>
      <c r="C3" t="s">
        <v>42</v>
      </c>
    </row>
    <row r="4" spans="1:3" x14ac:dyDescent="0.3">
      <c r="A4" s="2" t="s">
        <v>35</v>
      </c>
      <c r="B4" s="19">
        <v>66</v>
      </c>
      <c r="C4" s="19">
        <v>0</v>
      </c>
    </row>
    <row r="5" spans="1:3" x14ac:dyDescent="0.3">
      <c r="A5" s="2" t="s">
        <v>92</v>
      </c>
      <c r="B5" s="19">
        <v>6</v>
      </c>
      <c r="C5" s="19">
        <v>1.1217548861321488E-3</v>
      </c>
    </row>
    <row r="6" spans="1:3" x14ac:dyDescent="0.3">
      <c r="A6" s="2" t="s">
        <v>54</v>
      </c>
      <c r="B6" s="19">
        <v>195</v>
      </c>
      <c r="C6" s="19">
        <v>0.99859120374585508</v>
      </c>
    </row>
    <row r="7" spans="1:3" x14ac:dyDescent="0.3">
      <c r="A7" s="2" t="s">
        <v>56</v>
      </c>
      <c r="B7" s="19">
        <v>21</v>
      </c>
      <c r="C7" s="19">
        <v>2.8704136801274938E-4</v>
      </c>
    </row>
    <row r="8" spans="1:3" x14ac:dyDescent="0.3">
      <c r="A8" s="2" t="s">
        <v>37</v>
      </c>
      <c r="B8" s="19">
        <v>288</v>
      </c>
      <c r="C8" s="1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5FE24-4DCC-4510-88E2-34A35A92FA14}">
  <dimension ref="A3:C9"/>
  <sheetViews>
    <sheetView zoomScale="88" workbookViewId="0">
      <selection activeCell="B7" sqref="B7"/>
    </sheetView>
  </sheetViews>
  <sheetFormatPr defaultRowHeight="14.4" x14ac:dyDescent="0.3"/>
  <cols>
    <col min="1" max="1" width="12.88671875" bestFit="1" customWidth="1"/>
    <col min="2" max="2" width="24.33203125" bestFit="1" customWidth="1"/>
    <col min="3" max="3" width="25" bestFit="1" customWidth="1"/>
  </cols>
  <sheetData>
    <row r="3" spans="1:3" x14ac:dyDescent="0.3">
      <c r="A3" s="9" t="s">
        <v>29</v>
      </c>
      <c r="B3" s="9" t="s">
        <v>44</v>
      </c>
      <c r="C3" s="10" t="s">
        <v>47</v>
      </c>
    </row>
    <row r="4" spans="1:3" x14ac:dyDescent="0.3">
      <c r="A4" s="11" t="s">
        <v>4</v>
      </c>
      <c r="B4" s="12">
        <v>8.0140564981311131E-3</v>
      </c>
      <c r="C4" s="12">
        <v>1.9417475728155331E-2</v>
      </c>
    </row>
    <row r="5" spans="1:3" x14ac:dyDescent="0.3">
      <c r="A5" s="11" t="s">
        <v>5</v>
      </c>
      <c r="B5" s="12">
        <v>1.2089637108015959E-2</v>
      </c>
      <c r="C5" s="12">
        <v>4.7904191616766512E-2</v>
      </c>
    </row>
    <row r="6" spans="1:3" x14ac:dyDescent="0.3">
      <c r="A6" s="11" t="s">
        <v>6</v>
      </c>
      <c r="B6" s="12">
        <v>3.7526405686020619E-3</v>
      </c>
      <c r="C6" s="12">
        <v>9.8039215686274161E-3</v>
      </c>
    </row>
    <row r="7" spans="1:3" x14ac:dyDescent="0.3">
      <c r="A7" s="11" t="s">
        <v>7</v>
      </c>
      <c r="B7" s="12">
        <v>2.9169464951935668E-3</v>
      </c>
      <c r="C7" s="12">
        <v>9.9945802344320045E-3</v>
      </c>
    </row>
    <row r="8" spans="1:3" x14ac:dyDescent="0.3">
      <c r="A8" s="11" t="s">
        <v>8</v>
      </c>
      <c r="B8" s="12">
        <v>3.9583342764695738E-3</v>
      </c>
      <c r="C8" s="12">
        <v>1.2125220458553798E-2</v>
      </c>
    </row>
    <row r="9" spans="1:3" x14ac:dyDescent="0.3">
      <c r="A9" s="11" t="s">
        <v>9</v>
      </c>
      <c r="B9" s="12">
        <v>9.2514702364829347E-4</v>
      </c>
      <c r="C9" s="12">
        <v>3.9532202273101502E-3</v>
      </c>
    </row>
  </sheetData>
  <dataConsolidate link="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ACED9-F388-41E3-9120-3480CFBF13FC}">
  <dimension ref="A3:C116"/>
  <sheetViews>
    <sheetView zoomScale="80" workbookViewId="0">
      <selection activeCell="A117" sqref="A117"/>
    </sheetView>
  </sheetViews>
  <sheetFormatPr defaultRowHeight="14.4" x14ac:dyDescent="0.3"/>
  <cols>
    <col min="1" max="1" width="16.109375" bestFit="1" customWidth="1"/>
    <col min="2" max="2" width="16.5546875" bestFit="1" customWidth="1"/>
    <col min="3" max="3" width="14.88671875" bestFit="1" customWidth="1"/>
  </cols>
  <sheetData>
    <row r="3" spans="1:3" x14ac:dyDescent="0.3">
      <c r="A3" s="1" t="s">
        <v>36</v>
      </c>
      <c r="B3" t="s">
        <v>38</v>
      </c>
      <c r="C3" t="s">
        <v>42</v>
      </c>
    </row>
    <row r="4" spans="1:3" x14ac:dyDescent="0.3">
      <c r="A4" s="2" t="s">
        <v>10</v>
      </c>
      <c r="B4" s="19">
        <v>0</v>
      </c>
      <c r="C4" s="19">
        <v>7.1022235628297417E-2</v>
      </c>
    </row>
    <row r="5" spans="1:3" x14ac:dyDescent="0.3">
      <c r="A5" s="3" t="s">
        <v>7</v>
      </c>
      <c r="B5" s="19">
        <v>86178</v>
      </c>
      <c r="C5" s="19">
        <v>5.9895038771435143E-2</v>
      </c>
    </row>
    <row r="6" spans="1:3" x14ac:dyDescent="0.3">
      <c r="A6" s="3" t="s">
        <v>4</v>
      </c>
      <c r="B6" s="19">
        <v>0</v>
      </c>
      <c r="C6" s="19">
        <v>0</v>
      </c>
    </row>
    <row r="7" spans="1:3" x14ac:dyDescent="0.3">
      <c r="A7" s="3" t="s">
        <v>5</v>
      </c>
      <c r="B7" s="19">
        <v>4533</v>
      </c>
      <c r="C7" s="19">
        <v>3.1505048939510722E-3</v>
      </c>
    </row>
    <row r="8" spans="1:3" x14ac:dyDescent="0.3">
      <c r="A8" s="3" t="s">
        <v>6</v>
      </c>
      <c r="B8" s="19">
        <v>0</v>
      </c>
      <c r="C8" s="19">
        <v>0</v>
      </c>
    </row>
    <row r="9" spans="1:3" x14ac:dyDescent="0.3">
      <c r="A9" s="3" t="s">
        <v>8</v>
      </c>
      <c r="B9" s="19">
        <v>3741</v>
      </c>
      <c r="C9" s="19">
        <v>2.600052682168754E-3</v>
      </c>
    </row>
    <row r="10" spans="1:3" x14ac:dyDescent="0.3">
      <c r="A10" s="3" t="s">
        <v>9</v>
      </c>
      <c r="B10" s="19">
        <v>7736</v>
      </c>
      <c r="C10" s="19">
        <v>5.3766392807424431E-3</v>
      </c>
    </row>
    <row r="11" spans="1:3" x14ac:dyDescent="0.3">
      <c r="A11" s="2" t="s">
        <v>19</v>
      </c>
      <c r="B11" s="19">
        <v>0</v>
      </c>
      <c r="C11" s="19">
        <v>1.1599112326306959E-2</v>
      </c>
    </row>
    <row r="12" spans="1:3" x14ac:dyDescent="0.3">
      <c r="A12" s="3" t="s">
        <v>7</v>
      </c>
      <c r="B12" s="19">
        <v>12262</v>
      </c>
      <c r="C12" s="19">
        <v>8.5222790667610956E-3</v>
      </c>
    </row>
    <row r="13" spans="1:3" x14ac:dyDescent="0.3">
      <c r="A13" s="3" t="s">
        <v>4</v>
      </c>
      <c r="B13" s="19">
        <v>93</v>
      </c>
      <c r="C13" s="19">
        <v>6.4636433959287392E-5</v>
      </c>
    </row>
    <row r="14" spans="1:3" x14ac:dyDescent="0.3">
      <c r="A14" s="3" t="s">
        <v>5</v>
      </c>
      <c r="B14" s="19">
        <v>70</v>
      </c>
      <c r="C14" s="19">
        <v>4.8651079324194808E-5</v>
      </c>
    </row>
    <row r="15" spans="1:3" x14ac:dyDescent="0.3">
      <c r="A15" s="3" t="s">
        <v>6</v>
      </c>
      <c r="B15" s="19">
        <v>0</v>
      </c>
      <c r="C15" s="19">
        <v>0</v>
      </c>
    </row>
    <row r="16" spans="1:3" x14ac:dyDescent="0.3">
      <c r="A16" s="3" t="s">
        <v>8</v>
      </c>
      <c r="B16" s="19">
        <v>1901</v>
      </c>
      <c r="C16" s="19">
        <v>1.3212243113613475E-3</v>
      </c>
    </row>
    <row r="17" spans="1:3" x14ac:dyDescent="0.3">
      <c r="A17" s="3" t="s">
        <v>9</v>
      </c>
      <c r="B17" s="19">
        <v>2363</v>
      </c>
      <c r="C17" s="19">
        <v>1.6423214349010333E-3</v>
      </c>
    </row>
    <row r="18" spans="1:3" x14ac:dyDescent="0.3">
      <c r="A18" s="2" t="s">
        <v>20</v>
      </c>
      <c r="B18" s="19">
        <v>0</v>
      </c>
      <c r="C18" s="19">
        <v>5.211156109498289E-2</v>
      </c>
    </row>
    <row r="19" spans="1:3" x14ac:dyDescent="0.3">
      <c r="A19" s="3" t="s">
        <v>7</v>
      </c>
      <c r="B19" s="19">
        <v>60352</v>
      </c>
      <c r="C19" s="19">
        <v>4.194557056248293E-2</v>
      </c>
    </row>
    <row r="20" spans="1:3" x14ac:dyDescent="0.3">
      <c r="A20" s="3" t="s">
        <v>4</v>
      </c>
      <c r="B20" s="19">
        <v>0</v>
      </c>
      <c r="C20" s="19">
        <v>0</v>
      </c>
    </row>
    <row r="21" spans="1:3" x14ac:dyDescent="0.3">
      <c r="A21" s="3" t="s">
        <v>5</v>
      </c>
      <c r="B21" s="19">
        <v>3180</v>
      </c>
      <c r="C21" s="19">
        <v>2.2101490321562783E-3</v>
      </c>
    </row>
    <row r="22" spans="1:3" x14ac:dyDescent="0.3">
      <c r="A22" s="3" t="s">
        <v>6</v>
      </c>
      <c r="B22" s="19">
        <v>0</v>
      </c>
      <c r="C22" s="19">
        <v>0</v>
      </c>
    </row>
    <row r="23" spans="1:3" x14ac:dyDescent="0.3">
      <c r="A23" s="3" t="s">
        <v>8</v>
      </c>
      <c r="B23" s="19">
        <v>3640</v>
      </c>
      <c r="C23" s="19">
        <v>2.5298561248581299E-3</v>
      </c>
    </row>
    <row r="24" spans="1:3" x14ac:dyDescent="0.3">
      <c r="A24" s="3" t="s">
        <v>9</v>
      </c>
      <c r="B24" s="19">
        <v>7807</v>
      </c>
      <c r="C24" s="19">
        <v>5.4259853754855553E-3</v>
      </c>
    </row>
    <row r="25" spans="1:3" x14ac:dyDescent="0.3">
      <c r="A25" s="2" t="s">
        <v>13</v>
      </c>
      <c r="B25" s="19">
        <v>0</v>
      </c>
      <c r="C25" s="19">
        <v>6.4616973527557714E-2</v>
      </c>
    </row>
    <row r="26" spans="1:3" x14ac:dyDescent="0.3">
      <c r="A26" s="3" t="s">
        <v>7</v>
      </c>
      <c r="B26" s="19">
        <v>69835</v>
      </c>
      <c r="C26" s="19">
        <v>4.8536401780073492E-2</v>
      </c>
    </row>
    <row r="27" spans="1:3" x14ac:dyDescent="0.3">
      <c r="A27" s="3" t="s">
        <v>4</v>
      </c>
      <c r="B27" s="19">
        <v>103</v>
      </c>
      <c r="C27" s="19">
        <v>7.1586588148458079E-5</v>
      </c>
    </row>
    <row r="28" spans="1:3" x14ac:dyDescent="0.3">
      <c r="A28" s="3" t="s">
        <v>5</v>
      </c>
      <c r="B28" s="19">
        <v>7746</v>
      </c>
      <c r="C28" s="19">
        <v>5.3835894349316136E-3</v>
      </c>
    </row>
    <row r="29" spans="1:3" x14ac:dyDescent="0.3">
      <c r="A29" s="3" t="s">
        <v>6</v>
      </c>
      <c r="B29" s="19">
        <v>0</v>
      </c>
      <c r="C29" s="19">
        <v>0</v>
      </c>
    </row>
    <row r="30" spans="1:3" x14ac:dyDescent="0.3">
      <c r="A30" s="3" t="s">
        <v>8</v>
      </c>
      <c r="B30" s="19">
        <v>3823</v>
      </c>
      <c r="C30" s="19">
        <v>2.6570439465199536E-3</v>
      </c>
    </row>
    <row r="31" spans="1:3" x14ac:dyDescent="0.3">
      <c r="A31" s="3" t="s">
        <v>9</v>
      </c>
      <c r="B31" s="19">
        <v>11465</v>
      </c>
      <c r="C31" s="19">
        <v>7.9683517778841931E-3</v>
      </c>
    </row>
    <row r="32" spans="1:3" x14ac:dyDescent="0.3">
      <c r="A32" s="2" t="s">
        <v>14</v>
      </c>
      <c r="B32" s="19">
        <v>0</v>
      </c>
      <c r="C32" s="19">
        <v>7.7259303997659193E-2</v>
      </c>
    </row>
    <row r="33" spans="1:3" x14ac:dyDescent="0.3">
      <c r="A33" s="3" t="s">
        <v>7</v>
      </c>
      <c r="B33" s="19">
        <v>89637</v>
      </c>
      <c r="C33" s="19">
        <v>6.2299097105469284E-2</v>
      </c>
    </row>
    <row r="34" spans="1:3" x14ac:dyDescent="0.3">
      <c r="A34" s="3" t="s">
        <v>4</v>
      </c>
      <c r="B34" s="19">
        <v>0</v>
      </c>
      <c r="C34" s="19">
        <v>0</v>
      </c>
    </row>
    <row r="35" spans="1:3" x14ac:dyDescent="0.3">
      <c r="A35" s="3" t="s">
        <v>5</v>
      </c>
      <c r="B35" s="19">
        <v>13060</v>
      </c>
      <c r="C35" s="19">
        <v>9.0769013710569162E-3</v>
      </c>
    </row>
    <row r="36" spans="1:3" x14ac:dyDescent="0.3">
      <c r="A36" s="3" t="s">
        <v>6</v>
      </c>
      <c r="B36" s="19">
        <v>55</v>
      </c>
      <c r="C36" s="19">
        <v>3.8225848040438776E-5</v>
      </c>
    </row>
    <row r="37" spans="1:3" x14ac:dyDescent="0.3">
      <c r="A37" s="3" t="s">
        <v>8</v>
      </c>
      <c r="B37" s="19">
        <v>2549</v>
      </c>
      <c r="C37" s="19">
        <v>1.771594302819608E-3</v>
      </c>
    </row>
    <row r="38" spans="1:3" x14ac:dyDescent="0.3">
      <c r="A38" s="3" t="s">
        <v>9</v>
      </c>
      <c r="B38" s="19">
        <v>5861</v>
      </c>
      <c r="C38" s="19">
        <v>4.0734853702729399E-3</v>
      </c>
    </row>
    <row r="39" spans="1:3" x14ac:dyDescent="0.3">
      <c r="A39" s="2" t="s">
        <v>21</v>
      </c>
      <c r="B39" s="19">
        <v>0</v>
      </c>
      <c r="C39" s="19">
        <v>5.5408714242325463E-2</v>
      </c>
    </row>
    <row r="40" spans="1:3" x14ac:dyDescent="0.3">
      <c r="A40" s="3" t="s">
        <v>7</v>
      </c>
      <c r="B40" s="19">
        <v>67799</v>
      </c>
      <c r="C40" s="19">
        <v>4.7121350387158339E-2</v>
      </c>
    </row>
    <row r="41" spans="1:3" x14ac:dyDescent="0.3">
      <c r="A41" s="3" t="s">
        <v>4</v>
      </c>
      <c r="B41" s="19">
        <v>0</v>
      </c>
      <c r="C41" s="19">
        <v>0</v>
      </c>
    </row>
    <row r="42" spans="1:3" x14ac:dyDescent="0.3">
      <c r="A42" s="3" t="s">
        <v>5</v>
      </c>
      <c r="B42" s="19">
        <v>3565</v>
      </c>
      <c r="C42" s="19">
        <v>2.4777299684393497E-3</v>
      </c>
    </row>
    <row r="43" spans="1:3" x14ac:dyDescent="0.3">
      <c r="A43" s="3" t="s">
        <v>6</v>
      </c>
      <c r="B43" s="19">
        <v>0</v>
      </c>
      <c r="C43" s="19">
        <v>0</v>
      </c>
    </row>
    <row r="44" spans="1:3" x14ac:dyDescent="0.3">
      <c r="A44" s="3" t="s">
        <v>8</v>
      </c>
      <c r="B44" s="19">
        <v>1646</v>
      </c>
      <c r="C44" s="19">
        <v>1.143995379537495E-3</v>
      </c>
    </row>
    <row r="45" spans="1:3" x14ac:dyDescent="0.3">
      <c r="A45" s="3" t="s">
        <v>9</v>
      </c>
      <c r="B45" s="19">
        <v>6713</v>
      </c>
      <c r="C45" s="19">
        <v>4.6656385071902817E-3</v>
      </c>
    </row>
    <row r="46" spans="1:3" x14ac:dyDescent="0.3">
      <c r="A46" s="2" t="s">
        <v>26</v>
      </c>
      <c r="B46" s="19">
        <v>22</v>
      </c>
      <c r="C46" s="19">
        <v>4.8405043865898167E-2</v>
      </c>
    </row>
    <row r="47" spans="1:3" x14ac:dyDescent="0.3">
      <c r="A47" s="3" t="s">
        <v>7</v>
      </c>
      <c r="B47" s="19">
        <v>62473</v>
      </c>
      <c r="C47" s="19">
        <v>4.3419698266006029E-2</v>
      </c>
    </row>
    <row r="48" spans="1:3" x14ac:dyDescent="0.3">
      <c r="A48" s="3" t="s">
        <v>4</v>
      </c>
      <c r="B48" s="19">
        <v>164</v>
      </c>
      <c r="C48" s="19">
        <v>1.1398252870239926E-4</v>
      </c>
    </row>
    <row r="49" spans="1:3" x14ac:dyDescent="0.3">
      <c r="A49" s="3" t="s">
        <v>5</v>
      </c>
      <c r="B49" s="19">
        <v>1555</v>
      </c>
      <c r="C49" s="19">
        <v>1.0807489764160419E-3</v>
      </c>
    </row>
    <row r="50" spans="1:3" x14ac:dyDescent="0.3">
      <c r="A50" s="3" t="s">
        <v>6</v>
      </c>
      <c r="B50" s="19">
        <v>22</v>
      </c>
      <c r="C50" s="19">
        <v>1.5290339216175512E-5</v>
      </c>
    </row>
    <row r="51" spans="1:3" x14ac:dyDescent="0.3">
      <c r="A51" s="3" t="s">
        <v>8</v>
      </c>
      <c r="B51" s="19">
        <v>1120</v>
      </c>
      <c r="C51" s="19">
        <v>7.7841726918711693E-4</v>
      </c>
    </row>
    <row r="52" spans="1:3" x14ac:dyDescent="0.3">
      <c r="A52" s="3" t="s">
        <v>9</v>
      </c>
      <c r="B52" s="19">
        <v>4312</v>
      </c>
      <c r="C52" s="19">
        <v>2.9969064863704003E-3</v>
      </c>
    </row>
    <row r="53" spans="1:3" x14ac:dyDescent="0.3">
      <c r="A53" s="2" t="s">
        <v>15</v>
      </c>
      <c r="B53" s="19">
        <v>0</v>
      </c>
      <c r="C53" s="19">
        <v>0.12394835479425111</v>
      </c>
    </row>
    <row r="54" spans="1:3" x14ac:dyDescent="0.3">
      <c r="A54" s="3" t="s">
        <v>7</v>
      </c>
      <c r="B54" s="19">
        <v>64953</v>
      </c>
      <c r="C54" s="19">
        <v>4.5143336504920362E-2</v>
      </c>
    </row>
    <row r="55" spans="1:3" x14ac:dyDescent="0.3">
      <c r="A55" s="3" t="s">
        <v>4</v>
      </c>
      <c r="B55" s="19">
        <v>0</v>
      </c>
      <c r="C55" s="19">
        <v>0</v>
      </c>
    </row>
    <row r="56" spans="1:3" x14ac:dyDescent="0.3">
      <c r="A56" s="3" t="s">
        <v>5</v>
      </c>
      <c r="B56" s="19">
        <v>100216</v>
      </c>
      <c r="C56" s="19">
        <v>6.965166522219296E-2</v>
      </c>
    </row>
    <row r="57" spans="1:3" x14ac:dyDescent="0.3">
      <c r="A57" s="3" t="s">
        <v>6</v>
      </c>
      <c r="B57" s="19">
        <v>6420</v>
      </c>
      <c r="C57" s="19">
        <v>4.4619989894475812E-3</v>
      </c>
    </row>
    <row r="58" spans="1:3" x14ac:dyDescent="0.3">
      <c r="A58" s="3" t="s">
        <v>8</v>
      </c>
      <c r="B58" s="19">
        <v>81</v>
      </c>
      <c r="C58" s="19">
        <v>5.6296248932282561E-5</v>
      </c>
    </row>
    <row r="59" spans="1:3" x14ac:dyDescent="0.3">
      <c r="A59" s="3" t="s">
        <v>9</v>
      </c>
      <c r="B59" s="19">
        <v>6669</v>
      </c>
      <c r="C59" s="19">
        <v>4.6350578287579309E-3</v>
      </c>
    </row>
    <row r="60" spans="1:3" x14ac:dyDescent="0.3">
      <c r="A60" s="2" t="s">
        <v>27</v>
      </c>
      <c r="B60" s="19">
        <v>0</v>
      </c>
      <c r="C60" s="19">
        <v>8.3872375708655092E-2</v>
      </c>
    </row>
    <row r="61" spans="1:3" x14ac:dyDescent="0.3">
      <c r="A61" s="3" t="s">
        <v>7</v>
      </c>
      <c r="B61" s="19">
        <v>40461</v>
      </c>
      <c r="C61" s="19">
        <v>2.8121018864803515E-2</v>
      </c>
    </row>
    <row r="62" spans="1:3" x14ac:dyDescent="0.3">
      <c r="A62" s="3" t="s">
        <v>4</v>
      </c>
      <c r="B62" s="19">
        <v>0</v>
      </c>
      <c r="C62" s="19">
        <v>0</v>
      </c>
    </row>
    <row r="63" spans="1:3" x14ac:dyDescent="0.3">
      <c r="A63" s="3" t="s">
        <v>5</v>
      </c>
      <c r="B63" s="19">
        <v>69504</v>
      </c>
      <c r="C63" s="19">
        <v>4.8306351676411945E-2</v>
      </c>
    </row>
    <row r="64" spans="1:3" x14ac:dyDescent="0.3">
      <c r="A64" s="3" t="s">
        <v>6</v>
      </c>
      <c r="B64" s="19">
        <v>7775</v>
      </c>
      <c r="C64" s="19">
        <v>5.4037448820802086E-3</v>
      </c>
    </row>
    <row r="65" spans="1:3" x14ac:dyDescent="0.3">
      <c r="A65" s="3" t="s">
        <v>8</v>
      </c>
      <c r="B65" s="19">
        <v>65</v>
      </c>
      <c r="C65" s="19">
        <v>4.5176002229609464E-5</v>
      </c>
    </row>
    <row r="66" spans="1:3" x14ac:dyDescent="0.3">
      <c r="A66" s="3" t="s">
        <v>9</v>
      </c>
      <c r="B66" s="19">
        <v>2872</v>
      </c>
      <c r="C66" s="19">
        <v>1.9960842831298212E-3</v>
      </c>
    </row>
    <row r="67" spans="1:3" x14ac:dyDescent="0.3">
      <c r="A67" s="2" t="s">
        <v>17</v>
      </c>
      <c r="B67" s="19">
        <v>0</v>
      </c>
      <c r="C67" s="19">
        <v>3.6244359081106216E-2</v>
      </c>
    </row>
    <row r="68" spans="1:3" x14ac:dyDescent="0.3">
      <c r="A68" s="3" t="s">
        <v>7</v>
      </c>
      <c r="B68" s="19">
        <v>20768</v>
      </c>
      <c r="C68" s="19">
        <v>1.4434080220069681E-2</v>
      </c>
    </row>
    <row r="69" spans="1:3" x14ac:dyDescent="0.3">
      <c r="A69" s="3" t="s">
        <v>4</v>
      </c>
      <c r="B69" s="19">
        <v>0</v>
      </c>
      <c r="C69" s="19">
        <v>0</v>
      </c>
    </row>
    <row r="70" spans="1:3" x14ac:dyDescent="0.3">
      <c r="A70" s="3" t="s">
        <v>5</v>
      </c>
      <c r="B70" s="19">
        <v>20672</v>
      </c>
      <c r="C70" s="19">
        <v>1.4367358739853644E-2</v>
      </c>
    </row>
    <row r="71" spans="1:3" x14ac:dyDescent="0.3">
      <c r="A71" s="3" t="s">
        <v>6</v>
      </c>
      <c r="B71" s="19">
        <v>102</v>
      </c>
      <c r="C71" s="19">
        <v>7.0891572729541008E-5</v>
      </c>
    </row>
    <row r="72" spans="1:3" x14ac:dyDescent="0.3">
      <c r="A72" s="3" t="s">
        <v>8</v>
      </c>
      <c r="B72" s="19">
        <v>4536</v>
      </c>
      <c r="C72" s="19">
        <v>3.1525899402078234E-3</v>
      </c>
    </row>
    <row r="73" spans="1:3" x14ac:dyDescent="0.3">
      <c r="A73" s="3" t="s">
        <v>9</v>
      </c>
      <c r="B73" s="19">
        <v>6071</v>
      </c>
      <c r="C73" s="19">
        <v>4.2194386082455241E-3</v>
      </c>
    </row>
    <row r="74" spans="1:3" x14ac:dyDescent="0.3">
      <c r="A74" s="2" t="s">
        <v>22</v>
      </c>
      <c r="B74" s="19">
        <v>0</v>
      </c>
      <c r="C74" s="19">
        <v>7.4669676546774186E-2</v>
      </c>
    </row>
    <row r="75" spans="1:3" x14ac:dyDescent="0.3">
      <c r="A75" s="3" t="s">
        <v>7</v>
      </c>
      <c r="B75" s="19">
        <v>100688</v>
      </c>
      <c r="C75" s="19">
        <v>6.9979712499921812E-2</v>
      </c>
    </row>
    <row r="76" spans="1:3" x14ac:dyDescent="0.3">
      <c r="A76" s="3" t="s">
        <v>4</v>
      </c>
      <c r="B76" s="19">
        <v>0</v>
      </c>
      <c r="C76" s="19">
        <v>0</v>
      </c>
    </row>
    <row r="77" spans="1:3" x14ac:dyDescent="0.3">
      <c r="A77" s="3" t="s">
        <v>5</v>
      </c>
      <c r="B77" s="19">
        <v>278</v>
      </c>
      <c r="C77" s="19">
        <v>1.9321428645894509E-4</v>
      </c>
    </row>
    <row r="78" spans="1:3" x14ac:dyDescent="0.3">
      <c r="A78" s="3" t="s">
        <v>6</v>
      </c>
      <c r="B78" s="19">
        <v>921</v>
      </c>
      <c r="C78" s="19">
        <v>6.4010920082262029E-4</v>
      </c>
    </row>
    <row r="79" spans="1:3" x14ac:dyDescent="0.3">
      <c r="A79" s="3" t="s">
        <v>8</v>
      </c>
      <c r="B79" s="19">
        <v>1069</v>
      </c>
      <c r="C79" s="19">
        <v>7.4297148282234638E-4</v>
      </c>
    </row>
    <row r="80" spans="1:3" x14ac:dyDescent="0.3">
      <c r="A80" s="3" t="s">
        <v>9</v>
      </c>
      <c r="B80" s="19">
        <v>4480</v>
      </c>
      <c r="C80" s="19">
        <v>3.1136690767484677E-3</v>
      </c>
    </row>
    <row r="81" spans="1:3" x14ac:dyDescent="0.3">
      <c r="A81" s="2" t="s">
        <v>18</v>
      </c>
      <c r="B81" s="19">
        <v>0</v>
      </c>
      <c r="C81" s="19">
        <v>8.6818546069444544E-2</v>
      </c>
    </row>
    <row r="82" spans="1:3" x14ac:dyDescent="0.3">
      <c r="A82" s="3" t="s">
        <v>7</v>
      </c>
      <c r="B82" s="19">
        <v>118675</v>
      </c>
      <c r="C82" s="19">
        <v>8.248095483998312E-2</v>
      </c>
    </row>
    <row r="83" spans="1:3" x14ac:dyDescent="0.3">
      <c r="A83" s="3" t="s">
        <v>4</v>
      </c>
      <c r="B83" s="19">
        <v>38</v>
      </c>
      <c r="C83" s="19">
        <v>2.6410585918848608E-5</v>
      </c>
    </row>
    <row r="84" spans="1:3" x14ac:dyDescent="0.3">
      <c r="A84" s="3" t="s">
        <v>5</v>
      </c>
      <c r="B84" s="19">
        <v>357</v>
      </c>
      <c r="C84" s="19">
        <v>2.4812050455339353E-4</v>
      </c>
    </row>
    <row r="85" spans="1:3" x14ac:dyDescent="0.3">
      <c r="A85" s="3" t="s">
        <v>6</v>
      </c>
      <c r="B85" s="19">
        <v>0</v>
      </c>
      <c r="C85" s="19">
        <v>0</v>
      </c>
    </row>
    <row r="86" spans="1:3" x14ac:dyDescent="0.3">
      <c r="A86" s="3" t="s">
        <v>8</v>
      </c>
      <c r="B86" s="19">
        <v>2231</v>
      </c>
      <c r="C86" s="19">
        <v>1.5505793996039802E-3</v>
      </c>
    </row>
    <row r="87" spans="1:3" x14ac:dyDescent="0.3">
      <c r="A87" s="3" t="s">
        <v>9</v>
      </c>
      <c r="B87" s="19">
        <v>3615</v>
      </c>
      <c r="C87" s="19">
        <v>2.5124807393852033E-3</v>
      </c>
    </row>
    <row r="88" spans="1:3" x14ac:dyDescent="0.3">
      <c r="A88" s="2" t="s">
        <v>23</v>
      </c>
      <c r="B88" s="19">
        <v>0</v>
      </c>
      <c r="C88" s="19">
        <v>6.5277933190947837E-2</v>
      </c>
    </row>
    <row r="89" spans="1:3" x14ac:dyDescent="0.3">
      <c r="A89" s="3" t="s">
        <v>7</v>
      </c>
      <c r="B89" s="19">
        <v>84716</v>
      </c>
      <c r="C89" s="19">
        <v>5.887892622897839E-2</v>
      </c>
    </row>
    <row r="90" spans="1:3" x14ac:dyDescent="0.3">
      <c r="A90" s="3" t="s">
        <v>4</v>
      </c>
      <c r="B90" s="19">
        <v>0</v>
      </c>
      <c r="C90" s="19">
        <v>0</v>
      </c>
    </row>
    <row r="91" spans="1:3" x14ac:dyDescent="0.3">
      <c r="A91" s="3" t="s">
        <v>5</v>
      </c>
      <c r="B91" s="19">
        <v>84</v>
      </c>
      <c r="C91" s="19">
        <v>5.8381295189033768E-5</v>
      </c>
    </row>
    <row r="92" spans="1:3" x14ac:dyDescent="0.3">
      <c r="A92" s="3" t="s">
        <v>6</v>
      </c>
      <c r="B92" s="19">
        <v>0</v>
      </c>
      <c r="C92" s="19">
        <v>0</v>
      </c>
    </row>
    <row r="93" spans="1:3" x14ac:dyDescent="0.3">
      <c r="A93" s="3" t="s">
        <v>8</v>
      </c>
      <c r="B93" s="19">
        <v>3714</v>
      </c>
      <c r="C93" s="19">
        <v>2.581287265857993E-3</v>
      </c>
    </row>
    <row r="94" spans="1:3" x14ac:dyDescent="0.3">
      <c r="A94" s="3" t="s">
        <v>9</v>
      </c>
      <c r="B94" s="19">
        <v>5409</v>
      </c>
      <c r="C94" s="19">
        <v>3.7593384009224243E-3</v>
      </c>
    </row>
    <row r="95" spans="1:3" x14ac:dyDescent="0.3">
      <c r="A95" s="2" t="s">
        <v>24</v>
      </c>
      <c r="B95" s="19">
        <v>0</v>
      </c>
      <c r="C95" s="19">
        <v>0.10072788964823184</v>
      </c>
    </row>
    <row r="96" spans="1:3" x14ac:dyDescent="0.3">
      <c r="A96" s="3" t="s">
        <v>7</v>
      </c>
      <c r="B96" s="19">
        <v>131729</v>
      </c>
      <c r="C96" s="19">
        <v>9.1553686118526545E-2</v>
      </c>
    </row>
    <row r="97" spans="1:3" x14ac:dyDescent="0.3">
      <c r="A97" s="3" t="s">
        <v>4</v>
      </c>
      <c r="B97" s="19">
        <v>0</v>
      </c>
      <c r="C97" s="19">
        <v>0</v>
      </c>
    </row>
    <row r="98" spans="1:3" x14ac:dyDescent="0.3">
      <c r="A98" s="3" t="s">
        <v>5</v>
      </c>
      <c r="B98" s="19">
        <v>1336</v>
      </c>
      <c r="C98" s="19">
        <v>9.2854059967320372E-4</v>
      </c>
    </row>
    <row r="99" spans="1:3" x14ac:dyDescent="0.3">
      <c r="A99" s="3" t="s">
        <v>6</v>
      </c>
      <c r="B99" s="19">
        <v>0</v>
      </c>
      <c r="C99" s="19">
        <v>0</v>
      </c>
    </row>
    <row r="100" spans="1:3" x14ac:dyDescent="0.3">
      <c r="A100" s="3" t="s">
        <v>8</v>
      </c>
      <c r="B100" s="19">
        <v>3184</v>
      </c>
      <c r="C100" s="19">
        <v>2.2129290938319468E-3</v>
      </c>
    </row>
    <row r="101" spans="1:3" x14ac:dyDescent="0.3">
      <c r="A101" s="3" t="s">
        <v>9</v>
      </c>
      <c r="B101" s="19">
        <v>8680</v>
      </c>
      <c r="C101" s="19">
        <v>6.0327338362001562E-3</v>
      </c>
    </row>
    <row r="102" spans="1:3" x14ac:dyDescent="0.3">
      <c r="A102" s="2" t="s">
        <v>16</v>
      </c>
      <c r="B102" s="19">
        <v>0</v>
      </c>
      <c r="C102" s="19">
        <v>2.1453735951132077E-2</v>
      </c>
    </row>
    <row r="103" spans="1:3" x14ac:dyDescent="0.3">
      <c r="A103" s="3" t="s">
        <v>7</v>
      </c>
      <c r="B103" s="19">
        <v>22801</v>
      </c>
      <c r="C103" s="19">
        <v>1.5847046566728081E-2</v>
      </c>
    </row>
    <row r="104" spans="1:3" x14ac:dyDescent="0.3">
      <c r="A104" s="3" t="s">
        <v>4</v>
      </c>
      <c r="B104" s="19">
        <v>0</v>
      </c>
      <c r="C104" s="19">
        <v>0</v>
      </c>
    </row>
    <row r="105" spans="1:3" x14ac:dyDescent="0.3">
      <c r="A105" s="3" t="s">
        <v>5</v>
      </c>
      <c r="B105" s="19">
        <v>1535</v>
      </c>
      <c r="C105" s="19">
        <v>1.0668486680377005E-3</v>
      </c>
    </row>
    <row r="106" spans="1:3" x14ac:dyDescent="0.3">
      <c r="A106" s="3" t="s">
        <v>6</v>
      </c>
      <c r="B106" s="19">
        <v>0</v>
      </c>
      <c r="C106" s="19">
        <v>0</v>
      </c>
    </row>
    <row r="107" spans="1:3" x14ac:dyDescent="0.3">
      <c r="A107" s="3" t="s">
        <v>8</v>
      </c>
      <c r="B107" s="19">
        <v>1673</v>
      </c>
      <c r="C107" s="19">
        <v>1.1627607958482559E-3</v>
      </c>
    </row>
    <row r="108" spans="1:3" x14ac:dyDescent="0.3">
      <c r="A108" s="3" t="s">
        <v>9</v>
      </c>
      <c r="B108" s="19">
        <v>4859</v>
      </c>
      <c r="C108" s="19">
        <v>3.3770799205180366E-3</v>
      </c>
    </row>
    <row r="109" spans="1:3" x14ac:dyDescent="0.3">
      <c r="A109" s="2" t="s">
        <v>25</v>
      </c>
      <c r="B109" s="19">
        <v>0</v>
      </c>
      <c r="C109" s="19">
        <v>2.6564184326429281E-2</v>
      </c>
    </row>
    <row r="110" spans="1:3" x14ac:dyDescent="0.3">
      <c r="A110" s="3" t="s">
        <v>7</v>
      </c>
      <c r="B110" s="19">
        <v>33500</v>
      </c>
      <c r="C110" s="19">
        <v>2.32830165337218E-2</v>
      </c>
    </row>
    <row r="111" spans="1:3" x14ac:dyDescent="0.3">
      <c r="A111" s="3" t="s">
        <v>4</v>
      </c>
      <c r="B111" s="19">
        <v>0</v>
      </c>
      <c r="C111" s="19">
        <v>0</v>
      </c>
    </row>
    <row r="112" spans="1:3" x14ac:dyDescent="0.3">
      <c r="A112" s="3" t="s">
        <v>5</v>
      </c>
      <c r="B112" s="19">
        <v>82</v>
      </c>
      <c r="C112" s="19">
        <v>5.6991264351199632E-5</v>
      </c>
    </row>
    <row r="113" spans="1:3" x14ac:dyDescent="0.3">
      <c r="A113" s="3" t="s">
        <v>6</v>
      </c>
      <c r="B113" s="19">
        <v>0</v>
      </c>
      <c r="C113" s="19">
        <v>0</v>
      </c>
    </row>
    <row r="114" spans="1:3" x14ac:dyDescent="0.3">
      <c r="A114" s="3" t="s">
        <v>8</v>
      </c>
      <c r="B114" s="19">
        <v>973</v>
      </c>
      <c r="C114" s="19">
        <v>6.7625000260630784E-4</v>
      </c>
    </row>
    <row r="115" spans="1:3" x14ac:dyDescent="0.3">
      <c r="A115" s="3" t="s">
        <v>9</v>
      </c>
      <c r="B115" s="19">
        <v>3666</v>
      </c>
      <c r="C115" s="19">
        <v>2.5479265257499738E-3</v>
      </c>
    </row>
    <row r="116" spans="1:3" x14ac:dyDescent="0.3">
      <c r="A116" s="2" t="s">
        <v>37</v>
      </c>
      <c r="B116" s="19">
        <v>0</v>
      </c>
      <c r="C116" s="19">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B8639-48D8-4DD6-A652-D243E2D5124C}">
  <dimension ref="A6:G7"/>
  <sheetViews>
    <sheetView zoomScaleNormal="100" workbookViewId="0">
      <selection activeCell="A7" sqref="A7"/>
    </sheetView>
  </sheetViews>
  <sheetFormatPr defaultRowHeight="14.4" x14ac:dyDescent="0.3"/>
  <cols>
    <col min="1" max="1" width="15.109375" bestFit="1" customWidth="1"/>
    <col min="2" max="2" width="11.5546875" bestFit="1" customWidth="1"/>
    <col min="3" max="3" width="11.109375" bestFit="1" customWidth="1"/>
    <col min="4" max="5" width="12.88671875" bestFit="1" customWidth="1"/>
    <col min="6" max="6" width="14" customWidth="1"/>
    <col min="7" max="7" width="15" bestFit="1" customWidth="1"/>
  </cols>
  <sheetData>
    <row r="6" spans="1:7" x14ac:dyDescent="0.3">
      <c r="A6" t="s">
        <v>64</v>
      </c>
      <c r="B6" t="s">
        <v>63</v>
      </c>
      <c r="C6" t="s">
        <v>65</v>
      </c>
      <c r="D6" t="s">
        <v>66</v>
      </c>
      <c r="E6" t="s">
        <v>67</v>
      </c>
      <c r="F6" t="s">
        <v>68</v>
      </c>
      <c r="G6" t="s">
        <v>69</v>
      </c>
    </row>
    <row r="7" spans="1:7" x14ac:dyDescent="0.3">
      <c r="A7" s="19">
        <v>22</v>
      </c>
      <c r="B7" s="19">
        <v>1336</v>
      </c>
      <c r="C7" s="19">
        <v>4067.5</v>
      </c>
      <c r="D7" s="19">
        <v>3</v>
      </c>
      <c r="E7" s="19">
        <v>6</v>
      </c>
      <c r="F7" s="19">
        <v>27</v>
      </c>
      <c r="G7" s="19">
        <v>48</v>
      </c>
    </row>
  </sheetData>
  <pageMargins left="0.7" right="0.7" top="0.75" bottom="0.75" header="0.3" footer="0.3"/>
  <pageSetup orientation="portrait" r:id="rId2"/>
  <headerFooter>
    <oddHeader>&amp;CBase Flag Profiling - CBSE Class 12 2022</oddHeader>
  </headerFooter>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47DEB-B6BA-4CFD-B918-8D3548B37350}">
  <dimension ref="A7:M11"/>
  <sheetViews>
    <sheetView zoomScale="90" workbookViewId="0">
      <selection activeCell="C8" sqref="C8"/>
    </sheetView>
  </sheetViews>
  <sheetFormatPr defaultRowHeight="14.4" x14ac:dyDescent="0.3"/>
  <cols>
    <col min="1" max="1" width="15.77734375" bestFit="1" customWidth="1"/>
    <col min="2" max="2" width="16.44140625" bestFit="1" customWidth="1"/>
    <col min="3" max="3" width="13.33203125" bestFit="1" customWidth="1"/>
    <col min="4" max="7" width="14.109375" bestFit="1" customWidth="1"/>
    <col min="8" max="8" width="15.77734375" bestFit="1" customWidth="1"/>
    <col min="9" max="9" width="19.33203125" bestFit="1" customWidth="1"/>
    <col min="10" max="10" width="13.109375" bestFit="1" customWidth="1"/>
    <col min="11" max="12" width="15.88671875" bestFit="1" customWidth="1"/>
    <col min="13" max="13" width="14.109375" bestFit="1" customWidth="1"/>
  </cols>
  <sheetData>
    <row r="7" spans="1:13" x14ac:dyDescent="0.3">
      <c r="A7" t="s">
        <v>72</v>
      </c>
      <c r="B7" t="s">
        <v>73</v>
      </c>
      <c r="C7" t="s">
        <v>74</v>
      </c>
      <c r="D7" t="s">
        <v>75</v>
      </c>
      <c r="E7" t="s">
        <v>76</v>
      </c>
      <c r="F7" t="s">
        <v>77</v>
      </c>
      <c r="G7" t="s">
        <v>78</v>
      </c>
      <c r="H7" t="s">
        <v>80</v>
      </c>
      <c r="I7" t="s">
        <v>81</v>
      </c>
      <c r="J7" t="s">
        <v>84</v>
      </c>
      <c r="K7" t="s">
        <v>79</v>
      </c>
      <c r="L7" t="s">
        <v>82</v>
      </c>
      <c r="M7" t="s">
        <v>83</v>
      </c>
    </row>
    <row r="8" spans="1:13" x14ac:dyDescent="0.3">
      <c r="A8" s="19">
        <v>0.95209580838323349</v>
      </c>
      <c r="B8" s="19">
        <v>0.99342498505678423</v>
      </c>
      <c r="C8" s="19">
        <v>0.99700623733004901</v>
      </c>
      <c r="D8" s="19">
        <v>0</v>
      </c>
      <c r="E8" s="19">
        <v>0</v>
      </c>
      <c r="F8" s="19">
        <v>3</v>
      </c>
      <c r="G8" s="19">
        <v>6</v>
      </c>
      <c r="H8" s="19">
        <v>9</v>
      </c>
      <c r="I8" s="19">
        <v>9</v>
      </c>
      <c r="J8" s="19">
        <v>12</v>
      </c>
      <c r="K8" s="19">
        <v>21</v>
      </c>
      <c r="L8" s="19">
        <v>27</v>
      </c>
      <c r="M8" s="19">
        <v>33</v>
      </c>
    </row>
    <row r="10" spans="1:13" x14ac:dyDescent="0.3">
      <c r="H10" t="s">
        <v>85</v>
      </c>
      <c r="I10" t="s">
        <v>86</v>
      </c>
      <c r="J10" t="s">
        <v>87</v>
      </c>
    </row>
    <row r="11" spans="1:13" x14ac:dyDescent="0.3">
      <c r="H11" s="19">
        <v>66</v>
      </c>
      <c r="I11" s="19">
        <v>222</v>
      </c>
      <c r="J11" s="19">
        <v>288</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B7921-FF2E-4EC2-8014-E0BCA98005AF}">
  <dimension ref="A1:E10"/>
  <sheetViews>
    <sheetView topLeftCell="A2" zoomScale="77" workbookViewId="0">
      <selection activeCell="A8" sqref="A8"/>
    </sheetView>
  </sheetViews>
  <sheetFormatPr defaultRowHeight="14.4" x14ac:dyDescent="0.3"/>
  <cols>
    <col min="1" max="1" width="13.109375" bestFit="1" customWidth="1"/>
    <col min="2" max="2" width="26.21875" bestFit="1" customWidth="1"/>
    <col min="3" max="3" width="19.109375" bestFit="1" customWidth="1"/>
    <col min="4" max="4" width="18.88671875" bestFit="1" customWidth="1"/>
    <col min="5" max="5" width="25.21875" bestFit="1" customWidth="1"/>
  </cols>
  <sheetData>
    <row r="1" spans="1:5" x14ac:dyDescent="0.3">
      <c r="A1" s="6" t="s">
        <v>43</v>
      </c>
    </row>
    <row r="3" spans="1:5" x14ac:dyDescent="0.3">
      <c r="A3" s="1" t="s">
        <v>36</v>
      </c>
      <c r="B3" t="s">
        <v>44</v>
      </c>
      <c r="C3" t="s">
        <v>45</v>
      </c>
      <c r="D3" t="s">
        <v>46</v>
      </c>
      <c r="E3" s="5" t="s">
        <v>47</v>
      </c>
    </row>
    <row r="4" spans="1:5" x14ac:dyDescent="0.3">
      <c r="A4" s="2" t="s">
        <v>4</v>
      </c>
      <c r="B4" s="7">
        <v>8.0140564981311131E-3</v>
      </c>
      <c r="C4" s="7">
        <v>1</v>
      </c>
      <c r="D4" s="7">
        <v>0.98058252427184467</v>
      </c>
      <c r="E4" s="7" cm="1">
        <f t="array" ref="E4:E10">C4:C10-D4:D10</f>
        <v>1.9417475728155331E-2</v>
      </c>
    </row>
    <row r="5" spans="1:5" x14ac:dyDescent="0.3">
      <c r="A5" s="2" t="s">
        <v>5</v>
      </c>
      <c r="B5" s="7">
        <v>1.2089637108015959E-2</v>
      </c>
      <c r="C5" s="7">
        <v>1</v>
      </c>
      <c r="D5" s="7">
        <v>0.95209580838323349</v>
      </c>
      <c r="E5" s="7">
        <v>4.7904191616766512E-2</v>
      </c>
    </row>
    <row r="6" spans="1:5" x14ac:dyDescent="0.3">
      <c r="A6" s="2" t="s">
        <v>6</v>
      </c>
      <c r="B6" s="7">
        <v>3.7526405686020619E-3</v>
      </c>
      <c r="C6" s="7">
        <v>1</v>
      </c>
      <c r="D6" s="7">
        <v>0.99019607843137258</v>
      </c>
      <c r="E6" s="7">
        <v>9.8039215686274161E-3</v>
      </c>
    </row>
    <row r="7" spans="1:5" x14ac:dyDescent="0.3">
      <c r="A7" s="2" t="s">
        <v>7</v>
      </c>
      <c r="B7" s="7">
        <v>2.9169464951935668E-3</v>
      </c>
      <c r="C7" s="7">
        <v>0.99886567164179108</v>
      </c>
      <c r="D7" s="7">
        <v>0.98887109140735907</v>
      </c>
      <c r="E7" s="7">
        <v>9.9945802344320045E-3</v>
      </c>
    </row>
    <row r="8" spans="1:5" x14ac:dyDescent="0.3">
      <c r="A8" s="2" t="s">
        <v>8</v>
      </c>
      <c r="B8" s="7">
        <v>3.9583342764695738E-3</v>
      </c>
      <c r="C8" s="7">
        <v>1</v>
      </c>
      <c r="D8" s="7">
        <v>0.9878747795414462</v>
      </c>
      <c r="E8" s="7">
        <v>1.2125220458553798E-2</v>
      </c>
    </row>
    <row r="9" spans="1:5" x14ac:dyDescent="0.3">
      <c r="A9" s="2" t="s">
        <v>9</v>
      </c>
      <c r="B9" s="7">
        <v>9.2514702364829347E-4</v>
      </c>
      <c r="C9" s="7">
        <v>1</v>
      </c>
      <c r="D9" s="7">
        <v>0.99604677977268985</v>
      </c>
      <c r="E9" s="7">
        <v>3.9532202273101502E-3</v>
      </c>
    </row>
    <row r="10" spans="1:5" x14ac:dyDescent="0.3">
      <c r="A10" s="2" t="s">
        <v>37</v>
      </c>
      <c r="B10" s="7">
        <v>6.732933429234012E-3</v>
      </c>
      <c r="C10" s="7">
        <v>1</v>
      </c>
      <c r="D10" s="7">
        <v>0.95209580838323349</v>
      </c>
      <c r="E10" s="8">
        <v>4.7904191616766512E-2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4A53C-C901-4DA9-9ACE-3DA8EC1CC0B6}">
  <dimension ref="A1:Z5"/>
  <sheetViews>
    <sheetView showGridLines="0" view="pageBreakPreview" zoomScale="47" zoomScaleNormal="42" zoomScaleSheetLayoutView="56" zoomScalePageLayoutView="51" workbookViewId="0">
      <selection sqref="A1:T5"/>
    </sheetView>
  </sheetViews>
  <sheetFormatPr defaultRowHeight="14.4" x14ac:dyDescent="0.3"/>
  <sheetData>
    <row r="1" spans="1:26" ht="14.4" customHeight="1" x14ac:dyDescent="0.9">
      <c r="A1" s="17" t="s">
        <v>59</v>
      </c>
      <c r="B1" s="18"/>
      <c r="C1" s="18"/>
      <c r="D1" s="18"/>
      <c r="E1" s="18"/>
      <c r="F1" s="18"/>
      <c r="G1" s="18"/>
      <c r="H1" s="18"/>
      <c r="I1" s="18"/>
      <c r="J1" s="18"/>
      <c r="K1" s="18"/>
      <c r="L1" s="18"/>
      <c r="M1" s="18"/>
      <c r="N1" s="18"/>
      <c r="O1" s="18"/>
      <c r="P1" s="18"/>
      <c r="Q1" s="18"/>
      <c r="R1" s="18"/>
      <c r="S1" s="18"/>
      <c r="T1" s="18"/>
      <c r="U1" s="13"/>
      <c r="V1" s="13"/>
      <c r="W1" s="13"/>
      <c r="X1" s="13"/>
      <c r="Y1" s="13"/>
      <c r="Z1" s="13"/>
    </row>
    <row r="2" spans="1:26" ht="14.4" customHeight="1" x14ac:dyDescent="0.9">
      <c r="A2" s="18"/>
      <c r="B2" s="18"/>
      <c r="C2" s="18"/>
      <c r="D2" s="18"/>
      <c r="E2" s="18"/>
      <c r="F2" s="18"/>
      <c r="G2" s="18"/>
      <c r="H2" s="18"/>
      <c r="I2" s="18"/>
      <c r="J2" s="18"/>
      <c r="K2" s="18"/>
      <c r="L2" s="18"/>
      <c r="M2" s="18"/>
      <c r="N2" s="18"/>
      <c r="O2" s="18"/>
      <c r="P2" s="18"/>
      <c r="Q2" s="18"/>
      <c r="R2" s="18"/>
      <c r="S2" s="18"/>
      <c r="T2" s="18"/>
      <c r="U2" s="13"/>
      <c r="V2" s="13"/>
      <c r="W2" s="13"/>
      <c r="X2" s="13"/>
      <c r="Y2" s="13"/>
      <c r="Z2" s="13"/>
    </row>
    <row r="3" spans="1:26" ht="14.4" customHeight="1" x14ac:dyDescent="0.9">
      <c r="A3" s="18"/>
      <c r="B3" s="18"/>
      <c r="C3" s="18"/>
      <c r="D3" s="18"/>
      <c r="E3" s="18"/>
      <c r="F3" s="18"/>
      <c r="G3" s="18"/>
      <c r="H3" s="18"/>
      <c r="I3" s="18"/>
      <c r="J3" s="18"/>
      <c r="K3" s="18"/>
      <c r="L3" s="18"/>
      <c r="M3" s="18"/>
      <c r="N3" s="18"/>
      <c r="O3" s="18"/>
      <c r="P3" s="18"/>
      <c r="Q3" s="18"/>
      <c r="R3" s="18"/>
      <c r="S3" s="18"/>
      <c r="T3" s="18"/>
      <c r="U3" s="13"/>
      <c r="V3" s="13"/>
      <c r="W3" s="13"/>
      <c r="X3" s="13"/>
      <c r="Y3" s="13"/>
      <c r="Z3" s="13"/>
    </row>
    <row r="4" spans="1:26" ht="14.4" customHeight="1" x14ac:dyDescent="0.9">
      <c r="A4" s="18"/>
      <c r="B4" s="18"/>
      <c r="C4" s="18"/>
      <c r="D4" s="18"/>
      <c r="E4" s="18"/>
      <c r="F4" s="18"/>
      <c r="G4" s="18"/>
      <c r="H4" s="18"/>
      <c r="I4" s="18"/>
      <c r="J4" s="18"/>
      <c r="K4" s="18"/>
      <c r="L4" s="18"/>
      <c r="M4" s="18"/>
      <c r="N4" s="18"/>
      <c r="O4" s="18"/>
      <c r="P4" s="18"/>
      <c r="Q4" s="18"/>
      <c r="R4" s="18"/>
      <c r="S4" s="18"/>
      <c r="T4" s="18"/>
      <c r="U4" s="13"/>
      <c r="V4" s="13"/>
      <c r="W4" s="13"/>
      <c r="X4" s="13"/>
      <c r="Y4" s="13"/>
      <c r="Z4" s="13"/>
    </row>
    <row r="5" spans="1:26" ht="14.4" customHeight="1" x14ac:dyDescent="0.9">
      <c r="A5" s="18"/>
      <c r="B5" s="18"/>
      <c r="C5" s="18"/>
      <c r="D5" s="18"/>
      <c r="E5" s="18"/>
      <c r="F5" s="18"/>
      <c r="G5" s="18"/>
      <c r="H5" s="18"/>
      <c r="I5" s="18"/>
      <c r="J5" s="18"/>
      <c r="K5" s="18"/>
      <c r="L5" s="18"/>
      <c r="M5" s="18"/>
      <c r="N5" s="18"/>
      <c r="O5" s="18"/>
      <c r="P5" s="18"/>
      <c r="Q5" s="18"/>
      <c r="R5" s="18"/>
      <c r="S5" s="18"/>
      <c r="T5" s="18"/>
      <c r="U5" s="13"/>
      <c r="V5" s="13"/>
      <c r="W5" s="13"/>
      <c r="X5" s="13"/>
      <c r="Y5" s="13"/>
      <c r="Z5" s="13"/>
    </row>
  </sheetData>
  <mergeCells count="1">
    <mergeCell ref="A1:T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Props1.xml><?xml version="1.0" encoding="utf-8"?>
<ds:datastoreItem xmlns:ds="http://schemas.openxmlformats.org/officeDocument/2006/customXml" ds:itemID="{D908E097-AE88-4A3C-9687-BC7920A54A41}">
  <ds:schemaRefs/>
</ds:datastoreItem>
</file>

<file path=customXml/itemProps2.xml><?xml version="1.0" encoding="utf-8"?>
<ds:datastoreItem xmlns:ds="http://schemas.openxmlformats.org/officeDocument/2006/customXml" ds:itemID="{89A370B6-1DED-4371-8667-FFED375025E7}">
  <ds:schemaRefs/>
</ds:datastoreItem>
</file>

<file path=customXml/itemProps3.xml><?xml version="1.0" encoding="utf-8"?>
<ds:datastoreItem xmlns:ds="http://schemas.openxmlformats.org/officeDocument/2006/customXml" ds:itemID="{11C908BF-0CB8-480F-A22A-99E22713BC6C}">
  <ds:schemaRefs/>
</ds:datastoreItem>
</file>

<file path=customXml/itemProps4.xml><?xml version="1.0" encoding="utf-8"?>
<ds:datastoreItem xmlns:ds="http://schemas.openxmlformats.org/officeDocument/2006/customXml" ds:itemID="{D84EFEED-8DDD-4554-B73B-29FD750DB306}">
  <ds:schemaRefs/>
</ds:datastoreItem>
</file>

<file path=customXml/itemProps5.xml><?xml version="1.0" encoding="utf-8"?>
<ds:datastoreItem xmlns:ds="http://schemas.openxmlformats.org/officeDocument/2006/customXml" ds:itemID="{514613B9-11F9-4451-AC09-4C816A20C006}">
  <ds:schemaRefs/>
</ds:datastoreItem>
</file>

<file path=customXml/itemProps6.xml><?xml version="1.0" encoding="utf-8"?>
<ds:datastoreItem xmlns:ds="http://schemas.openxmlformats.org/officeDocument/2006/customXml" ds:itemID="{BB55F933-B90F-4BF4-A40D-E4A43958B53C}">
  <ds:schemaRefs/>
</ds:datastoreItem>
</file>

<file path=customXml/itemProps7.xml><?xml version="1.0" encoding="utf-8"?>
<ds:datastoreItem xmlns:ds="http://schemas.openxmlformats.org/officeDocument/2006/customXml" ds:itemID="{B41235AC-7B91-43E6-B79B-611D7178DC23}">
  <ds:schemaRefs/>
</ds:datastoreItem>
</file>

<file path=customXml/itemProps8.xml><?xml version="1.0" encoding="utf-8"?>
<ds:datastoreItem xmlns:ds="http://schemas.openxmlformats.org/officeDocument/2006/customXml" ds:itemID="{AA304B64-A7C7-4DF5-A8D2-E7DE99C3121E}">
  <ds:schemaRefs/>
</ds:datastoreItem>
</file>

<file path=customXml/itemProps9.xml><?xml version="1.0" encoding="utf-8"?>
<ds:datastoreItem xmlns:ds="http://schemas.openxmlformats.org/officeDocument/2006/customXml" ds:itemID="{226DDBBE-996F-4D30-A9D0-64B628E75B38}">
  <ds:schemaRefs/>
</ds:datastoreItem>
</file>

<file path=customXml/itemProps10.xml><?xml version="1.0" encoding="utf-8"?>
<ds:datastoreItem xmlns:ds="http://schemas.openxmlformats.org/officeDocument/2006/customXml" ds:itemID="{9BFD6049-A7F9-4787-9833-EE6BE1CDA973}">
  <ds:schemaRefs/>
</ds:datastoreItem>
</file>

<file path=customXml/itemProps11.xml><?xml version="1.0" encoding="utf-8"?>
<ds:datastoreItem xmlns:ds="http://schemas.openxmlformats.org/officeDocument/2006/customXml" ds:itemID="{35DFA778-A493-449B-9769-6E5422E964AD}">
  <ds:schemaRefs/>
</ds:datastoreItem>
</file>

<file path=customXml/itemProps12.xml><?xml version="1.0" encoding="utf-8"?>
<ds:datastoreItem xmlns:ds="http://schemas.openxmlformats.org/officeDocument/2006/customXml" ds:itemID="{BC4AF2D8-8C35-46BF-A01F-DAA646168227}">
  <ds:schemaRefs/>
</ds:datastoreItem>
</file>

<file path=customXml/itemProps13.xml><?xml version="1.0" encoding="utf-8"?>
<ds:datastoreItem xmlns:ds="http://schemas.openxmlformats.org/officeDocument/2006/customXml" ds:itemID="{F72B7BCF-EF39-43DA-8860-5E2FF10DF530}">
  <ds:schemaRefs/>
</ds:datastoreItem>
</file>

<file path=customXml/itemProps14.xml><?xml version="1.0" encoding="utf-8"?>
<ds:datastoreItem xmlns:ds="http://schemas.openxmlformats.org/officeDocument/2006/customXml" ds:itemID="{F25DB79D-B016-4CB7-BC4A-6B3443BCCC36}">
  <ds:schemaRefs/>
</ds:datastoreItem>
</file>

<file path=customXml/itemProps15.xml><?xml version="1.0" encoding="utf-8"?>
<ds:datastoreItem xmlns:ds="http://schemas.openxmlformats.org/officeDocument/2006/customXml" ds:itemID="{DED8E8FE-92CF-4216-847C-6CD3AB6A3C5C}">
  <ds:schemaRefs/>
</ds:datastoreItem>
</file>

<file path=customXml/itemProps16.xml><?xml version="1.0" encoding="utf-8"?>
<ds:datastoreItem xmlns:ds="http://schemas.openxmlformats.org/officeDocument/2006/customXml" ds:itemID="{778D6B0A-4194-478A-BB49-5191BC3DA1F3}">
  <ds:schemaRefs/>
</ds:datastoreItem>
</file>

<file path=customXml/itemProps17.xml><?xml version="1.0" encoding="utf-8"?>
<ds:datastoreItem xmlns:ds="http://schemas.openxmlformats.org/officeDocument/2006/customXml" ds:itemID="{B81D9DB1-4D4D-47EA-A796-867A97BD76A2}">
  <ds:schemaRefs/>
</ds:datastoreItem>
</file>

<file path=customXml/itemProps18.xml><?xml version="1.0" encoding="utf-8"?>
<ds:datastoreItem xmlns:ds="http://schemas.openxmlformats.org/officeDocument/2006/customXml" ds:itemID="{D0CAC8AB-0F47-42FA-9AF0-7EA431D39C80}">
  <ds:schemaRefs/>
</ds:datastoreItem>
</file>

<file path=customXml/itemProps19.xml><?xml version="1.0" encoding="utf-8"?>
<ds:datastoreItem xmlns:ds="http://schemas.openxmlformats.org/officeDocument/2006/customXml" ds:itemID="{CF13E07E-49BB-4BED-A89C-EF068C509A8D}">
  <ds:schemaRefs/>
</ds:datastoreItem>
</file>

<file path=customXml/itemProps20.xml><?xml version="1.0" encoding="utf-8"?>
<ds:datastoreItem xmlns:ds="http://schemas.openxmlformats.org/officeDocument/2006/customXml" ds:itemID="{7F65BF0C-2B38-45DD-865A-6B924C127090}">
  <ds:schemaRefs/>
</ds:datastoreItem>
</file>

<file path=customXml/itemProps21.xml><?xml version="1.0" encoding="utf-8"?>
<ds:datastoreItem xmlns:ds="http://schemas.openxmlformats.org/officeDocument/2006/customXml" ds:itemID="{4D5D5E7A-70D8-4D5E-81C8-B8C532CFF069}">
  <ds:schemaRefs/>
</ds:datastoreItem>
</file>

<file path=customXml/itemProps22.xml><?xml version="1.0" encoding="utf-8"?>
<ds:datastoreItem xmlns:ds="http://schemas.openxmlformats.org/officeDocument/2006/customXml" ds:itemID="{2C10166F-A6B8-4C27-911B-4520396E0BD3}">
  <ds:schemaRefs/>
</ds:datastoreItem>
</file>

<file path=customXml/itemProps23.xml><?xml version="1.0" encoding="utf-8"?>
<ds:datastoreItem xmlns:ds="http://schemas.openxmlformats.org/officeDocument/2006/customXml" ds:itemID="{D8AA2826-A982-4A16-A6A3-F7DD074BBD04}">
  <ds:schemaRefs/>
</ds:datastoreItem>
</file>

<file path=customXml/itemProps24.xml><?xml version="1.0" encoding="utf-8"?>
<ds:datastoreItem xmlns:ds="http://schemas.openxmlformats.org/officeDocument/2006/customXml" ds:itemID="{4CD72021-4F7A-4D54-859A-40DC5420DAC9}">
  <ds:schemaRefs>
    <ds:schemaRef ds:uri="http://schemas.microsoft.com/DataMashup"/>
  </ds:schemaRefs>
</ds:datastoreItem>
</file>

<file path=customXml/itemProps25.xml><?xml version="1.0" encoding="utf-8"?>
<ds:datastoreItem xmlns:ds="http://schemas.openxmlformats.org/officeDocument/2006/customXml" ds:itemID="{6497114C-841B-4C27-9E57-5DA07314B422}">
  <ds:schemaRefs/>
</ds:datastoreItem>
</file>

<file path=customXml/itemProps26.xml><?xml version="1.0" encoding="utf-8"?>
<ds:datastoreItem xmlns:ds="http://schemas.openxmlformats.org/officeDocument/2006/customXml" ds:itemID="{9D59DFB3-8610-4FD0-B174-5B9299BA9F14}">
  <ds:schemaRefs/>
</ds:datastoreItem>
</file>

<file path=customXml/itemProps27.xml><?xml version="1.0" encoding="utf-8"?>
<ds:datastoreItem xmlns:ds="http://schemas.openxmlformats.org/officeDocument/2006/customXml" ds:itemID="{915D5772-81E6-4894-9BAC-7F2C73A145FB}">
  <ds:schemaRefs/>
</ds:datastoreItem>
</file>

<file path=customXml/itemProps28.xml><?xml version="1.0" encoding="utf-8"?>
<ds:datastoreItem xmlns:ds="http://schemas.openxmlformats.org/officeDocument/2006/customXml" ds:itemID="{40D86F9D-F71A-41A9-9297-7B81E11BDBF4}">
  <ds:schemaRefs/>
</ds:datastoreItem>
</file>

<file path=customXml/itemProps29.xml><?xml version="1.0" encoding="utf-8"?>
<ds:datastoreItem xmlns:ds="http://schemas.openxmlformats.org/officeDocument/2006/customXml" ds:itemID="{4F2EFE1D-6FC0-40CC-A9F7-F15DC9D19830}">
  <ds:schemaRefs/>
</ds:datastoreItem>
</file>

<file path=customXml/itemProps30.xml><?xml version="1.0" encoding="utf-8"?>
<ds:datastoreItem xmlns:ds="http://schemas.openxmlformats.org/officeDocument/2006/customXml" ds:itemID="{0E2654DF-D4BD-46F7-AC5E-ABDB5B6561EC}">
  <ds:schemaRefs/>
</ds:datastoreItem>
</file>

<file path=customXml/itemProps31.xml><?xml version="1.0" encoding="utf-8"?>
<ds:datastoreItem xmlns:ds="http://schemas.openxmlformats.org/officeDocument/2006/customXml" ds:itemID="{DCB3F028-B601-486F-A597-CDF65A12606B}">
  <ds:schemaRefs/>
</ds:datastoreItem>
</file>

<file path=customXml/itemProps32.xml><?xml version="1.0" encoding="utf-8"?>
<ds:datastoreItem xmlns:ds="http://schemas.openxmlformats.org/officeDocument/2006/customXml" ds:itemID="{77F43420-B527-44DA-8727-F7184D5F3816}">
  <ds:schemaRefs/>
</ds:datastoreItem>
</file>

<file path=customXml/itemProps33.xml><?xml version="1.0" encoding="utf-8"?>
<ds:datastoreItem xmlns:ds="http://schemas.openxmlformats.org/officeDocument/2006/customXml" ds:itemID="{0FF3CB55-2301-4BF7-922C-D1C56626C117}">
  <ds:schemaRefs/>
</ds:datastoreItem>
</file>

<file path=customXml/itemProps34.xml><?xml version="1.0" encoding="utf-8"?>
<ds:datastoreItem xmlns:ds="http://schemas.openxmlformats.org/officeDocument/2006/customXml" ds:itemID="{3589DC03-8D00-4998-A8A0-8A80DD260D4F}">
  <ds:schemaRefs/>
</ds:datastoreItem>
</file>

<file path=customXml/itemProps35.xml><?xml version="1.0" encoding="utf-8"?>
<ds:datastoreItem xmlns:ds="http://schemas.openxmlformats.org/officeDocument/2006/customXml" ds:itemID="{3C693487-6C86-4ADD-8D27-C79C5A282A3F}">
  <ds:schemaRefs/>
</ds:datastoreItem>
</file>

<file path=customXml/itemProps36.xml><?xml version="1.0" encoding="utf-8"?>
<ds:datastoreItem xmlns:ds="http://schemas.openxmlformats.org/officeDocument/2006/customXml" ds:itemID="{E22389A7-797D-4545-A17A-A1CA0B11D272}">
  <ds:schemaRefs/>
</ds:datastoreItem>
</file>

<file path=customXml/itemProps37.xml><?xml version="1.0" encoding="utf-8"?>
<ds:datastoreItem xmlns:ds="http://schemas.openxmlformats.org/officeDocument/2006/customXml" ds:itemID="{386F911E-E0DF-44F6-AF50-E264AF13712D}">
  <ds:schemaRefs/>
</ds:datastoreItem>
</file>

<file path=customXml/itemProps38.xml><?xml version="1.0" encoding="utf-8"?>
<ds:datastoreItem xmlns:ds="http://schemas.openxmlformats.org/officeDocument/2006/customXml" ds:itemID="{A84A2D99-444E-4661-84E6-934C0973305D}">
  <ds:schemaRefs/>
</ds:datastoreItem>
</file>

<file path=customXml/itemProps39.xml><?xml version="1.0" encoding="utf-8"?>
<ds:datastoreItem xmlns:ds="http://schemas.openxmlformats.org/officeDocument/2006/customXml" ds:itemID="{117B0430-AF33-4D4B-BFDD-8C5C6CE64EA1}">
  <ds:schemaRefs/>
</ds:datastoreItem>
</file>

<file path=customXml/itemProps40.xml><?xml version="1.0" encoding="utf-8"?>
<ds:datastoreItem xmlns:ds="http://schemas.openxmlformats.org/officeDocument/2006/customXml" ds:itemID="{1D1937DF-3A2F-4803-B342-949E07D01F63}">
  <ds:schemaRefs/>
</ds:datastoreItem>
</file>

<file path=customXml/itemProps41.xml><?xml version="1.0" encoding="utf-8"?>
<ds:datastoreItem xmlns:ds="http://schemas.openxmlformats.org/officeDocument/2006/customXml" ds:itemID="{174E8C3B-97B2-414C-949F-2255CA76A253}">
  <ds:schemaRefs/>
</ds:datastoreItem>
</file>

<file path=customXml/itemProps42.xml><?xml version="1.0" encoding="utf-8"?>
<ds:datastoreItem xmlns:ds="http://schemas.openxmlformats.org/officeDocument/2006/customXml" ds:itemID="{8752CBA7-F6A5-4215-BE35-110081D124AF}">
  <ds:schemaRefs/>
</ds:datastoreItem>
</file>

<file path=customXml/itemProps43.xml><?xml version="1.0" encoding="utf-8"?>
<ds:datastoreItem xmlns:ds="http://schemas.openxmlformats.org/officeDocument/2006/customXml" ds:itemID="{D6819277-9AD8-4FE8-8D03-C2C1F339082E}">
  <ds:schemaRefs/>
</ds:datastoreItem>
</file>

<file path=customXml/itemProps44.xml><?xml version="1.0" encoding="utf-8"?>
<ds:datastoreItem xmlns:ds="http://schemas.openxmlformats.org/officeDocument/2006/customXml" ds:itemID="{E2386DC5-F2D1-4EDE-B557-0A8FAA23E0B8}">
  <ds:schemaRefs/>
</ds:datastoreItem>
</file>

<file path=customXml/itemProps45.xml><?xml version="1.0" encoding="utf-8"?>
<ds:datastoreItem xmlns:ds="http://schemas.openxmlformats.org/officeDocument/2006/customXml" ds:itemID="{581A5080-98D7-4E4D-AAB1-D303C38324D9}">
  <ds:schemaRefs/>
</ds:datastoreItem>
</file>

<file path=customXml/itemProps46.xml><?xml version="1.0" encoding="utf-8"?>
<ds:datastoreItem xmlns:ds="http://schemas.openxmlformats.org/officeDocument/2006/customXml" ds:itemID="{26DBD84C-1B9D-40F3-B2F4-6768A1B7CF56}">
  <ds:schemaRefs/>
</ds:datastoreItem>
</file>

<file path=customXml/itemProps47.xml><?xml version="1.0" encoding="utf-8"?>
<ds:datastoreItem xmlns:ds="http://schemas.openxmlformats.org/officeDocument/2006/customXml" ds:itemID="{94F7C87B-1818-4C31-B69C-CB7C71581D3B}">
  <ds:schemaRefs/>
</ds:datastoreItem>
</file>

<file path=customXml/itemProps48.xml><?xml version="1.0" encoding="utf-8"?>
<ds:datastoreItem xmlns:ds="http://schemas.openxmlformats.org/officeDocument/2006/customXml" ds:itemID="{5879E805-457D-4C7C-97BB-BF4C0B143E9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class12-2022 dataset</vt:lpstr>
      <vt:lpstr>class 12-2022 table</vt:lpstr>
      <vt:lpstr>class12-2022 result</vt:lpstr>
      <vt:lpstr>fact_table</vt:lpstr>
      <vt:lpstr>pivot_integrity_summary</vt:lpstr>
      <vt:lpstr>pivot_baseflag_summary</vt:lpstr>
      <vt:lpstr>pivot_anomaly_summary</vt:lpstr>
      <vt:lpstr>Charts_volatility</vt:lpstr>
      <vt:lpstr>minbase_pivot</vt:lpstr>
      <vt:lpstr>profiling_baseflag</vt:lpstr>
      <vt:lpstr>profiling_anomalyflag</vt:lpstr>
      <vt:lpstr>profiling_volatility_schooltype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Ritu Verma</cp:lastModifiedBy>
  <dcterms:created xsi:type="dcterms:W3CDTF">2025-11-20T13:00:21Z</dcterms:created>
  <dcterms:modified xsi:type="dcterms:W3CDTF">2025-12-06T12:12:52Z</dcterms:modified>
</cp:coreProperties>
</file>