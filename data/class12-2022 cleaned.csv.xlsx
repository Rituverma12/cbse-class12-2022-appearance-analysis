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tables/table3.xml" ContentType="application/vnd.openxmlformats-officedocument.spreadsheetml.table+xml"/>
  <Override PartName="/xl/tables/table4.xml" ContentType="application/vnd.openxmlformats-officedocument.spreadsheetml.table+xml"/>
  <Override PartName="/xl/queryTables/queryTable2.xml" ContentType="application/vnd.openxmlformats-officedocument.spreadsheetml.queryTable+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4.xml" ContentType="application/vnd.openxmlformats-officedocument.spreadsheetml.pivotTable+xml"/>
  <Override PartName="/xl/drawings/drawing5.xml" ContentType="application/vnd.openxmlformats-officedocument.drawing+xml"/>
  <Override PartName="/xl/slicers/slicer1.xml" ContentType="application/vnd.ms-excel.slicer+xml"/>
  <Override PartName="/xl/pivotTables/pivotTable5.xml" ContentType="application/vnd.openxmlformats-officedocument.spreadsheetml.pivotTable+xml"/>
  <Override PartName="/xl/drawings/drawing6.xml" ContentType="application/vnd.openxmlformats-officedocument.drawing+xml"/>
  <Override PartName="/xl/slicers/slicer2.xml" ContentType="application/vnd.ms-excel.slicer+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hidePivotFieldList="1" defaultThemeVersion="202300"/>
  <mc:AlternateContent xmlns:mc="http://schemas.openxmlformats.org/markup-compatibility/2006">
    <mc:Choice Requires="x15">
      <x15ac:absPath xmlns:x15ac="http://schemas.microsoft.com/office/spreadsheetml/2010/11/ac" url="C:\Users\ACER\cbse-class12-2022-appearance-analysis\data\"/>
    </mc:Choice>
  </mc:AlternateContent>
  <xr:revisionPtr revIDLastSave="0" documentId="13_ncr:1_{AE694C7B-B202-42E7-8994-B98AC876A1A1}" xr6:coauthVersionLast="47" xr6:coauthVersionMax="47" xr10:uidLastSave="{00000000-0000-0000-0000-000000000000}"/>
  <bookViews>
    <workbookView xWindow="11316" yWindow="0" windowWidth="11724" windowHeight="12336" tabRatio="1000" firstSheet="11" activeTab="13" xr2:uid="{352D25E5-EE06-4DDB-99E1-3948CD812789}"/>
  </bookViews>
  <sheets>
    <sheet name="class12-2022 dataset" sheetId="1" state="hidden" r:id="rId1"/>
    <sheet name="class 12-2022 table" sheetId="2" r:id="rId2"/>
    <sheet name="class12-2022 result" sheetId="3" state="hidden" r:id="rId3"/>
    <sheet name="integrity_longform" sheetId="18" r:id="rId4"/>
    <sheet name="fact_table" sheetId="4" r:id="rId5"/>
    <sheet name="pivot_integrity_summary" sheetId="19" r:id="rId6"/>
    <sheet name="pivot_baseflag_summary" sheetId="20" r:id="rId7"/>
    <sheet name="pivot_anomaly_summary" sheetId="21" r:id="rId8"/>
    <sheet name="Charts_volatility" sheetId="15" r:id="rId9"/>
    <sheet name="minbase_pivot" sheetId="10" r:id="rId10"/>
    <sheet name="profiling_baseflag" sheetId="11" r:id="rId11"/>
    <sheet name="profiling_anomalyflag" sheetId="12" r:id="rId12"/>
    <sheet name="profiling_volatility_schooltype" sheetId="13" r:id="rId13"/>
    <sheet name="Dashboard" sheetId="16" r:id="rId14"/>
  </sheets>
  <definedNames>
    <definedName name="ExternalData_1" localSheetId="2" hidden="1">'class12-2022 result'!$A$1:$I$97</definedName>
    <definedName name="ExternalData_1" localSheetId="4" hidden="1">fact_table!$A$1:$I$97</definedName>
    <definedName name="Slicer_Region">#N/A</definedName>
    <definedName name="Slicer_School_Type">#N/A</definedName>
    <definedName name="Slicer_School_Type1">#N/A</definedName>
  </definedNames>
  <calcPr calcId="191029"/>
  <pivotCaches>
    <pivotCache cacheId="27" r:id="rId15"/>
    <pivotCache cacheId="25" r:id="rId16"/>
  </pivotCaches>
  <extLst>
    <ext xmlns:x14="http://schemas.microsoft.com/office/spreadsheetml/2009/9/main" uri="{BBE1A952-AA13-448e-AADC-164F8A28A991}">
      <x14:slicerCaches>
        <x14:slicerCache r:id="rId17"/>
        <x14:slicerCache r:id="rId18"/>
        <x14:slicerCache r:id="rId19"/>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15" i="4" l="1"/>
  <c r="P2" i="4"/>
  <c r="P3" i="4"/>
  <c r="P4" i="4"/>
  <c r="P5" i="4"/>
  <c r="P6" i="4"/>
  <c r="P7" i="4"/>
  <c r="P8" i="4"/>
  <c r="P9" i="4"/>
  <c r="P10" i="4"/>
  <c r="P11" i="4"/>
  <c r="P12" i="4"/>
  <c r="P13" i="4"/>
  <c r="P14" i="4"/>
  <c r="P15" i="4"/>
  <c r="P16" i="4"/>
  <c r="P17" i="4"/>
  <c r="P18" i="4"/>
  <c r="P19" i="4"/>
  <c r="P20" i="4"/>
  <c r="P21" i="4"/>
  <c r="P22" i="4"/>
  <c r="P23" i="4"/>
  <c r="P24" i="4"/>
  <c r="P25" i="4"/>
  <c r="P26" i="4"/>
  <c r="P27" i="4"/>
  <c r="P28" i="4"/>
  <c r="P29" i="4"/>
  <c r="P30" i="4"/>
  <c r="P31" i="4"/>
  <c r="P32" i="4"/>
  <c r="P33" i="4"/>
  <c r="P34" i="4"/>
  <c r="P35" i="4"/>
  <c r="P36" i="4"/>
  <c r="P37" i="4"/>
  <c r="P38" i="4"/>
  <c r="P39" i="4"/>
  <c r="P40" i="4"/>
  <c r="P41" i="4"/>
  <c r="P42" i="4"/>
  <c r="P43" i="4"/>
  <c r="P44" i="4"/>
  <c r="P45" i="4"/>
  <c r="P46" i="4"/>
  <c r="P47" i="4"/>
  <c r="P48" i="4"/>
  <c r="P49" i="4"/>
  <c r="P50" i="4"/>
  <c r="P51" i="4"/>
  <c r="P52" i="4"/>
  <c r="P53" i="4"/>
  <c r="P54" i="4"/>
  <c r="P55" i="4"/>
  <c r="P56" i="4"/>
  <c r="P57" i="4"/>
  <c r="P58" i="4"/>
  <c r="P59" i="4"/>
  <c r="P60" i="4"/>
  <c r="P61" i="4"/>
  <c r="P62" i="4"/>
  <c r="P63" i="4"/>
  <c r="P64" i="4"/>
  <c r="P65" i="4"/>
  <c r="P66" i="4"/>
  <c r="P67" i="4"/>
  <c r="P68" i="4"/>
  <c r="P69" i="4"/>
  <c r="P70" i="4"/>
  <c r="P71" i="4"/>
  <c r="P72" i="4"/>
  <c r="P73" i="4"/>
  <c r="P74" i="4"/>
  <c r="P75" i="4"/>
  <c r="P76" i="4"/>
  <c r="P77" i="4"/>
  <c r="P78" i="4"/>
  <c r="P79" i="4"/>
  <c r="P80" i="4"/>
  <c r="P81" i="4"/>
  <c r="P82" i="4"/>
  <c r="P83" i="4"/>
  <c r="P84" i="4"/>
  <c r="P85" i="4"/>
  <c r="P86" i="4"/>
  <c r="P87" i="4"/>
  <c r="P88" i="4"/>
  <c r="P89" i="4"/>
  <c r="P90" i="4"/>
  <c r="P91" i="4"/>
  <c r="P92" i="4"/>
  <c r="P93" i="4"/>
  <c r="P94" i="4"/>
  <c r="P95" i="4"/>
  <c r="P96" i="4"/>
  <c r="P97" i="4"/>
  <c r="O2" i="4"/>
  <c r="O3" i="4"/>
  <c r="O4" i="4"/>
  <c r="O5" i="4"/>
  <c r="O6" i="4"/>
  <c r="O7" i="4"/>
  <c r="O8" i="4"/>
  <c r="O9" i="4"/>
  <c r="O10" i="4"/>
  <c r="O11" i="4"/>
  <c r="O12" i="4"/>
  <c r="O13" i="4"/>
  <c r="O14" i="4"/>
  <c r="O16" i="4"/>
  <c r="O17" i="4"/>
  <c r="O18" i="4"/>
  <c r="O19" i="4"/>
  <c r="O20" i="4"/>
  <c r="O21" i="4"/>
  <c r="O22" i="4"/>
  <c r="O23" i="4"/>
  <c r="O24" i="4"/>
  <c r="O25" i="4"/>
  <c r="O26" i="4"/>
  <c r="O27" i="4"/>
  <c r="O28" i="4"/>
  <c r="O29" i="4"/>
  <c r="O30" i="4"/>
  <c r="O31" i="4"/>
  <c r="O32" i="4"/>
  <c r="O33" i="4"/>
  <c r="O34" i="4"/>
  <c r="O35" i="4"/>
  <c r="O36" i="4"/>
  <c r="O37" i="4"/>
  <c r="O38" i="4"/>
  <c r="O39" i="4"/>
  <c r="O40" i="4"/>
  <c r="O41" i="4"/>
  <c r="O42" i="4"/>
  <c r="O43" i="4"/>
  <c r="O44" i="4"/>
  <c r="O45" i="4"/>
  <c r="O46" i="4"/>
  <c r="O47" i="4"/>
  <c r="O48" i="4"/>
  <c r="O49" i="4"/>
  <c r="O50" i="4"/>
  <c r="O51" i="4"/>
  <c r="O52" i="4"/>
  <c r="O53" i="4"/>
  <c r="O54" i="4"/>
  <c r="O55" i="4"/>
  <c r="O56" i="4"/>
  <c r="O57" i="4"/>
  <c r="O58" i="4"/>
  <c r="O59" i="4"/>
  <c r="O60" i="4"/>
  <c r="O61" i="4"/>
  <c r="O62" i="4"/>
  <c r="O63" i="4"/>
  <c r="O64" i="4"/>
  <c r="O65" i="4"/>
  <c r="O66" i="4"/>
  <c r="O67" i="4"/>
  <c r="O68" i="4"/>
  <c r="O69" i="4"/>
  <c r="O70" i="4"/>
  <c r="O71" i="4"/>
  <c r="O72" i="4"/>
  <c r="O73" i="4"/>
  <c r="O74" i="4"/>
  <c r="O75" i="4"/>
  <c r="O76" i="4"/>
  <c r="O77" i="4"/>
  <c r="O78" i="4"/>
  <c r="O79" i="4"/>
  <c r="O80" i="4"/>
  <c r="O81" i="4"/>
  <c r="O82" i="4"/>
  <c r="O83" i="4"/>
  <c r="O84" i="4"/>
  <c r="O85" i="4"/>
  <c r="O86" i="4"/>
  <c r="O87" i="4"/>
  <c r="O88" i="4"/>
  <c r="O89" i="4"/>
  <c r="O90" i="4"/>
  <c r="O91" i="4"/>
  <c r="O92" i="4"/>
  <c r="O93" i="4"/>
  <c r="O94" i="4"/>
  <c r="O95" i="4"/>
  <c r="O96" i="4"/>
  <c r="O97" i="4"/>
  <c r="N2" i="4"/>
  <c r="N3" i="4"/>
  <c r="N4" i="4"/>
  <c r="N5" i="4"/>
  <c r="N6" i="4"/>
  <c r="N7" i="4"/>
  <c r="N8" i="4"/>
  <c r="N9" i="4"/>
  <c r="N10" i="4"/>
  <c r="N11" i="4"/>
  <c r="N12" i="4"/>
  <c r="N13" i="4"/>
  <c r="N14" i="4"/>
  <c r="N15" i="4"/>
  <c r="N16" i="4"/>
  <c r="N17" i="4"/>
  <c r="N18" i="4"/>
  <c r="N19" i="4"/>
  <c r="N20" i="4"/>
  <c r="N21" i="4"/>
  <c r="N22" i="4"/>
  <c r="N23" i="4"/>
  <c r="N24" i="4"/>
  <c r="N25" i="4"/>
  <c r="N26" i="4"/>
  <c r="N27" i="4"/>
  <c r="N28" i="4"/>
  <c r="N29" i="4"/>
  <c r="N30" i="4"/>
  <c r="N31" i="4"/>
  <c r="N32" i="4"/>
  <c r="N33" i="4"/>
  <c r="N34" i="4"/>
  <c r="N35" i="4"/>
  <c r="N36" i="4"/>
  <c r="N37" i="4"/>
  <c r="N38" i="4"/>
  <c r="N39" i="4"/>
  <c r="N40" i="4"/>
  <c r="N41" i="4"/>
  <c r="N42" i="4"/>
  <c r="N43" i="4"/>
  <c r="N44" i="4"/>
  <c r="N45" i="4"/>
  <c r="N46" i="4"/>
  <c r="N47" i="4"/>
  <c r="N48" i="4"/>
  <c r="N49" i="4"/>
  <c r="N50" i="4"/>
  <c r="N51" i="4"/>
  <c r="N52" i="4"/>
  <c r="N53" i="4"/>
  <c r="N54" i="4"/>
  <c r="N55" i="4"/>
  <c r="N56" i="4"/>
  <c r="N57" i="4"/>
  <c r="N58" i="4"/>
  <c r="N59" i="4"/>
  <c r="N60" i="4"/>
  <c r="N61" i="4"/>
  <c r="N62" i="4"/>
  <c r="N63" i="4"/>
  <c r="N64" i="4"/>
  <c r="N65" i="4"/>
  <c r="N66" i="4"/>
  <c r="N67" i="4"/>
  <c r="N68" i="4"/>
  <c r="N69" i="4"/>
  <c r="N70" i="4"/>
  <c r="N71" i="4"/>
  <c r="N72" i="4"/>
  <c r="N73" i="4"/>
  <c r="N74" i="4"/>
  <c r="N75" i="4"/>
  <c r="N76" i="4"/>
  <c r="N77" i="4"/>
  <c r="N78" i="4"/>
  <c r="N79" i="4"/>
  <c r="N80" i="4"/>
  <c r="N81" i="4"/>
  <c r="N82" i="4"/>
  <c r="N83" i="4"/>
  <c r="N84" i="4"/>
  <c r="N85" i="4"/>
  <c r="N86" i="4"/>
  <c r="N87" i="4"/>
  <c r="N88" i="4"/>
  <c r="N89" i="4"/>
  <c r="N90" i="4"/>
  <c r="N91" i="4"/>
  <c r="N92" i="4"/>
  <c r="N93" i="4"/>
  <c r="N94" i="4"/>
  <c r="N95" i="4"/>
  <c r="N96" i="4"/>
  <c r="N97" i="4"/>
  <c r="E4" i="13" a="1"/>
  <c r="E4" i="13" s="1"/>
  <c r="M2" i="4"/>
  <c r="M3" i="4"/>
  <c r="M4" i="4"/>
  <c r="M5" i="4"/>
  <c r="M6" i="4"/>
  <c r="M7" i="4"/>
  <c r="M8" i="4"/>
  <c r="M9" i="4"/>
  <c r="M10" i="4"/>
  <c r="M11" i="4"/>
  <c r="M12" i="4"/>
  <c r="M13" i="4"/>
  <c r="M14" i="4"/>
  <c r="M15" i="4"/>
  <c r="M16" i="4"/>
  <c r="M17" i="4"/>
  <c r="M18" i="4"/>
  <c r="M19" i="4"/>
  <c r="M20" i="4"/>
  <c r="M21" i="4"/>
  <c r="M22" i="4"/>
  <c r="M23" i="4"/>
  <c r="M24" i="4"/>
  <c r="M25" i="4"/>
  <c r="M26"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70" i="4"/>
  <c r="M71" i="4"/>
  <c r="M72" i="4"/>
  <c r="M73" i="4"/>
  <c r="M74" i="4"/>
  <c r="M75" i="4"/>
  <c r="M76" i="4"/>
  <c r="M77" i="4"/>
  <c r="M78" i="4"/>
  <c r="M79" i="4"/>
  <c r="M80" i="4"/>
  <c r="M81" i="4"/>
  <c r="M82" i="4"/>
  <c r="M83" i="4"/>
  <c r="M84" i="4"/>
  <c r="M85" i="4"/>
  <c r="M86" i="4"/>
  <c r="M87" i="4"/>
  <c r="M88" i="4"/>
  <c r="M89" i="4"/>
  <c r="M90" i="4"/>
  <c r="M91" i="4"/>
  <c r="M92" i="4"/>
  <c r="M93" i="4"/>
  <c r="M94" i="4"/>
  <c r="M95" i="4"/>
  <c r="M96" i="4"/>
  <c r="M97" i="4"/>
  <c r="L2" i="4"/>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B15" i="12"/>
  <c r="B14" i="12"/>
  <c r="B6" i="12"/>
  <c r="B13" i="12"/>
  <c r="B12" i="12"/>
  <c r="B11" i="12"/>
  <c r="B10" i="12"/>
  <c r="B9" i="12"/>
  <c r="B8" i="12"/>
  <c r="B7" i="12"/>
  <c r="B5" i="12"/>
  <c r="B4" i="12"/>
  <c r="B3" i="12" a="1"/>
  <c r="B3" i="12" s="1"/>
  <c r="B2" i="12" a="1"/>
  <c r="B2" i="12" s="1"/>
  <c r="B1" i="12"/>
  <c r="K2" i="4"/>
  <c r="K3" i="4"/>
  <c r="K4" i="4"/>
  <c r="K5" i="4"/>
  <c r="K6" i="4"/>
  <c r="K7" i="4"/>
  <c r="K8" i="4"/>
  <c r="K9" i="4"/>
  <c r="K10" i="4"/>
  <c r="K11" i="4"/>
  <c r="K12" i="4"/>
  <c r="K13" i="4"/>
  <c r="K14" i="4"/>
  <c r="K15" i="4"/>
  <c r="K16" i="4"/>
  <c r="K17" i="4"/>
  <c r="K18" i="4"/>
  <c r="K19" i="4"/>
  <c r="K20" i="4"/>
  <c r="K21" i="4"/>
  <c r="K22" i="4"/>
  <c r="K23" i="4"/>
  <c r="K24" i="4"/>
  <c r="K25" i="4"/>
  <c r="K26" i="4"/>
  <c r="K27" i="4"/>
  <c r="K28" i="4"/>
  <c r="K29" i="4"/>
  <c r="K30" i="4"/>
  <c r="K31" i="4"/>
  <c r="K32" i="4"/>
  <c r="K33" i="4"/>
  <c r="K34" i="4"/>
  <c r="K35" i="4"/>
  <c r="K36" i="4"/>
  <c r="K37" i="4"/>
  <c r="K38" i="4"/>
  <c r="K39" i="4"/>
  <c r="K40" i="4"/>
  <c r="K41" i="4"/>
  <c r="K42" i="4"/>
  <c r="K43" i="4"/>
  <c r="K44" i="4"/>
  <c r="K45" i="4"/>
  <c r="K46" i="4"/>
  <c r="K47" i="4"/>
  <c r="K48" i="4"/>
  <c r="K49" i="4"/>
  <c r="K50" i="4"/>
  <c r="K51" i="4"/>
  <c r="K52" i="4"/>
  <c r="K53" i="4"/>
  <c r="K54" i="4"/>
  <c r="K55" i="4"/>
  <c r="K56" i="4"/>
  <c r="K57" i="4"/>
  <c r="K58" i="4"/>
  <c r="K59" i="4"/>
  <c r="K60" i="4"/>
  <c r="K61" i="4"/>
  <c r="K62" i="4"/>
  <c r="K63" i="4"/>
  <c r="K64" i="4"/>
  <c r="K65" i="4"/>
  <c r="K66" i="4"/>
  <c r="K67" i="4"/>
  <c r="K68" i="4"/>
  <c r="K69" i="4"/>
  <c r="K70" i="4"/>
  <c r="K71" i="4"/>
  <c r="K72" i="4"/>
  <c r="K73" i="4"/>
  <c r="K74" i="4"/>
  <c r="K75" i="4"/>
  <c r="K76" i="4"/>
  <c r="K77" i="4"/>
  <c r="K78" i="4"/>
  <c r="K79" i="4"/>
  <c r="K80" i="4"/>
  <c r="K81" i="4"/>
  <c r="K82" i="4"/>
  <c r="K83" i="4"/>
  <c r="K84" i="4"/>
  <c r="K85" i="4"/>
  <c r="K86" i="4"/>
  <c r="K87" i="4"/>
  <c r="K88" i="4"/>
  <c r="K89" i="4"/>
  <c r="K90" i="4"/>
  <c r="K91" i="4"/>
  <c r="K92" i="4"/>
  <c r="K93" i="4"/>
  <c r="K94" i="4"/>
  <c r="K95" i="4"/>
  <c r="K96" i="4"/>
  <c r="K97" i="4"/>
  <c r="B7" i="11"/>
  <c r="B5" i="11"/>
  <c r="B4" i="11"/>
  <c r="B6" i="11"/>
  <c r="B3" i="11" a="1"/>
  <c r="B3" i="11" s="1"/>
  <c r="B2" i="11" a="1"/>
  <c r="B2" i="11" s="1"/>
  <c r="B1" i="11"/>
  <c r="J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M98" i="4" l="1"/>
  <c r="B16" i="1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DA36741-777C-4054-ABCB-522B390D1128}" keepAlive="1" name="Query - Table1" description="Connection to the 'Table1' query in the workbook." type="5" refreshedVersion="8" background="1" saveData="1">
    <dbPr connection="Provider=Microsoft.Mashup.OleDb.1;Data Source=$Workbook$;Location=Table1;Extended Properties=&quot;&quot;" command="SELECT * FROM [Table1]"/>
  </connection>
  <connection id="2" xr16:uid="{299D9350-1C35-4389-9E8A-F98AC90FE754}" keepAlive="1" name="Query - Table1 (2)" description="Connection to the 'Table1 (2)' query in the workbook." type="5" refreshedVersion="8" background="1" saveData="1">
    <dbPr connection="Provider=Microsoft.Mashup.OleDb.1;Data Source=$Workbook$;Location=&quot;Table1 (2)&quot;;Extended Properties=&quot;&quot;" command="SELECT * FROM [Table1 (2)]"/>
  </connection>
  <connection id="3" xr16:uid="{E458179D-A814-4F00-84E7-0253B4607D9F}" keepAlive="1" name="Query - Table1_14" description="Connection to the 'Table1_14' query in the workbook." type="5" refreshedVersion="0" background="1">
    <dbPr connection="Provider=Microsoft.Mashup.OleDb.1;Data Source=$Workbook$;Location=Table1_14;Extended Properties=&quot;&quot;" command="SELECT * FROM [Table1_14]"/>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<sst xmlns="http://schemas.openxmlformats.org/spreadsheetml/2006/main" count="2780" uniqueCount="90">
  <si>
    <t>Class</t>
  </si>
  <si>
    <t>Year</t>
  </si>
  <si>
    <t xml:space="preserve">Type </t>
  </si>
  <si>
    <t>Status</t>
  </si>
  <si>
    <t>CTSA</t>
  </si>
  <si>
    <t>GOVT</t>
  </si>
  <si>
    <t>GOVT AIDED</t>
  </si>
  <si>
    <t>INDEPENDENT</t>
  </si>
  <si>
    <t>JNV</t>
  </si>
  <si>
    <t>KV</t>
  </si>
  <si>
    <t>Ajmer</t>
  </si>
  <si>
    <t>Regd.</t>
  </si>
  <si>
    <t>Appd.</t>
  </si>
  <si>
    <t>Bhubaneswar</t>
  </si>
  <si>
    <t>Chandigarh</t>
  </si>
  <si>
    <t>Delhi East</t>
  </si>
  <si>
    <t>Pune</t>
  </si>
  <si>
    <t>Guwahati</t>
  </si>
  <si>
    <t>Panchkula</t>
  </si>
  <si>
    <t>Bengaluru</t>
  </si>
  <si>
    <t>Bhopal</t>
  </si>
  <si>
    <t>Chennai</t>
  </si>
  <si>
    <t>Noida</t>
  </si>
  <si>
    <t>Patna</t>
  </si>
  <si>
    <t>Prayagraj</t>
  </si>
  <si>
    <t>Trivandrum</t>
  </si>
  <si>
    <t>Dehradun</t>
  </si>
  <si>
    <t>Delhi West</t>
  </si>
  <si>
    <t>Region</t>
  </si>
  <si>
    <t>School Type</t>
  </si>
  <si>
    <t>Registered</t>
  </si>
  <si>
    <t>Appeared</t>
  </si>
  <si>
    <t>Appearance Rate</t>
  </si>
  <si>
    <t>No-show Rate</t>
  </si>
  <si>
    <t>Absence Flag</t>
  </si>
  <si>
    <t>ABSENT</t>
  </si>
  <si>
    <t>Row Labels</t>
  </si>
  <si>
    <t>Grand Total</t>
  </si>
  <si>
    <t>Min of Registered</t>
  </si>
  <si>
    <t>Base Status</t>
  </si>
  <si>
    <t>NON_ZERO</t>
  </si>
  <si>
    <t>Smallest non-zero base</t>
  </si>
  <si>
    <t>25th percentile (non-zero)</t>
  </si>
  <si>
    <t>Median (non-zero)</t>
  </si>
  <si>
    <t>Count below 30</t>
  </si>
  <si>
    <t>Count below 50</t>
  </si>
  <si>
    <t>Count below 100</t>
  </si>
  <si>
    <t>Count below 1000</t>
  </si>
  <si>
    <t>Base Flag</t>
  </si>
  <si>
    <t>Smallest non-zero rate:</t>
  </si>
  <si>
    <t>25th percentile:</t>
  </si>
  <si>
    <t xml:space="preserve">Median: </t>
  </si>
  <si>
    <t>Count below 90%:</t>
  </si>
  <si>
    <t>Count below 95%:</t>
  </si>
  <si>
    <t>Count below 98%:</t>
  </si>
  <si>
    <t>Count below 99%:</t>
  </si>
  <si>
    <t>Count below 98.5%:</t>
  </si>
  <si>
    <t>Count below 98.6%:</t>
  </si>
  <si>
    <t>Count below 98.7%:</t>
  </si>
  <si>
    <t>Count below 98.8%:</t>
  </si>
  <si>
    <t>Count below 98.9%:</t>
  </si>
  <si>
    <t xml:space="preserve">Total Counts: </t>
  </si>
  <si>
    <t>Blank fields:</t>
  </si>
  <si>
    <t>Non-empty rows:</t>
  </si>
  <si>
    <t>Count below 96%:</t>
  </si>
  <si>
    <t>Anomaly Flag</t>
  </si>
  <si>
    <t>Coverage Share</t>
  </si>
  <si>
    <t>volatility_pivot</t>
  </si>
  <si>
    <t>Volatility_StdDev_SchoolType</t>
  </si>
  <si>
    <t>Max_AppearanceRate</t>
  </si>
  <si>
    <t>Min_AppearanceRate</t>
  </si>
  <si>
    <t>Volatility_Range_SchoolType</t>
  </si>
  <si>
    <t>Integrity_RateCheck</t>
  </si>
  <si>
    <t>Integrity_RegisteredCheck</t>
  </si>
  <si>
    <t>Integrity_MissingCheck</t>
  </si>
  <si>
    <t>OK</t>
  </si>
  <si>
    <t>FLAG</t>
  </si>
  <si>
    <t>Integrity_CheckType</t>
  </si>
  <si>
    <t>Integrity_CheckResult</t>
  </si>
  <si>
    <t>ABSENT_BASE</t>
  </si>
  <si>
    <t>VALID_BASE</t>
  </si>
  <si>
    <t>NORMAL</t>
  </si>
  <si>
    <t>SMALL_BASE</t>
  </si>
  <si>
    <t>SUSPICIOUS_PERFECTION</t>
  </si>
  <si>
    <t>LOW_RATE</t>
  </si>
  <si>
    <t>Column Labels</t>
  </si>
  <si>
    <t>Count of Integrity_CheckResult</t>
  </si>
  <si>
    <t>Count of Base Flag</t>
  </si>
  <si>
    <t>Count of Anomaly Flag</t>
  </si>
  <si>
    <t>Credibility Dashboard - CBSE Class 12 (2022)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</si>
</sst>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
  </numFmts>
  <fonts count="20"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8"/>
      <name val="Aptos Narrow"/>
      <family val="2"/>
      <scheme val="minor"/>
    </font>
    <font>
      <sz val="36"/>
      <color theme="1"/>
      <name val="Aptos Narrow"/>
      <family val="2"/>
      <scheme val="minor"/>
    </font>
  </fonts>
  <fills count="39">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3" tint="0.89999084444715716"/>
        <bgColor indexed="64"/>
      </patternFill>
    </fill>
    <fill>
      <patternFill patternType="solid">
        <fgColor theme="9" tint="0.79998168889431442"/>
        <bgColor indexed="64"/>
      </patternFill>
    </fill>
    <fill>
      <patternFill patternType="solid">
        <fgColor theme="5" tint="0.79998168889431442"/>
        <bgColor indexed="64"/>
      </patternFill>
    </fill>
    <fill>
      <patternFill patternType="solid">
        <fgColor theme="4" tint="0.79998168889431442"/>
        <bgColor theme="4" tint="0.79998168889431442"/>
      </patternFill>
    </fill>
    <fill>
      <patternFill patternType="solid">
        <fgColor theme="6" tint="0.59999389629810485"/>
        <bgColor indexed="64"/>
      </patternFill>
    </fill>
    <fill>
      <patternFill patternType="solid">
        <fgColor theme="0"/>
        <bgColor theme="4" tint="0.79998168889431442"/>
      </patternFill>
    </fill>
  </fills>
  <borders count="12">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thin">
        <color theme="4" tint="0.39997558519241921"/>
      </bottom>
      <diagonal/>
    </border>
    <border>
      <left style="thin">
        <color indexed="64"/>
      </left>
      <right style="thin">
        <color indexed="64"/>
      </right>
      <top style="thin">
        <color indexed="64"/>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8">
    <xf numFmtId="0" fontId="0" fillId="0" borderId="0" xfId="0"/>
    <xf numFmtId="0" fontId="0" fillId="0" borderId="0" xfId="0" pivotButton="1"/>
    <xf numFmtId="0" fontId="0" fillId="0" borderId="0" xfId="0" applyAlignment="1">
      <alignment horizontal="left"/>
    </xf>
    <xf numFmtId="0" fontId="0" fillId="0" borderId="0" xfId="0" applyAlignment="1">
      <alignment horizontal="left" indent="1"/>
    </xf>
    <xf numFmtId="0" fontId="0" fillId="33" borderId="0" xfId="0" applyFill="1"/>
    <xf numFmtId="0" fontId="0" fillId="34" borderId="0" xfId="0" applyFill="1"/>
    <xf numFmtId="0" fontId="0" fillId="35" borderId="0" xfId="0" applyFill="1"/>
    <xf numFmtId="10" fontId="0" fillId="0" borderId="0" xfId="0" applyNumberFormat="1"/>
    <xf numFmtId="0" fontId="16" fillId="36" borderId="10" xfId="0" applyFont="1" applyFill="1" applyBorder="1"/>
    <xf numFmtId="0" fontId="0" fillId="37" borderId="0" xfId="0" applyFill="1"/>
    <xf numFmtId="164" fontId="0" fillId="0" borderId="0" xfId="0" applyNumberFormat="1"/>
    <xf numFmtId="164" fontId="16" fillId="36" borderId="10" xfId="0" applyNumberFormat="1" applyFont="1" applyFill="1" applyBorder="1"/>
    <xf numFmtId="0" fontId="16" fillId="0" borderId="11" xfId="0" applyFont="1" applyBorder="1"/>
    <xf numFmtId="0" fontId="16" fillId="38" borderId="11" xfId="0" applyFont="1" applyFill="1" applyBorder="1"/>
    <xf numFmtId="0" fontId="0" fillId="0" borderId="11" xfId="0" applyBorder="1" applyAlignment="1">
      <alignment horizontal="left"/>
    </xf>
    <xf numFmtId="164" fontId="0" fillId="0" borderId="11" xfId="0" applyNumberFormat="1" applyBorder="1"/>
    <xf numFmtId="0" fontId="0" fillId="0" borderId="0" xfId="0" applyNumberFormat="1"/>
    <xf numFmtId="0" fontId="19" fillId="0" borderId="0" xfId="0" applyFont="1" applyAlignment="1">
      <alignment horizontal="center"/>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23">
    <dxf>
      <numFmt numFmtId="164" formatCode="0.0000"/>
    </dxf>
    <dxf>
      <numFmt numFmtId="164" formatCode="0.0000"/>
    </dxf>
    <dxf>
      <numFmt numFmtId="164" formatCode="0.0000"/>
    </dxf>
    <dxf>
      <numFmt numFmtId="0" formatCode="General"/>
    </dxf>
    <dxf>
      <numFmt numFmtId="0" formatCode="General"/>
    </dxf>
    <dxf>
      <numFmt numFmtId="0" formatCode="General"/>
    </dxf>
    <dxf>
      <numFmt numFmtId="14" formatCode="0.00%"/>
    </dxf>
    <dxf>
      <numFmt numFmtId="14" formatCode="0.0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07/relationships/slicerCache" Target="slicerCaches/slicerCache2.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07/relationships/slicerCache" Target="slicerCaches/slicerCache1.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pivotCacheDefinition" Target="pivotCache/pivotCacheDefinition2.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pivotCacheDefinition" Target="pivotCache/pivotCacheDefinition1.xml"/><Relationship Id="rId23" Type="http://schemas.openxmlformats.org/officeDocument/2006/relationships/sharedStrings" Target="sharedStrings.xml"/><Relationship Id="rId10" Type="http://schemas.openxmlformats.org/officeDocument/2006/relationships/worksheet" Target="worksheets/sheet10.xml"/><Relationship Id="rId19" Type="http://schemas.microsoft.com/office/2007/relationships/slicerCache" Target="slicerCaches/slicerCache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[class12-2022 cleaned.csv.xlsx]pivot_integrity_summary!PivotTable1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Integrity</a:t>
            </a:r>
            <a:r>
              <a:rPr lang="en-IN" baseline="0"/>
              <a:t> Check Results - OK vs FLAG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pivot_integrity_summary!$B$3:$B$4</c:f>
              <c:strCache>
                <c:ptCount val="1"/>
                <c:pt idx="0">
                  <c:v>FLAG</c:v>
                </c:pt>
              </c:strCache>
            </c:strRef>
          </c:tx>
          <c:spPr>
            <a:solidFill>
              <a:schemeClr val="accent1"/>
            </a:solidFill>
            <a:ln>
              <a:noFill/>
            </a:ln>
            <a:effectLst/>
          </c:spPr>
          <c:invertIfNegative val="0"/>
          <c:cat>
            <c:strRef>
              <c:f>pivot_integrity_summary!$A$5:$A$8</c:f>
              <c:strCache>
                <c:ptCount val="3"/>
                <c:pt idx="0">
                  <c:v>Integrity_MissingCheck</c:v>
                </c:pt>
                <c:pt idx="1">
                  <c:v>Integrity_RateCheck</c:v>
                </c:pt>
                <c:pt idx="2">
                  <c:v>Integrity_RegisteredCheck</c:v>
                </c:pt>
              </c:strCache>
            </c:strRef>
          </c:cat>
          <c:val>
            <c:numRef>
              <c:f>pivot_integrity_summary!$B$5:$B$8</c:f>
              <c:numCache>
                <c:formatCode>General</c:formatCode>
                <c:ptCount val="3"/>
                <c:pt idx="0">
                  <c:v>22</c:v>
                </c:pt>
                <c:pt idx="1">
                  <c:v>0</c:v>
                </c:pt>
                <c:pt idx="2">
                  <c:v>0</c:v>
                </c:pt>
              </c:numCache>
            </c:numRef>
          </c:val>
          <c:extLst>
            <c:ext xmlns:c16="http://schemas.microsoft.com/office/drawing/2014/chart" uri="{C3380CC4-5D6E-409C-BE32-E72D297353CC}">
              <c16:uniqueId val="{00000000-96EB-42AB-B8C6-CDA63A4A1DF7}"/>
            </c:ext>
          </c:extLst>
        </c:ser>
        <c:ser>
          <c:idx val="1"/>
          <c:order val="1"/>
          <c:tx>
            <c:strRef>
              <c:f>pivot_integrity_summary!$C$3:$C$4</c:f>
              <c:strCache>
                <c:ptCount val="1"/>
                <c:pt idx="0">
                  <c:v>OK</c:v>
                </c:pt>
              </c:strCache>
            </c:strRef>
          </c:tx>
          <c:spPr>
            <a:solidFill>
              <a:schemeClr val="accent2"/>
            </a:solidFill>
            <a:ln>
              <a:noFill/>
            </a:ln>
            <a:effectLst/>
          </c:spPr>
          <c:invertIfNegative val="0"/>
          <c:cat>
            <c:strRef>
              <c:f>pivot_integrity_summary!$A$5:$A$8</c:f>
              <c:strCache>
                <c:ptCount val="3"/>
                <c:pt idx="0">
                  <c:v>Integrity_MissingCheck</c:v>
                </c:pt>
                <c:pt idx="1">
                  <c:v>Integrity_RateCheck</c:v>
                </c:pt>
                <c:pt idx="2">
                  <c:v>Integrity_RegisteredCheck</c:v>
                </c:pt>
              </c:strCache>
            </c:strRef>
          </c:cat>
          <c:val>
            <c:numRef>
              <c:f>pivot_integrity_summary!$C$5:$C$8</c:f>
              <c:numCache>
                <c:formatCode>General</c:formatCode>
                <c:ptCount val="3"/>
                <c:pt idx="0">
                  <c:v>74</c:v>
                </c:pt>
                <c:pt idx="1">
                  <c:v>96</c:v>
                </c:pt>
                <c:pt idx="2">
                  <c:v>96</c:v>
                </c:pt>
              </c:numCache>
            </c:numRef>
          </c:val>
          <c:extLst>
            <c:ext xmlns:c16="http://schemas.microsoft.com/office/drawing/2014/chart" uri="{C3380CC4-5D6E-409C-BE32-E72D297353CC}">
              <c16:uniqueId val="{00000001-96EB-42AB-B8C6-CDA63A4A1DF7}"/>
            </c:ext>
          </c:extLst>
        </c:ser>
        <c:dLbls>
          <c:showLegendKey val="0"/>
          <c:showVal val="0"/>
          <c:showCatName val="0"/>
          <c:showSerName val="0"/>
          <c:showPercent val="0"/>
          <c:showBubbleSize val="0"/>
        </c:dLbls>
        <c:gapWidth val="150"/>
        <c:overlap val="100"/>
        <c:axId val="1289010383"/>
        <c:axId val="1288999343"/>
      </c:barChart>
      <c:catAx>
        <c:axId val="12890103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8999343"/>
        <c:crosses val="autoZero"/>
        <c:auto val="1"/>
        <c:lblAlgn val="ctr"/>
        <c:lblOffset val="100"/>
        <c:noMultiLvlLbl val="0"/>
      </c:catAx>
      <c:valAx>
        <c:axId val="128899934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901038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[class12-2022 cleaned.csv.xlsx]pivot_baseflag_summary!PivotTable2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Base</a:t>
            </a:r>
            <a:r>
              <a:rPr lang="en-US" baseline="0"/>
              <a:t> Flag Composition - ABSENT, SMALL, VALID</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pieChart>
        <c:varyColors val="1"/>
        <c:ser>
          <c:idx val="0"/>
          <c:order val="0"/>
          <c:tx>
            <c:strRef>
              <c:f>pivot_baseflag_summary!$B$3</c:f>
              <c:strCache>
                <c:ptCount val="1"/>
                <c:pt idx="0">
                  <c:v>Total</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dPt>
            <c:idx val="2"/>
            <c:bubble3D val="0"/>
            <c:spPr>
              <a:solidFill>
                <a:schemeClr val="accent3"/>
              </a:solidFill>
              <a:ln w="19050">
                <a:solidFill>
                  <a:schemeClr val="lt1"/>
                </a:solidFill>
              </a:ln>
              <a:effectLst/>
            </c:spPr>
          </c:dPt>
          <c:cat>
            <c:strRef>
              <c:f>pivot_baseflag_summary!$A$4:$A$7</c:f>
              <c:strCache>
                <c:ptCount val="3"/>
                <c:pt idx="0">
                  <c:v>ABSENT_BASE</c:v>
                </c:pt>
                <c:pt idx="1">
                  <c:v>SMALL_BASE</c:v>
                </c:pt>
                <c:pt idx="2">
                  <c:v>VALID_BASE</c:v>
                </c:pt>
              </c:strCache>
            </c:strRef>
          </c:cat>
          <c:val>
            <c:numRef>
              <c:f>pivot_baseflag_summary!$B$4:$B$7</c:f>
              <c:numCache>
                <c:formatCode>General</c:formatCode>
                <c:ptCount val="3"/>
                <c:pt idx="0">
                  <c:v>22</c:v>
                </c:pt>
                <c:pt idx="1">
                  <c:v>9</c:v>
                </c:pt>
                <c:pt idx="2">
                  <c:v>65</c:v>
                </c:pt>
              </c:numCache>
            </c:numRef>
          </c:val>
          <c:extLst>
            <c:ext xmlns:c16="http://schemas.microsoft.com/office/drawing/2014/chart" uri="{C3380CC4-5D6E-409C-BE32-E72D297353CC}">
              <c16:uniqueId val="{00000000-732F-432A-930D-7ADD36EA5A66}"/>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[class12-2022 cleaned.csv.xlsx]pivot_anomaly_summary!PivotTable3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Anomaly</a:t>
            </a:r>
            <a:r>
              <a:rPr lang="en-US" baseline="0"/>
              <a:t> Flag Distribution - ABSENT, LOW_RATE, NORMAL, SUSPICIOUS_PERFECTION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pieChart>
        <c:varyColors val="1"/>
        <c:ser>
          <c:idx val="0"/>
          <c:order val="0"/>
          <c:tx>
            <c:strRef>
              <c:f>pivot_anomaly_summary!$B$3</c:f>
              <c:strCache>
                <c:ptCount val="1"/>
                <c:pt idx="0">
                  <c:v>Total</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dPt>
            <c:idx val="2"/>
            <c:bubble3D val="0"/>
            <c:spPr>
              <a:solidFill>
                <a:schemeClr val="accent3"/>
              </a:solidFill>
              <a:ln w="19050">
                <a:solidFill>
                  <a:schemeClr val="lt1"/>
                </a:solidFill>
              </a:ln>
              <a:effectLst/>
            </c:spPr>
          </c:dPt>
          <c:dPt>
            <c:idx val="3"/>
            <c:bubble3D val="0"/>
            <c:spPr>
              <a:solidFill>
                <a:schemeClr val="accent4"/>
              </a:solidFill>
              <a:ln w="19050">
                <a:solidFill>
                  <a:schemeClr val="lt1"/>
                </a:solidFill>
              </a:ln>
              <a:effectLst/>
            </c:spPr>
          </c:dPt>
          <c:cat>
            <c:strRef>
              <c:f>pivot_anomaly_summary!$A$4:$A$8</c:f>
              <c:strCache>
                <c:ptCount val="4"/>
                <c:pt idx="0">
                  <c:v>ABSENT</c:v>
                </c:pt>
                <c:pt idx="1">
                  <c:v>LOW_RATE</c:v>
                </c:pt>
                <c:pt idx="2">
                  <c:v>NORMAL</c:v>
                </c:pt>
                <c:pt idx="3">
                  <c:v>SUSPICIOUS_PERFECTION</c:v>
                </c:pt>
              </c:strCache>
            </c:strRef>
          </c:cat>
          <c:val>
            <c:numRef>
              <c:f>pivot_anomaly_summary!$B$4:$B$8</c:f>
              <c:numCache>
                <c:formatCode>General</c:formatCode>
                <c:ptCount val="4"/>
                <c:pt idx="0">
                  <c:v>22</c:v>
                </c:pt>
                <c:pt idx="1">
                  <c:v>2</c:v>
                </c:pt>
                <c:pt idx="2">
                  <c:v>65</c:v>
                </c:pt>
                <c:pt idx="3">
                  <c:v>7</c:v>
                </c:pt>
              </c:numCache>
            </c:numRef>
          </c:val>
          <c:extLst>
            <c:ext xmlns:c16="http://schemas.microsoft.com/office/drawing/2014/chart" uri="{C3380CC4-5D6E-409C-BE32-E72D297353CC}">
              <c16:uniqueId val="{00000000-BCF4-4147-90B6-D52AF83BDC41}"/>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Volatility</a:t>
            </a:r>
            <a:r>
              <a:rPr lang="en-IN" baseline="0"/>
              <a:t> Index by School Type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Charts_volatility!$B$3</c:f>
              <c:strCache>
                <c:ptCount val="1"/>
                <c:pt idx="0">
                  <c:v>Volatility_StdDev_SchoolType</c:v>
                </c:pt>
              </c:strCache>
            </c:strRef>
          </c:tx>
          <c:spPr>
            <a:solidFill>
              <a:schemeClr val="accent1"/>
            </a:solidFill>
            <a:ln>
              <a:noFill/>
            </a:ln>
            <a:effectLst/>
          </c:spPr>
          <c:invertIfNegative val="0"/>
          <c:cat>
            <c:strRef>
              <c:f>Charts_volatility!$A$4:$A$9</c:f>
              <c:strCache>
                <c:ptCount val="6"/>
                <c:pt idx="0">
                  <c:v>CTSA</c:v>
                </c:pt>
                <c:pt idx="1">
                  <c:v>GOVT</c:v>
                </c:pt>
                <c:pt idx="2">
                  <c:v>GOVT AIDED</c:v>
                </c:pt>
                <c:pt idx="3">
                  <c:v>INDEPENDENT</c:v>
                </c:pt>
                <c:pt idx="4">
                  <c:v>JNV</c:v>
                </c:pt>
                <c:pt idx="5">
                  <c:v>KV</c:v>
                </c:pt>
              </c:strCache>
            </c:strRef>
          </c:cat>
          <c:val>
            <c:numRef>
              <c:f>Charts_volatility!$B$4:$B$9</c:f>
              <c:numCache>
                <c:formatCode>0.0000</c:formatCode>
                <c:ptCount val="6"/>
                <c:pt idx="0">
                  <c:v>8.0140564981311131E-3</c:v>
                </c:pt>
                <c:pt idx="1">
                  <c:v>1.2089637108015959E-2</c:v>
                </c:pt>
                <c:pt idx="2">
                  <c:v>3.7526405686020619E-3</c:v>
                </c:pt>
                <c:pt idx="3">
                  <c:v>2.9169464951935668E-3</c:v>
                </c:pt>
                <c:pt idx="4">
                  <c:v>3.9583342764695738E-3</c:v>
                </c:pt>
                <c:pt idx="5">
                  <c:v>9.2514702364829347E-4</c:v>
                </c:pt>
              </c:numCache>
            </c:numRef>
          </c:val>
          <c:extLst>
            <c:ext xmlns:c16="http://schemas.microsoft.com/office/drawing/2014/chart" uri="{C3380CC4-5D6E-409C-BE32-E72D297353CC}">
              <c16:uniqueId val="{00000000-E4EF-4386-B978-25BFF3C57E88}"/>
            </c:ext>
          </c:extLst>
        </c:ser>
        <c:ser>
          <c:idx val="1"/>
          <c:order val="1"/>
          <c:tx>
            <c:strRef>
              <c:f>Charts_volatility!$C$3</c:f>
              <c:strCache>
                <c:ptCount val="1"/>
                <c:pt idx="0">
                  <c:v>Volatility_Range_SchoolType</c:v>
                </c:pt>
              </c:strCache>
            </c:strRef>
          </c:tx>
          <c:spPr>
            <a:solidFill>
              <a:schemeClr val="accent2"/>
            </a:solidFill>
            <a:ln>
              <a:noFill/>
            </a:ln>
            <a:effectLst/>
          </c:spPr>
          <c:invertIfNegative val="0"/>
          <c:cat>
            <c:strRef>
              <c:f>Charts_volatility!$A$4:$A$9</c:f>
              <c:strCache>
                <c:ptCount val="6"/>
                <c:pt idx="0">
                  <c:v>CTSA</c:v>
                </c:pt>
                <c:pt idx="1">
                  <c:v>GOVT</c:v>
                </c:pt>
                <c:pt idx="2">
                  <c:v>GOVT AIDED</c:v>
                </c:pt>
                <c:pt idx="3">
                  <c:v>INDEPENDENT</c:v>
                </c:pt>
                <c:pt idx="4">
                  <c:v>JNV</c:v>
                </c:pt>
                <c:pt idx="5">
                  <c:v>KV</c:v>
                </c:pt>
              </c:strCache>
            </c:strRef>
          </c:cat>
          <c:val>
            <c:numRef>
              <c:f>Charts_volatility!$C$4:$C$9</c:f>
              <c:numCache>
                <c:formatCode>0.0000</c:formatCode>
                <c:ptCount val="6"/>
                <c:pt idx="0">
                  <c:v>1.9417475728155331E-2</c:v>
                </c:pt>
                <c:pt idx="1">
                  <c:v>4.7904191616766512E-2</c:v>
                </c:pt>
                <c:pt idx="2">
                  <c:v>9.8039215686274161E-3</c:v>
                </c:pt>
                <c:pt idx="3">
                  <c:v>9.9945802344320045E-3</c:v>
                </c:pt>
                <c:pt idx="4">
                  <c:v>1.2125220458553798E-2</c:v>
                </c:pt>
                <c:pt idx="5">
                  <c:v>3.9532202273101502E-3</c:v>
                </c:pt>
              </c:numCache>
            </c:numRef>
          </c:val>
          <c:extLst>
            <c:ext xmlns:c16="http://schemas.microsoft.com/office/drawing/2014/chart" uri="{C3380CC4-5D6E-409C-BE32-E72D297353CC}">
              <c16:uniqueId val="{00000001-E4EF-4386-B978-25BFF3C57E88}"/>
            </c:ext>
          </c:extLst>
        </c:ser>
        <c:dLbls>
          <c:showLegendKey val="0"/>
          <c:showVal val="0"/>
          <c:showCatName val="0"/>
          <c:showSerName val="0"/>
          <c:showPercent val="0"/>
          <c:showBubbleSize val="0"/>
        </c:dLbls>
        <c:gapWidth val="219"/>
        <c:overlap val="-27"/>
        <c:axId val="517579296"/>
        <c:axId val="517576896"/>
      </c:barChart>
      <c:catAx>
        <c:axId val="51757929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School</a:t>
                </a:r>
                <a:r>
                  <a:rPr lang="en-IN" baseline="0"/>
                  <a:t> Type</a:t>
                </a:r>
                <a:endParaRPr lang="en-IN"/>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7576896"/>
        <c:crosses val="autoZero"/>
        <c:auto val="1"/>
        <c:lblAlgn val="ctr"/>
        <c:lblOffset val="100"/>
        <c:noMultiLvlLbl val="0"/>
      </c:catAx>
      <c:valAx>
        <c:axId val="51757689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Volatility</a:t>
                </a:r>
                <a:r>
                  <a:rPr lang="en-IN" baseline="0"/>
                  <a:t> (StdDev vs Range)</a:t>
                </a:r>
                <a:endParaRPr lang="en-IN"/>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0.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757929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Volatility</a:t>
            </a:r>
            <a:r>
              <a:rPr lang="en-IN" baseline="0"/>
              <a:t> Index by School Type (Dual Axis)</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0.13104469376959893"/>
          <c:y val="0.12830793440172397"/>
          <c:w val="0.73791061246080214"/>
          <c:h val="0.59561703176136072"/>
        </c:manualLayout>
      </c:layout>
      <c:barChart>
        <c:barDir val="col"/>
        <c:grouping val="clustered"/>
        <c:varyColors val="0"/>
        <c:ser>
          <c:idx val="0"/>
          <c:order val="0"/>
          <c:tx>
            <c:strRef>
              <c:f>Charts_volatility!$B$3</c:f>
              <c:strCache>
                <c:ptCount val="1"/>
                <c:pt idx="0">
                  <c:v>Volatility_StdDev_SchoolType</c:v>
                </c:pt>
              </c:strCache>
            </c:strRef>
          </c:tx>
          <c:spPr>
            <a:solidFill>
              <a:schemeClr val="accent1"/>
            </a:solidFill>
            <a:ln>
              <a:noFill/>
            </a:ln>
            <a:effectLst/>
          </c:spPr>
          <c:invertIfNegative val="0"/>
          <c:dLbls>
            <c:dLbl>
              <c:idx val="0"/>
              <c:layout>
                <c:manualLayout>
                  <c:x val="-1.9670126366789911E-17"/>
                  <c:y val="-3.856667996761617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C-78CB-49B0-9EEF-CE01B3687069}"/>
                </c:ext>
              </c:extLst>
            </c:dLbl>
            <c:dLbl>
              <c:idx val="1"/>
              <c:layout>
                <c:manualLayout>
                  <c:x val="-4.9354705390763892E-2"/>
                  <c:y val="3.8566679967616136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78CB-49B0-9EEF-CE01B3687069}"/>
                </c:ext>
              </c:extLst>
            </c:dLbl>
            <c:dLbl>
              <c:idx val="2"/>
              <c:layout>
                <c:manualLayout>
                  <c:x val="1.7166854048961355E-2"/>
                  <c:y val="-5.013668395790097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78CB-49B0-9EEF-CE01B3687069}"/>
                </c:ext>
              </c:extLst>
            </c:dLbl>
            <c:dLbl>
              <c:idx val="3"/>
              <c:layout>
                <c:manualLayout>
                  <c:x val="-1.5020997292841185E-2"/>
                  <c:y val="-1.928333998380813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78CB-49B0-9EEF-CE01B3687069}"/>
                </c:ext>
              </c:extLst>
            </c:dLbl>
            <c:dLbl>
              <c:idx val="4"/>
              <c:layout>
                <c:manualLayout>
                  <c:x val="-3.6575533898608091E-2"/>
                  <c:y val="-7.235536348749853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78CB-49B0-9EEF-CE01B3687069}"/>
                </c:ext>
              </c:extLst>
            </c:dLbl>
            <c:dLbl>
              <c:idx val="5"/>
              <c:layout>
                <c:manualLayout>
                  <c:x val="-5.5735729959429124E-2"/>
                  <c:y val="-6.094491780675128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78CB-49B0-9EEF-CE01B3687069}"/>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Charts_volatility!$A$4:$A$9</c:f>
              <c:strCache>
                <c:ptCount val="6"/>
                <c:pt idx="0">
                  <c:v>CTSA</c:v>
                </c:pt>
                <c:pt idx="1">
                  <c:v>GOVT</c:v>
                </c:pt>
                <c:pt idx="2">
                  <c:v>GOVT AIDED</c:v>
                </c:pt>
                <c:pt idx="3">
                  <c:v>INDEPENDENT</c:v>
                </c:pt>
                <c:pt idx="4">
                  <c:v>JNV</c:v>
                </c:pt>
                <c:pt idx="5">
                  <c:v>KV</c:v>
                </c:pt>
              </c:strCache>
            </c:strRef>
          </c:cat>
          <c:val>
            <c:numRef>
              <c:f>Charts_volatility!$B$4:$B$9</c:f>
              <c:numCache>
                <c:formatCode>0.0000</c:formatCode>
                <c:ptCount val="6"/>
                <c:pt idx="0">
                  <c:v>8.0140564981311131E-3</c:v>
                </c:pt>
                <c:pt idx="1">
                  <c:v>1.2089637108015959E-2</c:v>
                </c:pt>
                <c:pt idx="2">
                  <c:v>3.7526405686020619E-3</c:v>
                </c:pt>
                <c:pt idx="3">
                  <c:v>2.9169464951935668E-3</c:v>
                </c:pt>
                <c:pt idx="4">
                  <c:v>3.9583342764695738E-3</c:v>
                </c:pt>
                <c:pt idx="5">
                  <c:v>9.2514702364829347E-4</c:v>
                </c:pt>
              </c:numCache>
            </c:numRef>
          </c:val>
          <c:extLst>
            <c:ext xmlns:c16="http://schemas.microsoft.com/office/drawing/2014/chart" uri="{C3380CC4-5D6E-409C-BE32-E72D297353CC}">
              <c16:uniqueId val="{00000000-78CB-49B0-9EEF-CE01B3687069}"/>
            </c:ext>
          </c:extLst>
        </c:ser>
        <c:dLbls>
          <c:showLegendKey val="0"/>
          <c:showVal val="1"/>
          <c:showCatName val="0"/>
          <c:showSerName val="0"/>
          <c:showPercent val="0"/>
          <c:showBubbleSize val="0"/>
        </c:dLbls>
        <c:gapWidth val="219"/>
        <c:overlap val="-27"/>
        <c:axId val="517568736"/>
        <c:axId val="517565856"/>
      </c:barChart>
      <c:lineChart>
        <c:grouping val="standard"/>
        <c:varyColors val="0"/>
        <c:ser>
          <c:idx val="1"/>
          <c:order val="1"/>
          <c:tx>
            <c:strRef>
              <c:f>Charts_volatility!$C$3</c:f>
              <c:strCache>
                <c:ptCount val="1"/>
                <c:pt idx="0">
                  <c:v>Volatility_Range_SchoolType</c:v>
                </c:pt>
              </c:strCache>
            </c:strRef>
          </c:tx>
          <c:spPr>
            <a:ln w="28575" cap="rnd">
              <a:solidFill>
                <a:schemeClr val="accent2"/>
              </a:solidFill>
              <a:round/>
            </a:ln>
            <a:effectLst/>
          </c:spPr>
          <c:marker>
            <c:symbol val="none"/>
          </c:marker>
          <c:dLbls>
            <c:dLbl>
              <c:idx val="0"/>
              <c:layout>
                <c:manualLayout>
                  <c:x val="2.1458567561201694E-2"/>
                  <c:y val="5.013668395790097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78CB-49B0-9EEF-CE01B3687069}"/>
                </c:ext>
              </c:extLst>
            </c:dLbl>
            <c:dLbl>
              <c:idx val="1"/>
              <c:layout>
                <c:manualLayout>
                  <c:x val="3.2187851341802458E-2"/>
                  <c:y val="4.242334796437771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78CB-49B0-9EEF-CE01B3687069}"/>
                </c:ext>
              </c:extLst>
            </c:dLbl>
            <c:dLbl>
              <c:idx val="2"/>
              <c:layout>
                <c:manualLayout>
                  <c:x val="1.5020997292841185E-2"/>
                  <c:y val="5.785001995142420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78CB-49B0-9EEF-CE01B3687069}"/>
                </c:ext>
              </c:extLst>
            </c:dLbl>
            <c:dLbl>
              <c:idx val="3"/>
              <c:layout>
                <c:manualLayout>
                  <c:x val="1.2909011964214593E-2"/>
                  <c:y val="4.569812430789381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78CB-49B0-9EEF-CE01B3687069}"/>
                </c:ext>
              </c:extLst>
            </c:dLbl>
            <c:dLbl>
              <c:idx val="4"/>
              <c:layout>
                <c:manualLayout>
                  <c:x val="1.9369145148116496E-2"/>
                  <c:y val="-8.797606314974985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78CB-49B0-9EEF-CE01B3687069}"/>
                </c:ext>
              </c:extLst>
            </c:dLbl>
            <c:dLbl>
              <c:idx val="5"/>
              <c:layout>
                <c:manualLayout>
                  <c:x val="-8.5714309818422339E-3"/>
                  <c:y val="-0.11609672365842325"/>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78CB-49B0-9EEF-CE01B3687069}"/>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Charts_volatility!$A$4:$A$9</c:f>
              <c:strCache>
                <c:ptCount val="6"/>
                <c:pt idx="0">
                  <c:v>CTSA</c:v>
                </c:pt>
                <c:pt idx="1">
                  <c:v>GOVT</c:v>
                </c:pt>
                <c:pt idx="2">
                  <c:v>GOVT AIDED</c:v>
                </c:pt>
                <c:pt idx="3">
                  <c:v>INDEPENDENT</c:v>
                </c:pt>
                <c:pt idx="4">
                  <c:v>JNV</c:v>
                </c:pt>
                <c:pt idx="5">
                  <c:v>KV</c:v>
                </c:pt>
              </c:strCache>
            </c:strRef>
          </c:cat>
          <c:val>
            <c:numRef>
              <c:f>Charts_volatility!$C$4:$C$9</c:f>
              <c:numCache>
                <c:formatCode>0.0000</c:formatCode>
                <c:ptCount val="6"/>
                <c:pt idx="0">
                  <c:v>1.9417475728155331E-2</c:v>
                </c:pt>
                <c:pt idx="1">
                  <c:v>4.7904191616766512E-2</c:v>
                </c:pt>
                <c:pt idx="2">
                  <c:v>9.8039215686274161E-3</c:v>
                </c:pt>
                <c:pt idx="3">
                  <c:v>9.9945802344320045E-3</c:v>
                </c:pt>
                <c:pt idx="4">
                  <c:v>1.2125220458553798E-2</c:v>
                </c:pt>
                <c:pt idx="5">
                  <c:v>3.9532202273101502E-3</c:v>
                </c:pt>
              </c:numCache>
            </c:numRef>
          </c:val>
          <c:smooth val="0"/>
          <c:extLst>
            <c:ext xmlns:c16="http://schemas.microsoft.com/office/drawing/2014/chart" uri="{C3380CC4-5D6E-409C-BE32-E72D297353CC}">
              <c16:uniqueId val="{00000001-78CB-49B0-9EEF-CE01B3687069}"/>
            </c:ext>
          </c:extLst>
        </c:ser>
        <c:dLbls>
          <c:showLegendKey val="0"/>
          <c:showVal val="1"/>
          <c:showCatName val="0"/>
          <c:showSerName val="0"/>
          <c:showPercent val="0"/>
          <c:showBubbleSize val="0"/>
        </c:dLbls>
        <c:marker val="1"/>
        <c:smooth val="0"/>
        <c:axId val="517575936"/>
        <c:axId val="517567776"/>
      </c:lineChart>
      <c:catAx>
        <c:axId val="51756873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School</a:t>
                </a:r>
                <a:r>
                  <a:rPr lang="en-IN" baseline="0"/>
                  <a:t> Type</a:t>
                </a:r>
                <a:endParaRPr lang="en-IN"/>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7565856"/>
        <c:crosses val="autoZero"/>
        <c:auto val="1"/>
        <c:lblAlgn val="ctr"/>
        <c:lblOffset val="100"/>
        <c:noMultiLvlLbl val="0"/>
      </c:catAx>
      <c:valAx>
        <c:axId val="51756585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StdDev</a:t>
                </a:r>
                <a:r>
                  <a:rPr lang="en-IN" baseline="0"/>
                  <a:t> (behavioral consistency)</a:t>
                </a:r>
                <a:endParaRPr lang="en-IN"/>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0.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7568736"/>
        <c:crosses val="autoZero"/>
        <c:crossBetween val="between"/>
      </c:valAx>
      <c:valAx>
        <c:axId val="517567776"/>
        <c:scaling>
          <c:orientation val="minMax"/>
        </c:scaling>
        <c:delete val="0"/>
        <c:axPos val="r"/>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Range</a:t>
                </a:r>
                <a:r>
                  <a:rPr lang="en-IN" baseline="0"/>
                  <a:t> (Extreme spread)</a:t>
                </a:r>
                <a:endParaRPr lang="en-IN"/>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0.0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7575936"/>
        <c:crosses val="max"/>
        <c:crossBetween val="between"/>
      </c:valAx>
      <c:catAx>
        <c:axId val="517575936"/>
        <c:scaling>
          <c:orientation val="minMax"/>
        </c:scaling>
        <c:delete val="1"/>
        <c:axPos val="b"/>
        <c:numFmt formatCode="General" sourceLinked="1"/>
        <c:majorTickMark val="out"/>
        <c:minorTickMark val="none"/>
        <c:tickLblPos val="nextTo"/>
        <c:crossAx val="517567776"/>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[class12-2022 cleaned.csv.xlsx]pivot_integrity_summary!PivotTable1</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Integrity</a:t>
            </a:r>
            <a:r>
              <a:rPr lang="en-IN" baseline="0"/>
              <a:t> Check Results - OK vs FLAG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pivot_integrity_summary!$B$3:$B$4</c:f>
              <c:strCache>
                <c:ptCount val="1"/>
                <c:pt idx="0">
                  <c:v>FLAG</c:v>
                </c:pt>
              </c:strCache>
            </c:strRef>
          </c:tx>
          <c:spPr>
            <a:solidFill>
              <a:schemeClr val="accent1"/>
            </a:solidFill>
            <a:ln>
              <a:noFill/>
            </a:ln>
            <a:effectLst/>
          </c:spPr>
          <c:invertIfNegative val="0"/>
          <c:cat>
            <c:strRef>
              <c:f>pivot_integrity_summary!$A$5:$A$8</c:f>
              <c:strCache>
                <c:ptCount val="3"/>
                <c:pt idx="0">
                  <c:v>Integrity_MissingCheck</c:v>
                </c:pt>
                <c:pt idx="1">
                  <c:v>Integrity_RateCheck</c:v>
                </c:pt>
                <c:pt idx="2">
                  <c:v>Integrity_RegisteredCheck</c:v>
                </c:pt>
              </c:strCache>
            </c:strRef>
          </c:cat>
          <c:val>
            <c:numRef>
              <c:f>pivot_integrity_summary!$B$5:$B$8</c:f>
              <c:numCache>
                <c:formatCode>General</c:formatCode>
                <c:ptCount val="3"/>
                <c:pt idx="0">
                  <c:v>22</c:v>
                </c:pt>
                <c:pt idx="1">
                  <c:v>0</c:v>
                </c:pt>
                <c:pt idx="2">
                  <c:v>0</c:v>
                </c:pt>
              </c:numCache>
            </c:numRef>
          </c:val>
          <c:extLst>
            <c:ext xmlns:c16="http://schemas.microsoft.com/office/drawing/2014/chart" uri="{C3380CC4-5D6E-409C-BE32-E72D297353CC}">
              <c16:uniqueId val="{00000000-C4B1-4D0A-94A2-FD659A0D6D73}"/>
            </c:ext>
          </c:extLst>
        </c:ser>
        <c:ser>
          <c:idx val="1"/>
          <c:order val="1"/>
          <c:tx>
            <c:strRef>
              <c:f>pivot_integrity_summary!$C$3:$C$4</c:f>
              <c:strCache>
                <c:ptCount val="1"/>
                <c:pt idx="0">
                  <c:v>OK</c:v>
                </c:pt>
              </c:strCache>
            </c:strRef>
          </c:tx>
          <c:spPr>
            <a:solidFill>
              <a:schemeClr val="accent2"/>
            </a:solidFill>
            <a:ln>
              <a:noFill/>
            </a:ln>
            <a:effectLst/>
          </c:spPr>
          <c:invertIfNegative val="0"/>
          <c:cat>
            <c:strRef>
              <c:f>pivot_integrity_summary!$A$5:$A$8</c:f>
              <c:strCache>
                <c:ptCount val="3"/>
                <c:pt idx="0">
                  <c:v>Integrity_MissingCheck</c:v>
                </c:pt>
                <c:pt idx="1">
                  <c:v>Integrity_RateCheck</c:v>
                </c:pt>
                <c:pt idx="2">
                  <c:v>Integrity_RegisteredCheck</c:v>
                </c:pt>
              </c:strCache>
            </c:strRef>
          </c:cat>
          <c:val>
            <c:numRef>
              <c:f>pivot_integrity_summary!$C$5:$C$8</c:f>
              <c:numCache>
                <c:formatCode>General</c:formatCode>
                <c:ptCount val="3"/>
                <c:pt idx="0">
                  <c:v>74</c:v>
                </c:pt>
                <c:pt idx="1">
                  <c:v>96</c:v>
                </c:pt>
                <c:pt idx="2">
                  <c:v>96</c:v>
                </c:pt>
              </c:numCache>
            </c:numRef>
          </c:val>
          <c:extLst>
            <c:ext xmlns:c16="http://schemas.microsoft.com/office/drawing/2014/chart" uri="{C3380CC4-5D6E-409C-BE32-E72D297353CC}">
              <c16:uniqueId val="{00000001-C4B1-4D0A-94A2-FD659A0D6D73}"/>
            </c:ext>
          </c:extLst>
        </c:ser>
        <c:dLbls>
          <c:showLegendKey val="0"/>
          <c:showVal val="0"/>
          <c:showCatName val="0"/>
          <c:showSerName val="0"/>
          <c:showPercent val="0"/>
          <c:showBubbleSize val="0"/>
        </c:dLbls>
        <c:gapWidth val="150"/>
        <c:overlap val="100"/>
        <c:axId val="1289010383"/>
        <c:axId val="1288999343"/>
      </c:barChart>
      <c:catAx>
        <c:axId val="12890103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8999343"/>
        <c:crosses val="autoZero"/>
        <c:auto val="1"/>
        <c:lblAlgn val="ctr"/>
        <c:lblOffset val="100"/>
        <c:noMultiLvlLbl val="0"/>
      </c:catAx>
      <c:valAx>
        <c:axId val="128899934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901038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[class12-2022 cleaned.csv.xlsx]pivot_baseflag_summary!PivotTable2</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Base</a:t>
            </a:r>
            <a:r>
              <a:rPr lang="en-US" baseline="0"/>
              <a:t> Flag Composition - ABSENT, SMALL, VALID</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s>
    <c:plotArea>
      <c:layout/>
      <c:pieChart>
        <c:varyColors val="1"/>
        <c:ser>
          <c:idx val="0"/>
          <c:order val="0"/>
          <c:tx>
            <c:strRef>
              <c:f>pivot_baseflag_summary!$B$3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AB75-4415-9553-D73C226D5150}"/>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AB75-4415-9553-D73C226D5150}"/>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AB75-4415-9553-D73C226D5150}"/>
              </c:ext>
            </c:extLst>
          </c:dPt>
          <c:cat>
            <c:strRef>
              <c:f>pivot_baseflag_summary!$A$4:$A$7</c:f>
              <c:strCache>
                <c:ptCount val="3"/>
                <c:pt idx="0">
                  <c:v>ABSENT_BASE</c:v>
                </c:pt>
                <c:pt idx="1">
                  <c:v>SMALL_BASE</c:v>
                </c:pt>
                <c:pt idx="2">
                  <c:v>VALID_BASE</c:v>
                </c:pt>
              </c:strCache>
            </c:strRef>
          </c:cat>
          <c:val>
            <c:numRef>
              <c:f>pivot_baseflag_summary!$B$4:$B$7</c:f>
              <c:numCache>
                <c:formatCode>General</c:formatCode>
                <c:ptCount val="3"/>
                <c:pt idx="0">
                  <c:v>22</c:v>
                </c:pt>
                <c:pt idx="1">
                  <c:v>9</c:v>
                </c:pt>
                <c:pt idx="2">
                  <c:v>65</c:v>
                </c:pt>
              </c:numCache>
            </c:numRef>
          </c:val>
          <c:extLst>
            <c:ext xmlns:c16="http://schemas.microsoft.com/office/drawing/2014/chart" uri="{C3380CC4-5D6E-409C-BE32-E72D297353CC}">
              <c16:uniqueId val="{00000006-AB75-4415-9553-D73C226D5150}"/>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[class12-2022 cleaned.csv.xlsx]pivot_anomaly_summary!PivotTable3</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Anomaly</a:t>
            </a:r>
            <a:r>
              <a:rPr lang="en-US" baseline="0"/>
              <a:t> Flag Distribution - ABSENT, LOW_RATE, NORMAL, SUSPICIOUS_PERFECTION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s>
    <c:plotArea>
      <c:layout/>
      <c:pieChart>
        <c:varyColors val="1"/>
        <c:ser>
          <c:idx val="0"/>
          <c:order val="0"/>
          <c:tx>
            <c:strRef>
              <c:f>pivot_anomaly_summary!$B$3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1422-4F40-8867-ECD7BED5F812}"/>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1422-4F40-8867-ECD7BED5F812}"/>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1422-4F40-8867-ECD7BED5F812}"/>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1422-4F40-8867-ECD7BED5F812}"/>
              </c:ext>
            </c:extLst>
          </c:dPt>
          <c:cat>
            <c:strRef>
              <c:f>pivot_anomaly_summary!$A$4:$A$8</c:f>
              <c:strCache>
                <c:ptCount val="4"/>
                <c:pt idx="0">
                  <c:v>ABSENT</c:v>
                </c:pt>
                <c:pt idx="1">
                  <c:v>LOW_RATE</c:v>
                </c:pt>
                <c:pt idx="2">
                  <c:v>NORMAL</c:v>
                </c:pt>
                <c:pt idx="3">
                  <c:v>SUSPICIOUS_PERFECTION</c:v>
                </c:pt>
              </c:strCache>
            </c:strRef>
          </c:cat>
          <c:val>
            <c:numRef>
              <c:f>pivot_anomaly_summary!$B$4:$B$8</c:f>
              <c:numCache>
                <c:formatCode>General</c:formatCode>
                <c:ptCount val="4"/>
                <c:pt idx="0">
                  <c:v>22</c:v>
                </c:pt>
                <c:pt idx="1">
                  <c:v>2</c:v>
                </c:pt>
                <c:pt idx="2">
                  <c:v>65</c:v>
                </c:pt>
                <c:pt idx="3">
                  <c:v>7</c:v>
                </c:pt>
              </c:numCache>
            </c:numRef>
          </c:val>
          <c:extLst>
            <c:ext xmlns:c16="http://schemas.microsoft.com/office/drawing/2014/chart" uri="{C3380CC4-5D6E-409C-BE32-E72D297353CC}">
              <c16:uniqueId val="{00000008-1422-4F40-8867-ECD7BED5F812}"/>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Volatility</a:t>
            </a:r>
            <a:r>
              <a:rPr lang="en-IN" baseline="0"/>
              <a:t> Index by School Type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Charts_volatility!$B$3</c:f>
              <c:strCache>
                <c:ptCount val="1"/>
                <c:pt idx="0">
                  <c:v>Volatility_StdDev_SchoolType</c:v>
                </c:pt>
              </c:strCache>
            </c:strRef>
          </c:tx>
          <c:spPr>
            <a:solidFill>
              <a:schemeClr val="accent1"/>
            </a:solidFill>
            <a:ln>
              <a:noFill/>
            </a:ln>
            <a:effectLst/>
          </c:spPr>
          <c:invertIfNegative val="0"/>
          <c:cat>
            <c:strRef>
              <c:f>Charts_volatility!$A$4:$A$9</c:f>
              <c:strCache>
                <c:ptCount val="6"/>
                <c:pt idx="0">
                  <c:v>CTSA</c:v>
                </c:pt>
                <c:pt idx="1">
                  <c:v>GOVT</c:v>
                </c:pt>
                <c:pt idx="2">
                  <c:v>GOVT AIDED</c:v>
                </c:pt>
                <c:pt idx="3">
                  <c:v>INDEPENDENT</c:v>
                </c:pt>
                <c:pt idx="4">
                  <c:v>JNV</c:v>
                </c:pt>
                <c:pt idx="5">
                  <c:v>KV</c:v>
                </c:pt>
              </c:strCache>
            </c:strRef>
          </c:cat>
          <c:val>
            <c:numRef>
              <c:f>Charts_volatility!$B$4:$B$9</c:f>
              <c:numCache>
                <c:formatCode>0.0000</c:formatCode>
                <c:ptCount val="6"/>
                <c:pt idx="0">
                  <c:v>8.0140564981311131E-3</c:v>
                </c:pt>
                <c:pt idx="1">
                  <c:v>1.2089637108015959E-2</c:v>
                </c:pt>
                <c:pt idx="2">
                  <c:v>3.7526405686020619E-3</c:v>
                </c:pt>
                <c:pt idx="3">
                  <c:v>2.9169464951935668E-3</c:v>
                </c:pt>
                <c:pt idx="4">
                  <c:v>3.9583342764695738E-3</c:v>
                </c:pt>
                <c:pt idx="5">
                  <c:v>9.2514702364829347E-4</c:v>
                </c:pt>
              </c:numCache>
            </c:numRef>
          </c:val>
          <c:extLst>
            <c:ext xmlns:c16="http://schemas.microsoft.com/office/drawing/2014/chart" uri="{C3380CC4-5D6E-409C-BE32-E72D297353CC}">
              <c16:uniqueId val="{00000000-A5C9-4760-B438-4BFFFA28F463}"/>
            </c:ext>
          </c:extLst>
        </c:ser>
        <c:ser>
          <c:idx val="1"/>
          <c:order val="1"/>
          <c:tx>
            <c:strRef>
              <c:f>Charts_volatility!$C$3</c:f>
              <c:strCache>
                <c:ptCount val="1"/>
                <c:pt idx="0">
                  <c:v>Volatility_Range_SchoolType</c:v>
                </c:pt>
              </c:strCache>
            </c:strRef>
          </c:tx>
          <c:spPr>
            <a:solidFill>
              <a:schemeClr val="accent2"/>
            </a:solidFill>
            <a:ln>
              <a:noFill/>
            </a:ln>
            <a:effectLst/>
          </c:spPr>
          <c:invertIfNegative val="0"/>
          <c:cat>
            <c:strRef>
              <c:f>Charts_volatility!$A$4:$A$9</c:f>
              <c:strCache>
                <c:ptCount val="6"/>
                <c:pt idx="0">
                  <c:v>CTSA</c:v>
                </c:pt>
                <c:pt idx="1">
                  <c:v>GOVT</c:v>
                </c:pt>
                <c:pt idx="2">
                  <c:v>GOVT AIDED</c:v>
                </c:pt>
                <c:pt idx="3">
                  <c:v>INDEPENDENT</c:v>
                </c:pt>
                <c:pt idx="4">
                  <c:v>JNV</c:v>
                </c:pt>
                <c:pt idx="5">
                  <c:v>KV</c:v>
                </c:pt>
              </c:strCache>
            </c:strRef>
          </c:cat>
          <c:val>
            <c:numRef>
              <c:f>Charts_volatility!$C$4:$C$9</c:f>
              <c:numCache>
                <c:formatCode>0.0000</c:formatCode>
                <c:ptCount val="6"/>
                <c:pt idx="0">
                  <c:v>1.9417475728155331E-2</c:v>
                </c:pt>
                <c:pt idx="1">
                  <c:v>4.7904191616766512E-2</c:v>
                </c:pt>
                <c:pt idx="2">
                  <c:v>9.8039215686274161E-3</c:v>
                </c:pt>
                <c:pt idx="3">
                  <c:v>9.9945802344320045E-3</c:v>
                </c:pt>
                <c:pt idx="4">
                  <c:v>1.2125220458553798E-2</c:v>
                </c:pt>
                <c:pt idx="5">
                  <c:v>3.9532202273101502E-3</c:v>
                </c:pt>
              </c:numCache>
            </c:numRef>
          </c:val>
          <c:extLst>
            <c:ext xmlns:c16="http://schemas.microsoft.com/office/drawing/2014/chart" uri="{C3380CC4-5D6E-409C-BE32-E72D297353CC}">
              <c16:uniqueId val="{00000001-A5C9-4760-B438-4BFFFA28F463}"/>
            </c:ext>
          </c:extLst>
        </c:ser>
        <c:dLbls>
          <c:showLegendKey val="0"/>
          <c:showVal val="0"/>
          <c:showCatName val="0"/>
          <c:showSerName val="0"/>
          <c:showPercent val="0"/>
          <c:showBubbleSize val="0"/>
        </c:dLbls>
        <c:gapWidth val="219"/>
        <c:overlap val="-27"/>
        <c:axId val="517579296"/>
        <c:axId val="517576896"/>
      </c:barChart>
      <c:catAx>
        <c:axId val="51757929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School</a:t>
                </a:r>
                <a:r>
                  <a:rPr lang="en-IN" baseline="0"/>
                  <a:t> Type</a:t>
                </a:r>
                <a:endParaRPr lang="en-IN"/>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7576896"/>
        <c:crosses val="autoZero"/>
        <c:auto val="1"/>
        <c:lblAlgn val="ctr"/>
        <c:lblOffset val="100"/>
        <c:noMultiLvlLbl val="0"/>
      </c:catAx>
      <c:valAx>
        <c:axId val="51757689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Volatility</a:t>
                </a:r>
                <a:r>
                  <a:rPr lang="en-IN" baseline="0"/>
                  <a:t> (StdDev vs Range)</a:t>
                </a:r>
                <a:endParaRPr lang="en-IN"/>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0.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757929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2" Type="http://schemas.openxmlformats.org/officeDocument/2006/relationships/chart" Target="../charts/chart5.xml"/><Relationship Id="rId1" Type="http://schemas.openxmlformats.org/officeDocument/2006/relationships/chart" Target="../charts/chart4.xml"/></Relationships>
</file>

<file path=xl/drawings/_rels/drawing6.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 Id="rId4"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5</xdr:col>
      <xdr:colOff>0</xdr:colOff>
      <xdr:row>2</xdr:row>
      <xdr:rowOff>45720</xdr:rowOff>
    </xdr:from>
    <xdr:to>
      <xdr:col>12</xdr:col>
      <xdr:colOff>304800</xdr:colOff>
      <xdr:row>17</xdr:row>
      <xdr:rowOff>45720</xdr:rowOff>
    </xdr:to>
    <xdr:graphicFrame macro="">
      <xdr:nvGraphicFramePr>
        <xdr:cNvPr id="2" name="Chart 1">
          <a:extLst>
            <a:ext uri="{FF2B5EF4-FFF2-40B4-BE49-F238E27FC236}">
              <a16:creationId xmlns:a16="http://schemas.microsoft.com/office/drawing/2014/main" id="{4140819E-8505-1FEB-9E7E-160407B2461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68586</xdr:colOff>
      <xdr:row>7</xdr:row>
      <xdr:rowOff>102870</xdr:rowOff>
    </xdr:from>
    <xdr:to>
      <xdr:col>6</xdr:col>
      <xdr:colOff>251466</xdr:colOff>
      <xdr:row>22</xdr:row>
      <xdr:rowOff>102870</xdr:rowOff>
    </xdr:to>
    <xdr:graphicFrame macro="">
      <xdr:nvGraphicFramePr>
        <xdr:cNvPr id="2" name="Chart 1">
          <a:extLst>
            <a:ext uri="{FF2B5EF4-FFF2-40B4-BE49-F238E27FC236}">
              <a16:creationId xmlns:a16="http://schemas.microsoft.com/office/drawing/2014/main" id="{46A83B3D-A54D-EB8C-E062-5FC9E29EA46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956310</xdr:colOff>
      <xdr:row>8</xdr:row>
      <xdr:rowOff>152400</xdr:rowOff>
    </xdr:from>
    <xdr:to>
      <xdr:col>6</xdr:col>
      <xdr:colOff>217170</xdr:colOff>
      <xdr:row>23</xdr:row>
      <xdr:rowOff>152400</xdr:rowOff>
    </xdr:to>
    <xdr:graphicFrame macro="">
      <xdr:nvGraphicFramePr>
        <xdr:cNvPr id="2" name="Chart 1">
          <a:extLst>
            <a:ext uri="{FF2B5EF4-FFF2-40B4-BE49-F238E27FC236}">
              <a16:creationId xmlns:a16="http://schemas.microsoft.com/office/drawing/2014/main" id="{034AA709-79A2-300C-CAC3-D9F022629F2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373380</xdr:colOff>
      <xdr:row>10</xdr:row>
      <xdr:rowOff>41910</xdr:rowOff>
    </xdr:from>
    <xdr:to>
      <xdr:col>5</xdr:col>
      <xdr:colOff>129540</xdr:colOff>
      <xdr:row>28</xdr:row>
      <xdr:rowOff>68580</xdr:rowOff>
    </xdr:to>
    <xdr:graphicFrame macro="">
      <xdr:nvGraphicFramePr>
        <xdr:cNvPr id="2" name="Chart 1">
          <a:extLst>
            <a:ext uri="{FF2B5EF4-FFF2-40B4-BE49-F238E27FC236}">
              <a16:creationId xmlns:a16="http://schemas.microsoft.com/office/drawing/2014/main" id="{473C206C-1344-C692-CA8B-F0EEC50E7F5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423334</xdr:colOff>
      <xdr:row>2</xdr:row>
      <xdr:rowOff>33096</xdr:rowOff>
    </xdr:from>
    <xdr:to>
      <xdr:col>15</xdr:col>
      <xdr:colOff>253999</xdr:colOff>
      <xdr:row>20</xdr:row>
      <xdr:rowOff>46181</xdr:rowOff>
    </xdr:to>
    <xdr:graphicFrame macro="">
      <xdr:nvGraphicFramePr>
        <xdr:cNvPr id="3" name="Chart 2">
          <a:extLst>
            <a:ext uri="{FF2B5EF4-FFF2-40B4-BE49-F238E27FC236}">
              <a16:creationId xmlns:a16="http://schemas.microsoft.com/office/drawing/2014/main" id="{4D4F21E5-F31C-8258-B656-018FCAA4D60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editAs="oneCell">
    <xdr:from>
      <xdr:col>3</xdr:col>
      <xdr:colOff>7620</xdr:colOff>
      <xdr:row>1</xdr:row>
      <xdr:rowOff>27548</xdr:rowOff>
    </xdr:from>
    <xdr:to>
      <xdr:col>6</xdr:col>
      <xdr:colOff>7620</xdr:colOff>
      <xdr:row>10</xdr:row>
      <xdr:rowOff>152400</xdr:rowOff>
    </xdr:to>
    <mc:AlternateContent xmlns:mc="http://schemas.openxmlformats.org/markup-compatibility/2006" xmlns:a14="http://schemas.microsoft.com/office/drawing/2010/main">
      <mc:Choice Requires="a14">
        <xdr:graphicFrame macro="">
          <xdr:nvGraphicFramePr>
            <xdr:cNvPr id="2" name="School Type">
              <a:extLst>
                <a:ext uri="{FF2B5EF4-FFF2-40B4-BE49-F238E27FC236}">
                  <a16:creationId xmlns:a16="http://schemas.microsoft.com/office/drawing/2014/main" id="{967E3060-9343-5E7A-7F1B-1E17F8AB1119}"/>
                </a:ext>
              </a:extLst>
            </xdr:cNvPr>
            <xdr:cNvGraphicFramePr/>
          </xdr:nvGraphicFramePr>
          <xdr:xfrm>
            <a:off x="0" y="0"/>
            <a:ext cx="0" cy="0"/>
          </xdr:xfrm>
          <a:graphic>
            <a:graphicData uri="http://schemas.microsoft.com/office/drawing/2010/slicer">
              <sle:slicer xmlns:sle="http://schemas.microsoft.com/office/drawing/2010/slicer" name="School Type"/>
            </a:graphicData>
          </a:graphic>
        </xdr:graphicFrame>
      </mc:Choice>
      <mc:Fallback xmlns="">
        <xdr:sp macro="" textlink="">
          <xdr:nvSpPr>
            <xdr:cNvPr id="0" name=""/>
            <xdr:cNvSpPr>
              <a:spLocks noTextEdit="1"/>
            </xdr:cNvSpPr>
          </xdr:nvSpPr>
          <xdr:spPr>
            <a:xfrm>
              <a:off x="2692205" y="215117"/>
              <a:ext cx="1828800" cy="1812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xdr:from>
      <xdr:col>3</xdr:col>
      <xdr:colOff>565355</xdr:colOff>
      <xdr:row>5</xdr:row>
      <xdr:rowOff>125054</xdr:rowOff>
    </xdr:from>
    <xdr:to>
      <xdr:col>11</xdr:col>
      <xdr:colOff>229933</xdr:colOff>
      <xdr:row>20</xdr:row>
      <xdr:rowOff>168026</xdr:rowOff>
    </xdr:to>
    <xdr:graphicFrame macro="">
      <xdr:nvGraphicFramePr>
        <xdr:cNvPr id="2" name="Chart 1">
          <a:extLst>
            <a:ext uri="{FF2B5EF4-FFF2-40B4-BE49-F238E27FC236}">
              <a16:creationId xmlns:a16="http://schemas.microsoft.com/office/drawing/2014/main" id="{3D7AFADE-6B3A-4B23-B5F3-49EBE424AAD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309546</xdr:colOff>
      <xdr:row>5</xdr:row>
      <xdr:rowOff>125054</xdr:rowOff>
    </xdr:from>
    <xdr:to>
      <xdr:col>19</xdr:col>
      <xdr:colOff>4746</xdr:colOff>
      <xdr:row>20</xdr:row>
      <xdr:rowOff>157009</xdr:rowOff>
    </xdr:to>
    <xdr:graphicFrame macro="">
      <xdr:nvGraphicFramePr>
        <xdr:cNvPr id="3" name="Chart 2">
          <a:extLst>
            <a:ext uri="{FF2B5EF4-FFF2-40B4-BE49-F238E27FC236}">
              <a16:creationId xmlns:a16="http://schemas.microsoft.com/office/drawing/2014/main" id="{91F93377-95C1-4643-9512-4BF9F70BD05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26986</xdr:colOff>
      <xdr:row>24</xdr:row>
      <xdr:rowOff>67920</xdr:rowOff>
    </xdr:from>
    <xdr:to>
      <xdr:col>11</xdr:col>
      <xdr:colOff>305538</xdr:colOff>
      <xdr:row>39</xdr:row>
      <xdr:rowOff>110614</xdr:rowOff>
    </xdr:to>
    <xdr:graphicFrame macro="">
      <xdr:nvGraphicFramePr>
        <xdr:cNvPr id="4" name="Chart 3">
          <a:extLst>
            <a:ext uri="{FF2B5EF4-FFF2-40B4-BE49-F238E27FC236}">
              <a16:creationId xmlns:a16="http://schemas.microsoft.com/office/drawing/2014/main" id="{44F5B24E-12A2-4D1F-8911-B76F984BACB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347400</xdr:colOff>
      <xdr:row>24</xdr:row>
      <xdr:rowOff>80184</xdr:rowOff>
    </xdr:from>
    <xdr:to>
      <xdr:col>19</xdr:col>
      <xdr:colOff>71006</xdr:colOff>
      <xdr:row>39</xdr:row>
      <xdr:rowOff>110614</xdr:rowOff>
    </xdr:to>
    <xdr:graphicFrame macro="">
      <xdr:nvGraphicFramePr>
        <xdr:cNvPr id="5" name="Chart 4">
          <a:extLst>
            <a:ext uri="{FF2B5EF4-FFF2-40B4-BE49-F238E27FC236}">
              <a16:creationId xmlns:a16="http://schemas.microsoft.com/office/drawing/2014/main" id="{C0A629F7-2D6E-4E6F-A0B3-927DDD45AA9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10323</xdr:colOff>
      <xdr:row>5</xdr:row>
      <xdr:rowOff>122904</xdr:rowOff>
    </xdr:from>
    <xdr:to>
      <xdr:col>3</xdr:col>
      <xdr:colOff>417870</xdr:colOff>
      <xdr:row>29</xdr:row>
      <xdr:rowOff>147484</xdr:rowOff>
    </xdr:to>
    <mc:AlternateContent xmlns:mc="http://schemas.openxmlformats.org/markup-compatibility/2006">
      <mc:Choice xmlns:a14="http://schemas.microsoft.com/office/drawing/2010/main" Requires="a14">
        <xdr:graphicFrame macro="">
          <xdr:nvGraphicFramePr>
            <xdr:cNvPr id="6" name="Region">
              <a:extLst>
                <a:ext uri="{FF2B5EF4-FFF2-40B4-BE49-F238E27FC236}">
                  <a16:creationId xmlns:a16="http://schemas.microsoft.com/office/drawing/2014/main" id="{F0B6514E-4870-DF1E-EE2B-6484E50CDDDE}"/>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10323" y="1011904"/>
              <a:ext cx="2236347" cy="429178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10323</xdr:colOff>
      <xdr:row>30</xdr:row>
      <xdr:rowOff>6884</xdr:rowOff>
    </xdr:from>
    <xdr:to>
      <xdr:col>3</xdr:col>
      <xdr:colOff>417384</xdr:colOff>
      <xdr:row>39</xdr:row>
      <xdr:rowOff>110614</xdr:rowOff>
    </xdr:to>
    <mc:AlternateContent xmlns:mc="http://schemas.openxmlformats.org/markup-compatibility/2006">
      <mc:Choice xmlns:a14="http://schemas.microsoft.com/office/drawing/2010/main" Requires="a14">
        <xdr:graphicFrame macro="">
          <xdr:nvGraphicFramePr>
            <xdr:cNvPr id="7" name="School Type 1">
              <a:extLst>
                <a:ext uri="{FF2B5EF4-FFF2-40B4-BE49-F238E27FC236}">
                  <a16:creationId xmlns:a16="http://schemas.microsoft.com/office/drawing/2014/main" id="{4FB49ED3-AE12-680B-C0F4-CDAF98D3A9C3}"/>
                </a:ext>
              </a:extLst>
            </xdr:cNvPr>
            <xdr:cNvGraphicFramePr/>
          </xdr:nvGraphicFramePr>
          <xdr:xfrm>
            <a:off x="0" y="0"/>
            <a:ext cx="0" cy="0"/>
          </xdr:xfrm>
          <a:graphic>
            <a:graphicData uri="http://schemas.microsoft.com/office/drawing/2010/slicer">
              <sle:slicer xmlns:sle="http://schemas.microsoft.com/office/drawing/2010/slicer" name="School Type 1"/>
            </a:graphicData>
          </a:graphic>
        </xdr:graphicFrame>
      </mc:Choice>
      <mc:Fallback>
        <xdr:sp macro="" textlink="">
          <xdr:nvSpPr>
            <xdr:cNvPr id="0" name=""/>
            <xdr:cNvSpPr>
              <a:spLocks noTextEdit="1"/>
            </xdr:cNvSpPr>
          </xdr:nvSpPr>
          <xdr:spPr>
            <a:xfrm>
              <a:off x="10323" y="5340884"/>
              <a:ext cx="2235861" cy="170393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CER" refreshedDate="45990.434965624998" createdVersion="8" refreshedVersion="8" minRefreshableVersion="3" recordCount="288" xr:uid="{011AA8EE-F887-4C48-9EDE-0D1704642F2E}">
  <cacheSource type="worksheet">
    <worksheetSource name="Table1_15"/>
  </cacheSource>
  <cacheFields count="15">
    <cacheField name="Class" numFmtId="0">
      <sharedItems containsSemiMixedTypes="0" containsString="0" containsNumber="1" containsInteger="1" minValue="12" maxValue="12"/>
    </cacheField>
    <cacheField name="Year" numFmtId="0">
      <sharedItems containsSemiMixedTypes="0" containsString="0" containsNumber="1" containsInteger="1" minValue="2022" maxValue="2022"/>
    </cacheField>
    <cacheField name="Region" numFmtId="0">
      <sharedItems count="16">
        <s v="Ajmer"/>
        <s v="Bengaluru"/>
        <s v="Bhopal"/>
        <s v="Bhubaneswar"/>
        <s v="Chandigarh"/>
        <s v="Chennai"/>
        <s v="Dehradun"/>
        <s v="Delhi East"/>
        <s v="Delhi West"/>
        <s v="Guwahati"/>
        <s v="Noida"/>
        <s v="Panchkula"/>
        <s v="Patna"/>
        <s v="Prayagraj"/>
        <s v="Pune"/>
        <s v="Trivandrum"/>
      </sharedItems>
    </cacheField>
    <cacheField name="School Type" numFmtId="0">
      <sharedItems count="6">
        <s v="CTSA"/>
        <s v="GOVT"/>
        <s v="GOVT AIDED"/>
        <s v="INDEPENDENT"/>
        <s v="JNV"/>
        <s v="KV"/>
      </sharedItems>
    </cacheField>
    <cacheField name="Registered" numFmtId="0">
      <sharedItems containsSemiMixedTypes="0" containsString="0" containsNumber="1" containsInteger="1" minValue="0" maxValue="131729"/>
    </cacheField>
    <cacheField name="Appeared" numFmtId="0">
      <sharedItems containsSemiMixedTypes="0" containsString="0" containsNumber="1" containsInteger="1" minValue="0" maxValue="130263"/>
    </cacheField>
    <cacheField name="Appearance Rate" numFmtId="0">
      <sharedItems containsString="0" containsBlank="1" containsNumber="1" minValue="0.95209580838323349" maxValue="1"/>
    </cacheField>
    <cacheField name="No-show Rate" numFmtId="0">
      <sharedItems containsString="0" containsBlank="1" containsNumber="1" minValue="0" maxValue="4.7904191616766512E-2"/>
    </cacheField>
    <cacheField name="Absence Flag" numFmtId="0">
      <sharedItems containsBlank="1"/>
    </cacheField>
    <cacheField name="Base Status" numFmtId="0">
      <sharedItems/>
    </cacheField>
    <cacheField name="Base Flag" numFmtId="0">
      <sharedItems/>
    </cacheField>
    <cacheField name="Anomaly Flag" numFmtId="0">
      <sharedItems/>
    </cacheField>
    <cacheField name="Coverage Share" numFmtId="0">
      <sharedItems containsSemiMixedTypes="0" containsString="0" containsNumber="1" minValue="0" maxValue="9.1553686118526545E-2"/>
    </cacheField>
    <cacheField name="Integrity_CheckType" numFmtId="0">
      <sharedItems count="3">
        <s v="Integrity_RateCheck"/>
        <s v="Integrity_RegisteredCheck"/>
        <s v="Integrity_MissingCheck"/>
      </sharedItems>
    </cacheField>
    <cacheField name="Integrity_CheckResult" numFmtId="0">
      <sharedItems count="2">
        <s v="OK"/>
        <s v="FLAG"/>
      </sharedItems>
    </cacheField>
  </cacheFields>
  <extLst>
    <ext xmlns:x14="http://schemas.microsoft.com/office/spreadsheetml/2009/9/main" uri="{725AE2AE-9491-48be-B2B4-4EB974FC3084}">
      <x14:pivotCacheDefinition pivotCacheId="464832844"/>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CER" refreshedDate="45990.444958101849" missingItemsLimit="1048576" createdVersion="8" refreshedVersion="8" minRefreshableVersion="3" recordCount="96" xr:uid="{909D199C-A61F-4C6C-BE2E-A101142EDBF1}">
  <cacheSource type="worksheet">
    <worksheetSource name="Table1_14"/>
  </cacheSource>
  <cacheFields count="16">
    <cacheField name="Class" numFmtId="0">
      <sharedItems containsSemiMixedTypes="0" containsString="0" containsNumber="1" containsInteger="1" minValue="12" maxValue="12"/>
    </cacheField>
    <cacheField name="Year" numFmtId="0">
      <sharedItems containsSemiMixedTypes="0" containsString="0" containsNumber="1" containsInteger="1" minValue="2022" maxValue="2022"/>
    </cacheField>
    <cacheField name="Region" numFmtId="0">
      <sharedItems count="16">
        <s v="Ajmer"/>
        <s v="Bengaluru"/>
        <s v="Bhopal"/>
        <s v="Bhubaneswar"/>
        <s v="Chandigarh"/>
        <s v="Chennai"/>
        <s v="Dehradun"/>
        <s v="Delhi East"/>
        <s v="Delhi West"/>
        <s v="Guwahati"/>
        <s v="Noida"/>
        <s v="Panchkula"/>
        <s v="Patna"/>
        <s v="Prayagraj"/>
        <s v="Pune"/>
        <s v="Trivandrum"/>
      </sharedItems>
    </cacheField>
    <cacheField name="School Type" numFmtId="0">
      <sharedItems count="6">
        <s v="CTSA"/>
        <s v="GOVT"/>
        <s v="GOVT AIDED"/>
        <s v="INDEPENDENT"/>
        <s v="JNV"/>
        <s v="KV"/>
      </sharedItems>
    </cacheField>
    <cacheField name="Registered" numFmtId="0">
      <sharedItems containsSemiMixedTypes="0" containsString="0" containsNumber="1" containsInteger="1" minValue="0" maxValue="131729"/>
    </cacheField>
    <cacheField name="Appeared" numFmtId="0">
      <sharedItems containsSemiMixedTypes="0" containsString="0" containsNumber="1" containsInteger="1" minValue="0" maxValue="130263"/>
    </cacheField>
    <cacheField name="Appearance Rate" numFmtId="0">
      <sharedItems containsString="0" containsBlank="1" containsNumber="1" minValue="0.95209580838323349" maxValue="1"/>
    </cacheField>
    <cacheField name="No-show Rate" numFmtId="0">
      <sharedItems containsString="0" containsBlank="1" containsNumber="1" minValue="0" maxValue="4.7904191616766512E-2"/>
    </cacheField>
    <cacheField name="Absence Flag" numFmtId="0">
      <sharedItems containsBlank="1"/>
    </cacheField>
    <cacheField name="Base Status" numFmtId="0">
      <sharedItems count="2">
        <s v="ABSENT"/>
        <s v="NON_ZERO"/>
      </sharedItems>
    </cacheField>
    <cacheField name="Base Flag" numFmtId="0">
      <sharedItems count="3">
        <s v="ABSENT_BASE"/>
        <s v="VALID_BASE"/>
        <s v="SMALL_BASE"/>
      </sharedItems>
    </cacheField>
    <cacheField name="Anomaly Flag" numFmtId="0">
      <sharedItems count="4">
        <s v="ABSENT"/>
        <s v="NORMAL"/>
        <s v="SUSPICIOUS_PERFECTION"/>
        <s v="LOW_RATE"/>
      </sharedItems>
    </cacheField>
    <cacheField name="Coverage Share" numFmtId="10">
      <sharedItems containsSemiMixedTypes="0" containsString="0" containsNumber="1" minValue="0" maxValue="9.1553686118526545E-2"/>
    </cacheField>
    <cacheField name="Integrity_RateCheck" numFmtId="0">
      <sharedItems/>
    </cacheField>
    <cacheField name="Integrity_RegisteredCheck" numFmtId="0">
      <sharedItems/>
    </cacheField>
    <cacheField name="Integrity_MissingCheck" numFmtId="0">
      <sharedItems/>
    </cacheField>
  </cacheFields>
  <extLst>
    <ext xmlns:x14="http://schemas.microsoft.com/office/spreadsheetml/2009/9/main" uri="{725AE2AE-9491-48be-B2B4-4EB974FC3084}">
      <x14:pivotCacheDefinition pivotCacheId="119237382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8">
  <r>
    <n v="12"/>
    <n v="2022"/>
    <x v="0"/>
    <x v="0"/>
    <n v="0"/>
    <n v="0"/>
    <m/>
    <m/>
    <s v="ABSENT"/>
    <s v="ABSENT"/>
    <s v="ABSENT_BASE"/>
    <s v="ABSENT"/>
    <n v="0"/>
    <x v="0"/>
    <x v="0"/>
  </r>
  <r>
    <n v="12"/>
    <n v="2022"/>
    <x v="0"/>
    <x v="0"/>
    <n v="0"/>
    <n v="0"/>
    <m/>
    <m/>
    <s v="ABSENT"/>
    <s v="ABSENT"/>
    <s v="ABSENT_BASE"/>
    <s v="ABSENT"/>
    <n v="0"/>
    <x v="1"/>
    <x v="0"/>
  </r>
  <r>
    <n v="12"/>
    <n v="2022"/>
    <x v="0"/>
    <x v="0"/>
    <n v="0"/>
    <n v="0"/>
    <m/>
    <m/>
    <s v="ABSENT"/>
    <s v="ABSENT"/>
    <s v="ABSENT_BASE"/>
    <s v="ABSENT"/>
    <n v="0"/>
    <x v="2"/>
    <x v="1"/>
  </r>
  <r>
    <n v="12"/>
    <n v="2022"/>
    <x v="0"/>
    <x v="1"/>
    <n v="4533"/>
    <n v="4524"/>
    <n v="0.99801455989410981"/>
    <n v="1.9854401058901905E-3"/>
    <m/>
    <s v="NON_ZERO"/>
    <s v="VALID_BASE"/>
    <s v="NORMAL"/>
    <n v="3.1505048939510722E-3"/>
    <x v="0"/>
    <x v="0"/>
  </r>
  <r>
    <n v="12"/>
    <n v="2022"/>
    <x v="0"/>
    <x v="1"/>
    <n v="4533"/>
    <n v="4524"/>
    <n v="0.99801455989410981"/>
    <n v="1.9854401058901905E-3"/>
    <m/>
    <s v="NON_ZERO"/>
    <s v="VALID_BASE"/>
    <s v="NORMAL"/>
    <n v="3.1505048939510722E-3"/>
    <x v="1"/>
    <x v="0"/>
  </r>
  <r>
    <n v="12"/>
    <n v="2022"/>
    <x v="0"/>
    <x v="1"/>
    <n v="4533"/>
    <n v="4524"/>
    <n v="0.99801455989410981"/>
    <n v="1.9854401058901905E-3"/>
    <m/>
    <s v="NON_ZERO"/>
    <s v="VALID_BASE"/>
    <s v="NORMAL"/>
    <n v="3.1505048939510722E-3"/>
    <x v="2"/>
    <x v="0"/>
  </r>
  <r>
    <n v="12"/>
    <n v="2022"/>
    <x v="0"/>
    <x v="2"/>
    <n v="0"/>
    <n v="0"/>
    <m/>
    <m/>
    <s v="ABSENT"/>
    <s v="ABSENT"/>
    <s v="ABSENT_BASE"/>
    <s v="ABSENT"/>
    <n v="0"/>
    <x v="0"/>
    <x v="0"/>
  </r>
  <r>
    <n v="12"/>
    <n v="2022"/>
    <x v="0"/>
    <x v="2"/>
    <n v="0"/>
    <n v="0"/>
    <m/>
    <m/>
    <s v="ABSENT"/>
    <s v="ABSENT"/>
    <s v="ABSENT_BASE"/>
    <s v="ABSENT"/>
    <n v="0"/>
    <x v="1"/>
    <x v="0"/>
  </r>
  <r>
    <n v="12"/>
    <n v="2022"/>
    <x v="0"/>
    <x v="2"/>
    <n v="0"/>
    <n v="0"/>
    <m/>
    <m/>
    <s v="ABSENT"/>
    <s v="ABSENT"/>
    <s v="ABSENT_BASE"/>
    <s v="ABSENT"/>
    <n v="0"/>
    <x v="2"/>
    <x v="1"/>
  </r>
  <r>
    <n v="12"/>
    <n v="2022"/>
    <x v="0"/>
    <x v="3"/>
    <n v="86178"/>
    <n v="85839"/>
    <n v="0.99606628141753117"/>
    <n v="3.9337185824688259E-3"/>
    <m/>
    <s v="NON_ZERO"/>
    <s v="VALID_BASE"/>
    <s v="NORMAL"/>
    <n v="5.9895038771435143E-2"/>
    <x v="0"/>
    <x v="0"/>
  </r>
  <r>
    <n v="12"/>
    <n v="2022"/>
    <x v="0"/>
    <x v="3"/>
    <n v="86178"/>
    <n v="85839"/>
    <n v="0.99606628141753117"/>
    <n v="3.9337185824688259E-3"/>
    <m/>
    <s v="NON_ZERO"/>
    <s v="VALID_BASE"/>
    <s v="NORMAL"/>
    <n v="5.9895038771435143E-2"/>
    <x v="1"/>
    <x v="0"/>
  </r>
  <r>
    <n v="12"/>
    <n v="2022"/>
    <x v="0"/>
    <x v="3"/>
    <n v="86178"/>
    <n v="85839"/>
    <n v="0.99606628141753117"/>
    <n v="3.9337185824688259E-3"/>
    <m/>
    <s v="NON_ZERO"/>
    <s v="VALID_BASE"/>
    <s v="NORMAL"/>
    <n v="5.9895038771435143E-2"/>
    <x v="2"/>
    <x v="0"/>
  </r>
  <r>
    <n v="12"/>
    <n v="2022"/>
    <x v="0"/>
    <x v="4"/>
    <n v="3741"/>
    <n v="3730"/>
    <n v="0.99705960973001873"/>
    <n v="2.9403902699812745E-3"/>
    <m/>
    <s v="NON_ZERO"/>
    <s v="VALID_BASE"/>
    <s v="NORMAL"/>
    <n v="2.600052682168754E-3"/>
    <x v="0"/>
    <x v="0"/>
  </r>
  <r>
    <n v="12"/>
    <n v="2022"/>
    <x v="0"/>
    <x v="4"/>
    <n v="3741"/>
    <n v="3730"/>
    <n v="0.99705960973001873"/>
    <n v="2.9403902699812745E-3"/>
    <m/>
    <s v="NON_ZERO"/>
    <s v="VALID_BASE"/>
    <s v="NORMAL"/>
    <n v="2.600052682168754E-3"/>
    <x v="1"/>
    <x v="0"/>
  </r>
  <r>
    <n v="12"/>
    <n v="2022"/>
    <x v="0"/>
    <x v="4"/>
    <n v="3741"/>
    <n v="3730"/>
    <n v="0.99705960973001873"/>
    <n v="2.9403902699812745E-3"/>
    <m/>
    <s v="NON_ZERO"/>
    <s v="VALID_BASE"/>
    <s v="NORMAL"/>
    <n v="2.600052682168754E-3"/>
    <x v="2"/>
    <x v="0"/>
  </r>
  <r>
    <n v="12"/>
    <n v="2022"/>
    <x v="0"/>
    <x v="5"/>
    <n v="7736"/>
    <n v="7725"/>
    <n v="0.99857807652533614"/>
    <n v="1.4219234746638554E-3"/>
    <m/>
    <s v="NON_ZERO"/>
    <s v="VALID_BASE"/>
    <s v="NORMAL"/>
    <n v="5.3766392807424431E-3"/>
    <x v="0"/>
    <x v="0"/>
  </r>
  <r>
    <n v="12"/>
    <n v="2022"/>
    <x v="0"/>
    <x v="5"/>
    <n v="7736"/>
    <n v="7725"/>
    <n v="0.99857807652533614"/>
    <n v="1.4219234746638554E-3"/>
    <m/>
    <s v="NON_ZERO"/>
    <s v="VALID_BASE"/>
    <s v="NORMAL"/>
    <n v="5.3766392807424431E-3"/>
    <x v="1"/>
    <x v="0"/>
  </r>
  <r>
    <n v="12"/>
    <n v="2022"/>
    <x v="0"/>
    <x v="5"/>
    <n v="7736"/>
    <n v="7725"/>
    <n v="0.99857807652533614"/>
    <n v="1.4219234746638554E-3"/>
    <m/>
    <s v="NON_ZERO"/>
    <s v="VALID_BASE"/>
    <s v="NORMAL"/>
    <n v="5.3766392807424431E-3"/>
    <x v="2"/>
    <x v="0"/>
  </r>
  <r>
    <n v="12"/>
    <n v="2022"/>
    <x v="1"/>
    <x v="0"/>
    <n v="93"/>
    <n v="92"/>
    <n v="0.989247311827957"/>
    <n v="1.0752688172043001E-2"/>
    <m/>
    <s v="NON_ZERO"/>
    <s v="SMALL_BASE"/>
    <s v="NORMAL"/>
    <n v="6.4636433959287392E-5"/>
    <x v="0"/>
    <x v="0"/>
  </r>
  <r>
    <n v="12"/>
    <n v="2022"/>
    <x v="1"/>
    <x v="0"/>
    <n v="93"/>
    <n v="92"/>
    <n v="0.989247311827957"/>
    <n v="1.0752688172043001E-2"/>
    <m/>
    <s v="NON_ZERO"/>
    <s v="SMALL_BASE"/>
    <s v="NORMAL"/>
    <n v="6.4636433959287392E-5"/>
    <x v="1"/>
    <x v="0"/>
  </r>
  <r>
    <n v="12"/>
    <n v="2022"/>
    <x v="1"/>
    <x v="0"/>
    <n v="93"/>
    <n v="92"/>
    <n v="0.989247311827957"/>
    <n v="1.0752688172043001E-2"/>
    <m/>
    <s v="NON_ZERO"/>
    <s v="SMALL_BASE"/>
    <s v="NORMAL"/>
    <n v="6.4636433959287392E-5"/>
    <x v="2"/>
    <x v="0"/>
  </r>
  <r>
    <n v="12"/>
    <n v="2022"/>
    <x v="1"/>
    <x v="1"/>
    <n v="70"/>
    <n v="70"/>
    <n v="1"/>
    <n v="0"/>
    <m/>
    <s v="NON_ZERO"/>
    <s v="SMALL_BASE"/>
    <s v="SUSPICIOUS_PERFECTION"/>
    <n v="4.8651079324194808E-5"/>
    <x v="0"/>
    <x v="0"/>
  </r>
  <r>
    <n v="12"/>
    <n v="2022"/>
    <x v="1"/>
    <x v="1"/>
    <n v="70"/>
    <n v="70"/>
    <n v="1"/>
    <n v="0"/>
    <m/>
    <s v="NON_ZERO"/>
    <s v="SMALL_BASE"/>
    <s v="SUSPICIOUS_PERFECTION"/>
    <n v="4.8651079324194808E-5"/>
    <x v="1"/>
    <x v="0"/>
  </r>
  <r>
    <n v="12"/>
    <n v="2022"/>
    <x v="1"/>
    <x v="1"/>
    <n v="70"/>
    <n v="70"/>
    <n v="1"/>
    <n v="0"/>
    <m/>
    <s v="NON_ZERO"/>
    <s v="SMALL_BASE"/>
    <s v="SUSPICIOUS_PERFECTION"/>
    <n v="4.8651079324194808E-5"/>
    <x v="2"/>
    <x v="0"/>
  </r>
  <r>
    <n v="12"/>
    <n v="2022"/>
    <x v="1"/>
    <x v="2"/>
    <n v="0"/>
    <n v="0"/>
    <m/>
    <m/>
    <s v="ABSENT"/>
    <s v="ABSENT"/>
    <s v="ABSENT_BASE"/>
    <s v="ABSENT"/>
    <n v="0"/>
    <x v="0"/>
    <x v="0"/>
  </r>
  <r>
    <n v="12"/>
    <n v="2022"/>
    <x v="1"/>
    <x v="2"/>
    <n v="0"/>
    <n v="0"/>
    <m/>
    <m/>
    <s v="ABSENT"/>
    <s v="ABSENT"/>
    <s v="ABSENT_BASE"/>
    <s v="ABSENT"/>
    <n v="0"/>
    <x v="1"/>
    <x v="0"/>
  </r>
  <r>
    <n v="12"/>
    <n v="2022"/>
    <x v="1"/>
    <x v="2"/>
    <n v="0"/>
    <n v="0"/>
    <m/>
    <m/>
    <s v="ABSENT"/>
    <s v="ABSENT"/>
    <s v="ABSENT_BASE"/>
    <s v="ABSENT"/>
    <n v="0"/>
    <x v="2"/>
    <x v="1"/>
  </r>
  <r>
    <n v="12"/>
    <n v="2022"/>
    <x v="1"/>
    <x v="3"/>
    <n v="12262"/>
    <n v="12214"/>
    <n v="0.99608546729734138"/>
    <n v="3.9145327026586241E-3"/>
    <m/>
    <s v="NON_ZERO"/>
    <s v="VALID_BASE"/>
    <s v="NORMAL"/>
    <n v="8.5222790667610956E-3"/>
    <x v="0"/>
    <x v="0"/>
  </r>
  <r>
    <n v="12"/>
    <n v="2022"/>
    <x v="1"/>
    <x v="3"/>
    <n v="12262"/>
    <n v="12214"/>
    <n v="0.99608546729734138"/>
    <n v="3.9145327026586241E-3"/>
    <m/>
    <s v="NON_ZERO"/>
    <s v="VALID_BASE"/>
    <s v="NORMAL"/>
    <n v="8.5222790667610956E-3"/>
    <x v="1"/>
    <x v="0"/>
  </r>
  <r>
    <n v="12"/>
    <n v="2022"/>
    <x v="1"/>
    <x v="3"/>
    <n v="12262"/>
    <n v="12214"/>
    <n v="0.99608546729734138"/>
    <n v="3.9145327026586241E-3"/>
    <m/>
    <s v="NON_ZERO"/>
    <s v="VALID_BASE"/>
    <s v="NORMAL"/>
    <n v="8.5222790667610956E-3"/>
    <x v="2"/>
    <x v="0"/>
  </r>
  <r>
    <n v="12"/>
    <n v="2022"/>
    <x v="1"/>
    <x v="4"/>
    <n v="1901"/>
    <n v="1894"/>
    <n v="0.99631772751183589"/>
    <n v="3.6822724881641067E-3"/>
    <m/>
    <s v="NON_ZERO"/>
    <s v="VALID_BASE"/>
    <s v="NORMAL"/>
    <n v="1.3212243113613475E-3"/>
    <x v="0"/>
    <x v="0"/>
  </r>
  <r>
    <n v="12"/>
    <n v="2022"/>
    <x v="1"/>
    <x v="4"/>
    <n v="1901"/>
    <n v="1894"/>
    <n v="0.99631772751183589"/>
    <n v="3.6822724881641067E-3"/>
    <m/>
    <s v="NON_ZERO"/>
    <s v="VALID_BASE"/>
    <s v="NORMAL"/>
    <n v="1.3212243113613475E-3"/>
    <x v="1"/>
    <x v="0"/>
  </r>
  <r>
    <n v="12"/>
    <n v="2022"/>
    <x v="1"/>
    <x v="4"/>
    <n v="1901"/>
    <n v="1894"/>
    <n v="0.99631772751183589"/>
    <n v="3.6822724881641067E-3"/>
    <m/>
    <s v="NON_ZERO"/>
    <s v="VALID_BASE"/>
    <s v="NORMAL"/>
    <n v="1.3212243113613475E-3"/>
    <x v="2"/>
    <x v="0"/>
  </r>
  <r>
    <n v="12"/>
    <n v="2022"/>
    <x v="1"/>
    <x v="5"/>
    <n v="2363"/>
    <n v="2361"/>
    <n v="0.99915361828184512"/>
    <n v="8.4638171815487606E-4"/>
    <m/>
    <s v="NON_ZERO"/>
    <s v="VALID_BASE"/>
    <s v="NORMAL"/>
    <n v="1.6423214349010333E-3"/>
    <x v="0"/>
    <x v="0"/>
  </r>
  <r>
    <n v="12"/>
    <n v="2022"/>
    <x v="1"/>
    <x v="5"/>
    <n v="2363"/>
    <n v="2361"/>
    <n v="0.99915361828184512"/>
    <n v="8.4638171815487606E-4"/>
    <m/>
    <s v="NON_ZERO"/>
    <s v="VALID_BASE"/>
    <s v="NORMAL"/>
    <n v="1.6423214349010333E-3"/>
    <x v="1"/>
    <x v="0"/>
  </r>
  <r>
    <n v="12"/>
    <n v="2022"/>
    <x v="1"/>
    <x v="5"/>
    <n v="2363"/>
    <n v="2361"/>
    <n v="0.99915361828184512"/>
    <n v="8.4638171815487606E-4"/>
    <m/>
    <s v="NON_ZERO"/>
    <s v="VALID_BASE"/>
    <s v="NORMAL"/>
    <n v="1.6423214349010333E-3"/>
    <x v="2"/>
    <x v="0"/>
  </r>
  <r>
    <n v="12"/>
    <n v="2022"/>
    <x v="2"/>
    <x v="0"/>
    <n v="0"/>
    <n v="0"/>
    <m/>
    <m/>
    <s v="ABSENT"/>
    <s v="ABSENT"/>
    <s v="ABSENT_BASE"/>
    <s v="ABSENT"/>
    <n v="0"/>
    <x v="0"/>
    <x v="0"/>
  </r>
  <r>
    <n v="12"/>
    <n v="2022"/>
    <x v="2"/>
    <x v="0"/>
    <n v="0"/>
    <n v="0"/>
    <m/>
    <m/>
    <s v="ABSENT"/>
    <s v="ABSENT"/>
    <s v="ABSENT_BASE"/>
    <s v="ABSENT"/>
    <n v="0"/>
    <x v="1"/>
    <x v="0"/>
  </r>
  <r>
    <n v="12"/>
    <n v="2022"/>
    <x v="2"/>
    <x v="0"/>
    <n v="0"/>
    <n v="0"/>
    <m/>
    <m/>
    <s v="ABSENT"/>
    <s v="ABSENT"/>
    <s v="ABSENT_BASE"/>
    <s v="ABSENT"/>
    <n v="0"/>
    <x v="2"/>
    <x v="1"/>
  </r>
  <r>
    <n v="12"/>
    <n v="2022"/>
    <x v="2"/>
    <x v="1"/>
    <n v="3180"/>
    <n v="3138"/>
    <n v="0.98679245283018868"/>
    <n v="1.3207547169811318E-2"/>
    <m/>
    <s v="NON_ZERO"/>
    <s v="VALID_BASE"/>
    <s v="NORMAL"/>
    <n v="2.2101490321562783E-3"/>
    <x v="0"/>
    <x v="0"/>
  </r>
  <r>
    <n v="12"/>
    <n v="2022"/>
    <x v="2"/>
    <x v="1"/>
    <n v="3180"/>
    <n v="3138"/>
    <n v="0.98679245283018868"/>
    <n v="1.3207547169811318E-2"/>
    <m/>
    <s v="NON_ZERO"/>
    <s v="VALID_BASE"/>
    <s v="NORMAL"/>
    <n v="2.2101490321562783E-3"/>
    <x v="1"/>
    <x v="0"/>
  </r>
  <r>
    <n v="12"/>
    <n v="2022"/>
    <x v="2"/>
    <x v="1"/>
    <n v="3180"/>
    <n v="3138"/>
    <n v="0.98679245283018868"/>
    <n v="1.3207547169811318E-2"/>
    <m/>
    <s v="NON_ZERO"/>
    <s v="VALID_BASE"/>
    <s v="NORMAL"/>
    <n v="2.2101490321562783E-3"/>
    <x v="2"/>
    <x v="0"/>
  </r>
  <r>
    <n v="12"/>
    <n v="2022"/>
    <x v="2"/>
    <x v="2"/>
    <n v="0"/>
    <n v="0"/>
    <m/>
    <m/>
    <s v="ABSENT"/>
    <s v="ABSENT"/>
    <s v="ABSENT_BASE"/>
    <s v="ABSENT"/>
    <n v="0"/>
    <x v="0"/>
    <x v="0"/>
  </r>
  <r>
    <n v="12"/>
    <n v="2022"/>
    <x v="2"/>
    <x v="2"/>
    <n v="0"/>
    <n v="0"/>
    <m/>
    <m/>
    <s v="ABSENT"/>
    <s v="ABSENT"/>
    <s v="ABSENT_BASE"/>
    <s v="ABSENT"/>
    <n v="0"/>
    <x v="1"/>
    <x v="0"/>
  </r>
  <r>
    <n v="12"/>
    <n v="2022"/>
    <x v="2"/>
    <x v="2"/>
    <n v="0"/>
    <n v="0"/>
    <m/>
    <m/>
    <s v="ABSENT"/>
    <s v="ABSENT"/>
    <s v="ABSENT_BASE"/>
    <s v="ABSENT"/>
    <n v="0"/>
    <x v="2"/>
    <x v="1"/>
  </r>
  <r>
    <n v="12"/>
    <n v="2022"/>
    <x v="2"/>
    <x v="3"/>
    <n v="60352"/>
    <n v="60136"/>
    <n v="0.99642099681866381"/>
    <n v="3.5790031813361933E-3"/>
    <m/>
    <s v="NON_ZERO"/>
    <s v="VALID_BASE"/>
    <s v="NORMAL"/>
    <n v="4.194557056248293E-2"/>
    <x v="0"/>
    <x v="0"/>
  </r>
  <r>
    <n v="12"/>
    <n v="2022"/>
    <x v="2"/>
    <x v="3"/>
    <n v="60352"/>
    <n v="60136"/>
    <n v="0.99642099681866381"/>
    <n v="3.5790031813361933E-3"/>
    <m/>
    <s v="NON_ZERO"/>
    <s v="VALID_BASE"/>
    <s v="NORMAL"/>
    <n v="4.194557056248293E-2"/>
    <x v="1"/>
    <x v="0"/>
  </r>
  <r>
    <n v="12"/>
    <n v="2022"/>
    <x v="2"/>
    <x v="3"/>
    <n v="60352"/>
    <n v="60136"/>
    <n v="0.99642099681866381"/>
    <n v="3.5790031813361933E-3"/>
    <m/>
    <s v="NON_ZERO"/>
    <s v="VALID_BASE"/>
    <s v="NORMAL"/>
    <n v="4.194557056248293E-2"/>
    <x v="2"/>
    <x v="0"/>
  </r>
  <r>
    <n v="12"/>
    <n v="2022"/>
    <x v="2"/>
    <x v="4"/>
    <n v="3640"/>
    <n v="3629"/>
    <n v="0.99697802197802199"/>
    <n v="3.0219780219780112E-3"/>
    <m/>
    <s v="NON_ZERO"/>
    <s v="VALID_BASE"/>
    <s v="NORMAL"/>
    <n v="2.5298561248581299E-3"/>
    <x v="0"/>
    <x v="0"/>
  </r>
  <r>
    <n v="12"/>
    <n v="2022"/>
    <x v="2"/>
    <x v="4"/>
    <n v="3640"/>
    <n v="3629"/>
    <n v="0.99697802197802199"/>
    <n v="3.0219780219780112E-3"/>
    <m/>
    <s v="NON_ZERO"/>
    <s v="VALID_BASE"/>
    <s v="NORMAL"/>
    <n v="2.5298561248581299E-3"/>
    <x v="1"/>
    <x v="0"/>
  </r>
  <r>
    <n v="12"/>
    <n v="2022"/>
    <x v="2"/>
    <x v="4"/>
    <n v="3640"/>
    <n v="3629"/>
    <n v="0.99697802197802199"/>
    <n v="3.0219780219780112E-3"/>
    <m/>
    <s v="NON_ZERO"/>
    <s v="VALID_BASE"/>
    <s v="NORMAL"/>
    <n v="2.5298561248581299E-3"/>
    <x v="2"/>
    <x v="0"/>
  </r>
  <r>
    <n v="12"/>
    <n v="2022"/>
    <x v="2"/>
    <x v="5"/>
    <n v="7807"/>
    <n v="7794"/>
    <n v="0.99833482771871396"/>
    <n v="1.6651722812860426E-3"/>
    <m/>
    <s v="NON_ZERO"/>
    <s v="VALID_BASE"/>
    <s v="NORMAL"/>
    <n v="5.4259853754855553E-3"/>
    <x v="0"/>
    <x v="0"/>
  </r>
  <r>
    <n v="12"/>
    <n v="2022"/>
    <x v="2"/>
    <x v="5"/>
    <n v="7807"/>
    <n v="7794"/>
    <n v="0.99833482771871396"/>
    <n v="1.6651722812860426E-3"/>
    <m/>
    <s v="NON_ZERO"/>
    <s v="VALID_BASE"/>
    <s v="NORMAL"/>
    <n v="5.4259853754855553E-3"/>
    <x v="1"/>
    <x v="0"/>
  </r>
  <r>
    <n v="12"/>
    <n v="2022"/>
    <x v="2"/>
    <x v="5"/>
    <n v="7807"/>
    <n v="7794"/>
    <n v="0.99833482771871396"/>
    <n v="1.6651722812860426E-3"/>
    <m/>
    <s v="NON_ZERO"/>
    <s v="VALID_BASE"/>
    <s v="NORMAL"/>
    <n v="5.4259853754855553E-3"/>
    <x v="2"/>
    <x v="0"/>
  </r>
  <r>
    <n v="12"/>
    <n v="2022"/>
    <x v="3"/>
    <x v="0"/>
    <n v="103"/>
    <n v="101"/>
    <n v="0.98058252427184467"/>
    <n v="1.9417475728155331E-2"/>
    <m/>
    <s v="NON_ZERO"/>
    <s v="VALID_BASE"/>
    <s v="NORMAL"/>
    <n v="7.1586588148458079E-5"/>
    <x v="0"/>
    <x v="0"/>
  </r>
  <r>
    <n v="12"/>
    <n v="2022"/>
    <x v="3"/>
    <x v="0"/>
    <n v="103"/>
    <n v="101"/>
    <n v="0.98058252427184467"/>
    <n v="1.9417475728155331E-2"/>
    <m/>
    <s v="NON_ZERO"/>
    <s v="VALID_BASE"/>
    <s v="NORMAL"/>
    <n v="7.1586588148458079E-5"/>
    <x v="1"/>
    <x v="0"/>
  </r>
  <r>
    <n v="12"/>
    <n v="2022"/>
    <x v="3"/>
    <x v="0"/>
    <n v="103"/>
    <n v="101"/>
    <n v="0.98058252427184467"/>
    <n v="1.9417475728155331E-2"/>
    <m/>
    <s v="NON_ZERO"/>
    <s v="VALID_BASE"/>
    <s v="NORMAL"/>
    <n v="7.1586588148458079E-5"/>
    <x v="2"/>
    <x v="0"/>
  </r>
  <r>
    <n v="12"/>
    <n v="2022"/>
    <x v="3"/>
    <x v="1"/>
    <n v="7746"/>
    <n v="7688"/>
    <n v="0.99251226439452622"/>
    <n v="7.4877356054737776E-3"/>
    <m/>
    <s v="NON_ZERO"/>
    <s v="VALID_BASE"/>
    <s v="NORMAL"/>
    <n v="5.3835894349316136E-3"/>
    <x v="0"/>
    <x v="0"/>
  </r>
  <r>
    <n v="12"/>
    <n v="2022"/>
    <x v="3"/>
    <x v="1"/>
    <n v="7746"/>
    <n v="7688"/>
    <n v="0.99251226439452622"/>
    <n v="7.4877356054737776E-3"/>
    <m/>
    <s v="NON_ZERO"/>
    <s v="VALID_BASE"/>
    <s v="NORMAL"/>
    <n v="5.3835894349316136E-3"/>
    <x v="1"/>
    <x v="0"/>
  </r>
  <r>
    <n v="12"/>
    <n v="2022"/>
    <x v="3"/>
    <x v="1"/>
    <n v="7746"/>
    <n v="7688"/>
    <n v="0.99251226439452622"/>
    <n v="7.4877356054737776E-3"/>
    <m/>
    <s v="NON_ZERO"/>
    <s v="VALID_BASE"/>
    <s v="NORMAL"/>
    <n v="5.3835894349316136E-3"/>
    <x v="2"/>
    <x v="0"/>
  </r>
  <r>
    <n v="12"/>
    <n v="2022"/>
    <x v="3"/>
    <x v="2"/>
    <n v="0"/>
    <n v="0"/>
    <m/>
    <m/>
    <s v="ABSENT"/>
    <s v="ABSENT"/>
    <s v="ABSENT_BASE"/>
    <s v="ABSENT"/>
    <n v="0"/>
    <x v="0"/>
    <x v="0"/>
  </r>
  <r>
    <n v="12"/>
    <n v="2022"/>
    <x v="3"/>
    <x v="2"/>
    <n v="0"/>
    <n v="0"/>
    <m/>
    <m/>
    <s v="ABSENT"/>
    <s v="ABSENT"/>
    <s v="ABSENT_BASE"/>
    <s v="ABSENT"/>
    <n v="0"/>
    <x v="1"/>
    <x v="0"/>
  </r>
  <r>
    <n v="12"/>
    <n v="2022"/>
    <x v="3"/>
    <x v="2"/>
    <n v="0"/>
    <n v="0"/>
    <m/>
    <m/>
    <s v="ABSENT"/>
    <s v="ABSENT"/>
    <s v="ABSENT_BASE"/>
    <s v="ABSENT"/>
    <n v="0"/>
    <x v="2"/>
    <x v="1"/>
  </r>
  <r>
    <n v="12"/>
    <n v="2022"/>
    <x v="3"/>
    <x v="3"/>
    <n v="69835"/>
    <n v="69506"/>
    <n v="0.99528889525309661"/>
    <n v="4.711104746903394E-3"/>
    <m/>
    <s v="NON_ZERO"/>
    <s v="VALID_BASE"/>
    <s v="NORMAL"/>
    <n v="4.8536401780073492E-2"/>
    <x v="0"/>
    <x v="0"/>
  </r>
  <r>
    <n v="12"/>
    <n v="2022"/>
    <x v="3"/>
    <x v="3"/>
    <n v="69835"/>
    <n v="69506"/>
    <n v="0.99528889525309661"/>
    <n v="4.711104746903394E-3"/>
    <m/>
    <s v="NON_ZERO"/>
    <s v="VALID_BASE"/>
    <s v="NORMAL"/>
    <n v="4.8536401780073492E-2"/>
    <x v="1"/>
    <x v="0"/>
  </r>
  <r>
    <n v="12"/>
    <n v="2022"/>
    <x v="3"/>
    <x v="3"/>
    <n v="69835"/>
    <n v="69506"/>
    <n v="0.99528889525309661"/>
    <n v="4.711104746903394E-3"/>
    <m/>
    <s v="NON_ZERO"/>
    <s v="VALID_BASE"/>
    <s v="NORMAL"/>
    <n v="4.8536401780073492E-2"/>
    <x v="2"/>
    <x v="0"/>
  </r>
  <r>
    <n v="12"/>
    <n v="2022"/>
    <x v="3"/>
    <x v="4"/>
    <n v="3823"/>
    <n v="3809"/>
    <n v="0.99633795448600571"/>
    <n v="3.6620455139942942E-3"/>
    <m/>
    <s v="NON_ZERO"/>
    <s v="VALID_BASE"/>
    <s v="NORMAL"/>
    <n v="2.6570439465199536E-3"/>
    <x v="0"/>
    <x v="0"/>
  </r>
  <r>
    <n v="12"/>
    <n v="2022"/>
    <x v="3"/>
    <x v="4"/>
    <n v="3823"/>
    <n v="3809"/>
    <n v="0.99633795448600571"/>
    <n v="3.6620455139942942E-3"/>
    <m/>
    <s v="NON_ZERO"/>
    <s v="VALID_BASE"/>
    <s v="NORMAL"/>
    <n v="2.6570439465199536E-3"/>
    <x v="1"/>
    <x v="0"/>
  </r>
  <r>
    <n v="12"/>
    <n v="2022"/>
    <x v="3"/>
    <x v="4"/>
    <n v="3823"/>
    <n v="3809"/>
    <n v="0.99633795448600571"/>
    <n v="3.6620455139942942E-3"/>
    <m/>
    <s v="NON_ZERO"/>
    <s v="VALID_BASE"/>
    <s v="NORMAL"/>
    <n v="2.6570439465199536E-3"/>
    <x v="2"/>
    <x v="0"/>
  </r>
  <r>
    <n v="12"/>
    <n v="2022"/>
    <x v="3"/>
    <x v="5"/>
    <n v="11465"/>
    <n v="11431"/>
    <n v="0.99703445268207591"/>
    <n v="2.9655473179240888E-3"/>
    <m/>
    <s v="NON_ZERO"/>
    <s v="VALID_BASE"/>
    <s v="NORMAL"/>
    <n v="7.9683517778841931E-3"/>
    <x v="0"/>
    <x v="0"/>
  </r>
  <r>
    <n v="12"/>
    <n v="2022"/>
    <x v="3"/>
    <x v="5"/>
    <n v="11465"/>
    <n v="11431"/>
    <n v="0.99703445268207591"/>
    <n v="2.9655473179240888E-3"/>
    <m/>
    <s v="NON_ZERO"/>
    <s v="VALID_BASE"/>
    <s v="NORMAL"/>
    <n v="7.9683517778841931E-3"/>
    <x v="1"/>
    <x v="0"/>
  </r>
  <r>
    <n v="12"/>
    <n v="2022"/>
    <x v="3"/>
    <x v="5"/>
    <n v="11465"/>
    <n v="11431"/>
    <n v="0.99703445268207591"/>
    <n v="2.9655473179240888E-3"/>
    <m/>
    <s v="NON_ZERO"/>
    <s v="VALID_BASE"/>
    <s v="NORMAL"/>
    <n v="7.9683517778841931E-3"/>
    <x v="2"/>
    <x v="0"/>
  </r>
  <r>
    <n v="12"/>
    <n v="2022"/>
    <x v="4"/>
    <x v="0"/>
    <n v="0"/>
    <n v="0"/>
    <m/>
    <m/>
    <s v="ABSENT"/>
    <s v="ABSENT"/>
    <s v="ABSENT_BASE"/>
    <s v="ABSENT"/>
    <n v="0"/>
    <x v="0"/>
    <x v="0"/>
  </r>
  <r>
    <n v="12"/>
    <n v="2022"/>
    <x v="4"/>
    <x v="0"/>
    <n v="0"/>
    <n v="0"/>
    <m/>
    <m/>
    <s v="ABSENT"/>
    <s v="ABSENT"/>
    <s v="ABSENT_BASE"/>
    <s v="ABSENT"/>
    <n v="0"/>
    <x v="1"/>
    <x v="0"/>
  </r>
  <r>
    <n v="12"/>
    <n v="2022"/>
    <x v="4"/>
    <x v="0"/>
    <n v="0"/>
    <n v="0"/>
    <m/>
    <m/>
    <s v="ABSENT"/>
    <s v="ABSENT"/>
    <s v="ABSENT_BASE"/>
    <s v="ABSENT"/>
    <n v="0"/>
    <x v="2"/>
    <x v="1"/>
  </r>
  <r>
    <n v="12"/>
    <n v="2022"/>
    <x v="4"/>
    <x v="1"/>
    <n v="13060"/>
    <n v="13025"/>
    <n v="0.99732006125574268"/>
    <n v="2.6799387442573153E-3"/>
    <m/>
    <s v="NON_ZERO"/>
    <s v="VALID_BASE"/>
    <s v="NORMAL"/>
    <n v="9.0769013710569162E-3"/>
    <x v="0"/>
    <x v="0"/>
  </r>
  <r>
    <n v="12"/>
    <n v="2022"/>
    <x v="4"/>
    <x v="1"/>
    <n v="13060"/>
    <n v="13025"/>
    <n v="0.99732006125574268"/>
    <n v="2.6799387442573153E-3"/>
    <m/>
    <s v="NON_ZERO"/>
    <s v="VALID_BASE"/>
    <s v="NORMAL"/>
    <n v="9.0769013710569162E-3"/>
    <x v="1"/>
    <x v="0"/>
  </r>
  <r>
    <n v="12"/>
    <n v="2022"/>
    <x v="4"/>
    <x v="1"/>
    <n v="13060"/>
    <n v="13025"/>
    <n v="0.99732006125574268"/>
    <n v="2.6799387442573153E-3"/>
    <m/>
    <s v="NON_ZERO"/>
    <s v="VALID_BASE"/>
    <s v="NORMAL"/>
    <n v="9.0769013710569162E-3"/>
    <x v="2"/>
    <x v="0"/>
  </r>
  <r>
    <n v="12"/>
    <n v="2022"/>
    <x v="4"/>
    <x v="2"/>
    <n v="55"/>
    <n v="55"/>
    <n v="1"/>
    <n v="0"/>
    <m/>
    <s v="NON_ZERO"/>
    <s v="SMALL_BASE"/>
    <s v="SUSPICIOUS_PERFECTION"/>
    <n v="3.8225848040438776E-5"/>
    <x v="0"/>
    <x v="0"/>
  </r>
  <r>
    <n v="12"/>
    <n v="2022"/>
    <x v="4"/>
    <x v="2"/>
    <n v="55"/>
    <n v="55"/>
    <n v="1"/>
    <n v="0"/>
    <m/>
    <s v="NON_ZERO"/>
    <s v="SMALL_BASE"/>
    <s v="SUSPICIOUS_PERFECTION"/>
    <n v="3.8225848040438776E-5"/>
    <x v="1"/>
    <x v="0"/>
  </r>
  <r>
    <n v="12"/>
    <n v="2022"/>
    <x v="4"/>
    <x v="2"/>
    <n v="55"/>
    <n v="55"/>
    <n v="1"/>
    <n v="0"/>
    <m/>
    <s v="NON_ZERO"/>
    <s v="SMALL_BASE"/>
    <s v="SUSPICIOUS_PERFECTION"/>
    <n v="3.8225848040438776E-5"/>
    <x v="2"/>
    <x v="0"/>
  </r>
  <r>
    <n v="12"/>
    <n v="2022"/>
    <x v="4"/>
    <x v="3"/>
    <n v="89637"/>
    <n v="89317"/>
    <n v="0.99643004562847937"/>
    <n v="3.5699543715206339E-3"/>
    <m/>
    <s v="NON_ZERO"/>
    <s v="VALID_BASE"/>
    <s v="NORMAL"/>
    <n v="6.2299097105469284E-2"/>
    <x v="0"/>
    <x v="0"/>
  </r>
  <r>
    <n v="12"/>
    <n v="2022"/>
    <x v="4"/>
    <x v="3"/>
    <n v="89637"/>
    <n v="89317"/>
    <n v="0.99643004562847937"/>
    <n v="3.5699543715206339E-3"/>
    <m/>
    <s v="NON_ZERO"/>
    <s v="VALID_BASE"/>
    <s v="NORMAL"/>
    <n v="6.2299097105469284E-2"/>
    <x v="1"/>
    <x v="0"/>
  </r>
  <r>
    <n v="12"/>
    <n v="2022"/>
    <x v="4"/>
    <x v="3"/>
    <n v="89637"/>
    <n v="89317"/>
    <n v="0.99643004562847937"/>
    <n v="3.5699543715206339E-3"/>
    <m/>
    <s v="NON_ZERO"/>
    <s v="VALID_BASE"/>
    <s v="NORMAL"/>
    <n v="6.2299097105469284E-2"/>
    <x v="2"/>
    <x v="0"/>
  </r>
  <r>
    <n v="12"/>
    <n v="2022"/>
    <x v="4"/>
    <x v="4"/>
    <n v="2549"/>
    <n v="2537"/>
    <n v="0.99529227147901134"/>
    <n v="4.7077285209886632E-3"/>
    <m/>
    <s v="NON_ZERO"/>
    <s v="VALID_BASE"/>
    <s v="NORMAL"/>
    <n v="1.771594302819608E-3"/>
    <x v="0"/>
    <x v="0"/>
  </r>
  <r>
    <n v="12"/>
    <n v="2022"/>
    <x v="4"/>
    <x v="4"/>
    <n v="2549"/>
    <n v="2537"/>
    <n v="0.99529227147901134"/>
    <n v="4.7077285209886632E-3"/>
    <m/>
    <s v="NON_ZERO"/>
    <s v="VALID_BASE"/>
    <s v="NORMAL"/>
    <n v="1.771594302819608E-3"/>
    <x v="1"/>
    <x v="0"/>
  </r>
  <r>
    <n v="12"/>
    <n v="2022"/>
    <x v="4"/>
    <x v="4"/>
    <n v="2549"/>
    <n v="2537"/>
    <n v="0.99529227147901134"/>
    <n v="4.7077285209886632E-3"/>
    <m/>
    <s v="NON_ZERO"/>
    <s v="VALID_BASE"/>
    <s v="NORMAL"/>
    <n v="1.771594302819608E-3"/>
    <x v="2"/>
    <x v="0"/>
  </r>
  <r>
    <n v="12"/>
    <n v="2022"/>
    <x v="4"/>
    <x v="5"/>
    <n v="5861"/>
    <n v="5844"/>
    <n v="0.99709947108002051"/>
    <n v="2.9005289199794948E-3"/>
    <m/>
    <s v="NON_ZERO"/>
    <s v="VALID_BASE"/>
    <s v="NORMAL"/>
    <n v="4.0734853702729399E-3"/>
    <x v="0"/>
    <x v="0"/>
  </r>
  <r>
    <n v="12"/>
    <n v="2022"/>
    <x v="4"/>
    <x v="5"/>
    <n v="5861"/>
    <n v="5844"/>
    <n v="0.99709947108002051"/>
    <n v="2.9005289199794948E-3"/>
    <m/>
    <s v="NON_ZERO"/>
    <s v="VALID_BASE"/>
    <s v="NORMAL"/>
    <n v="4.0734853702729399E-3"/>
    <x v="1"/>
    <x v="0"/>
  </r>
  <r>
    <n v="12"/>
    <n v="2022"/>
    <x v="4"/>
    <x v="5"/>
    <n v="5861"/>
    <n v="5844"/>
    <n v="0.99709947108002051"/>
    <n v="2.9005289199794948E-3"/>
    <m/>
    <s v="NON_ZERO"/>
    <s v="VALID_BASE"/>
    <s v="NORMAL"/>
    <n v="4.0734853702729399E-3"/>
    <x v="2"/>
    <x v="0"/>
  </r>
  <r>
    <n v="12"/>
    <n v="2022"/>
    <x v="5"/>
    <x v="0"/>
    <n v="0"/>
    <n v="0"/>
    <m/>
    <m/>
    <s v="ABSENT"/>
    <s v="ABSENT"/>
    <s v="ABSENT_BASE"/>
    <s v="ABSENT"/>
    <n v="0"/>
    <x v="0"/>
    <x v="0"/>
  </r>
  <r>
    <n v="12"/>
    <n v="2022"/>
    <x v="5"/>
    <x v="0"/>
    <n v="0"/>
    <n v="0"/>
    <m/>
    <m/>
    <s v="ABSENT"/>
    <s v="ABSENT"/>
    <s v="ABSENT_BASE"/>
    <s v="ABSENT"/>
    <n v="0"/>
    <x v="1"/>
    <x v="0"/>
  </r>
  <r>
    <n v="12"/>
    <n v="2022"/>
    <x v="5"/>
    <x v="0"/>
    <n v="0"/>
    <n v="0"/>
    <m/>
    <m/>
    <s v="ABSENT"/>
    <s v="ABSENT"/>
    <s v="ABSENT_BASE"/>
    <s v="ABSENT"/>
    <n v="0"/>
    <x v="2"/>
    <x v="1"/>
  </r>
  <r>
    <n v="12"/>
    <n v="2022"/>
    <x v="5"/>
    <x v="1"/>
    <n v="3565"/>
    <n v="3552"/>
    <n v="0.99635343618513328"/>
    <n v="3.6465638148667212E-3"/>
    <m/>
    <s v="NON_ZERO"/>
    <s v="VALID_BASE"/>
    <s v="NORMAL"/>
    <n v="2.4777299684393497E-3"/>
    <x v="0"/>
    <x v="0"/>
  </r>
  <r>
    <n v="12"/>
    <n v="2022"/>
    <x v="5"/>
    <x v="1"/>
    <n v="3565"/>
    <n v="3552"/>
    <n v="0.99635343618513328"/>
    <n v="3.6465638148667212E-3"/>
    <m/>
    <s v="NON_ZERO"/>
    <s v="VALID_BASE"/>
    <s v="NORMAL"/>
    <n v="2.4777299684393497E-3"/>
    <x v="1"/>
    <x v="0"/>
  </r>
  <r>
    <n v="12"/>
    <n v="2022"/>
    <x v="5"/>
    <x v="1"/>
    <n v="3565"/>
    <n v="3552"/>
    <n v="0.99635343618513328"/>
    <n v="3.6465638148667212E-3"/>
    <m/>
    <s v="NON_ZERO"/>
    <s v="VALID_BASE"/>
    <s v="NORMAL"/>
    <n v="2.4777299684393497E-3"/>
    <x v="2"/>
    <x v="0"/>
  </r>
  <r>
    <n v="12"/>
    <n v="2022"/>
    <x v="5"/>
    <x v="2"/>
    <n v="0"/>
    <n v="0"/>
    <m/>
    <m/>
    <s v="ABSENT"/>
    <s v="ABSENT"/>
    <s v="ABSENT_BASE"/>
    <s v="ABSENT"/>
    <n v="0"/>
    <x v="0"/>
    <x v="0"/>
  </r>
  <r>
    <n v="12"/>
    <n v="2022"/>
    <x v="5"/>
    <x v="2"/>
    <n v="0"/>
    <n v="0"/>
    <m/>
    <m/>
    <s v="ABSENT"/>
    <s v="ABSENT"/>
    <s v="ABSENT_BASE"/>
    <s v="ABSENT"/>
    <n v="0"/>
    <x v="1"/>
    <x v="0"/>
  </r>
  <r>
    <n v="12"/>
    <n v="2022"/>
    <x v="5"/>
    <x v="2"/>
    <n v="0"/>
    <n v="0"/>
    <m/>
    <m/>
    <s v="ABSENT"/>
    <s v="ABSENT"/>
    <s v="ABSENT_BASE"/>
    <s v="ABSENT"/>
    <n v="0"/>
    <x v="2"/>
    <x v="1"/>
  </r>
  <r>
    <n v="12"/>
    <n v="2022"/>
    <x v="5"/>
    <x v="3"/>
    <n v="67799"/>
    <n v="67700"/>
    <n v="0.99853980147199817"/>
    <n v="1.4601985280018326E-3"/>
    <m/>
    <s v="NON_ZERO"/>
    <s v="VALID_BASE"/>
    <s v="NORMAL"/>
    <n v="4.7121350387158339E-2"/>
    <x v="0"/>
    <x v="0"/>
  </r>
  <r>
    <n v="12"/>
    <n v="2022"/>
    <x v="5"/>
    <x v="3"/>
    <n v="67799"/>
    <n v="67700"/>
    <n v="0.99853980147199817"/>
    <n v="1.4601985280018326E-3"/>
    <m/>
    <s v="NON_ZERO"/>
    <s v="VALID_BASE"/>
    <s v="NORMAL"/>
    <n v="4.7121350387158339E-2"/>
    <x v="1"/>
    <x v="0"/>
  </r>
  <r>
    <n v="12"/>
    <n v="2022"/>
    <x v="5"/>
    <x v="3"/>
    <n v="67799"/>
    <n v="67700"/>
    <n v="0.99853980147199817"/>
    <n v="1.4601985280018326E-3"/>
    <m/>
    <s v="NON_ZERO"/>
    <s v="VALID_BASE"/>
    <s v="NORMAL"/>
    <n v="4.7121350387158339E-2"/>
    <x v="2"/>
    <x v="0"/>
  </r>
  <r>
    <n v="12"/>
    <n v="2022"/>
    <x v="5"/>
    <x v="4"/>
    <n v="1646"/>
    <n v="1642"/>
    <n v="0.99756986634264888"/>
    <n v="2.430133657351119E-3"/>
    <m/>
    <s v="NON_ZERO"/>
    <s v="VALID_BASE"/>
    <s v="NORMAL"/>
    <n v="1.143995379537495E-3"/>
    <x v="0"/>
    <x v="0"/>
  </r>
  <r>
    <n v="12"/>
    <n v="2022"/>
    <x v="5"/>
    <x v="4"/>
    <n v="1646"/>
    <n v="1642"/>
    <n v="0.99756986634264888"/>
    <n v="2.430133657351119E-3"/>
    <m/>
    <s v="NON_ZERO"/>
    <s v="VALID_BASE"/>
    <s v="NORMAL"/>
    <n v="1.143995379537495E-3"/>
    <x v="1"/>
    <x v="0"/>
  </r>
  <r>
    <n v="12"/>
    <n v="2022"/>
    <x v="5"/>
    <x v="4"/>
    <n v="1646"/>
    <n v="1642"/>
    <n v="0.99756986634264888"/>
    <n v="2.430133657351119E-3"/>
    <m/>
    <s v="NON_ZERO"/>
    <s v="VALID_BASE"/>
    <s v="NORMAL"/>
    <n v="1.143995379537495E-3"/>
    <x v="2"/>
    <x v="0"/>
  </r>
  <r>
    <n v="12"/>
    <n v="2022"/>
    <x v="5"/>
    <x v="5"/>
    <n v="6713"/>
    <n v="6701"/>
    <n v="0.99821242365559359"/>
    <n v="1.7875763444064052E-3"/>
    <m/>
    <s v="NON_ZERO"/>
    <s v="VALID_BASE"/>
    <s v="NORMAL"/>
    <n v="4.6656385071902817E-3"/>
    <x v="0"/>
    <x v="0"/>
  </r>
  <r>
    <n v="12"/>
    <n v="2022"/>
    <x v="5"/>
    <x v="5"/>
    <n v="6713"/>
    <n v="6701"/>
    <n v="0.99821242365559359"/>
    <n v="1.7875763444064052E-3"/>
    <m/>
    <s v="NON_ZERO"/>
    <s v="VALID_BASE"/>
    <s v="NORMAL"/>
    <n v="4.6656385071902817E-3"/>
    <x v="1"/>
    <x v="0"/>
  </r>
  <r>
    <n v="12"/>
    <n v="2022"/>
    <x v="5"/>
    <x v="5"/>
    <n v="6713"/>
    <n v="6701"/>
    <n v="0.99821242365559359"/>
    <n v="1.7875763444064052E-3"/>
    <m/>
    <s v="NON_ZERO"/>
    <s v="VALID_BASE"/>
    <s v="NORMAL"/>
    <n v="4.6656385071902817E-3"/>
    <x v="2"/>
    <x v="0"/>
  </r>
  <r>
    <n v="12"/>
    <n v="2022"/>
    <x v="6"/>
    <x v="0"/>
    <n v="164"/>
    <n v="162"/>
    <n v="0.98780487804878048"/>
    <n v="1.2195121951219523E-2"/>
    <m/>
    <s v="NON_ZERO"/>
    <s v="VALID_BASE"/>
    <s v="NORMAL"/>
    <n v="1.1398252870239926E-4"/>
    <x v="0"/>
    <x v="0"/>
  </r>
  <r>
    <n v="12"/>
    <n v="2022"/>
    <x v="6"/>
    <x v="0"/>
    <n v="164"/>
    <n v="162"/>
    <n v="0.98780487804878048"/>
    <n v="1.2195121951219523E-2"/>
    <m/>
    <s v="NON_ZERO"/>
    <s v="VALID_BASE"/>
    <s v="NORMAL"/>
    <n v="1.1398252870239926E-4"/>
    <x v="1"/>
    <x v="0"/>
  </r>
  <r>
    <n v="12"/>
    <n v="2022"/>
    <x v="6"/>
    <x v="0"/>
    <n v="164"/>
    <n v="162"/>
    <n v="0.98780487804878048"/>
    <n v="1.2195121951219523E-2"/>
    <m/>
    <s v="NON_ZERO"/>
    <s v="VALID_BASE"/>
    <s v="NORMAL"/>
    <n v="1.1398252870239926E-4"/>
    <x v="2"/>
    <x v="0"/>
  </r>
  <r>
    <n v="12"/>
    <n v="2022"/>
    <x v="6"/>
    <x v="1"/>
    <n v="1555"/>
    <n v="1552"/>
    <n v="0.99807073954983927"/>
    <n v="1.9292604501607302E-3"/>
    <m/>
    <s v="NON_ZERO"/>
    <s v="VALID_BASE"/>
    <s v="NORMAL"/>
    <n v="1.0807489764160419E-3"/>
    <x v="0"/>
    <x v="0"/>
  </r>
  <r>
    <n v="12"/>
    <n v="2022"/>
    <x v="6"/>
    <x v="1"/>
    <n v="1555"/>
    <n v="1552"/>
    <n v="0.99807073954983927"/>
    <n v="1.9292604501607302E-3"/>
    <m/>
    <s v="NON_ZERO"/>
    <s v="VALID_BASE"/>
    <s v="NORMAL"/>
    <n v="1.0807489764160419E-3"/>
    <x v="1"/>
    <x v="0"/>
  </r>
  <r>
    <n v="12"/>
    <n v="2022"/>
    <x v="6"/>
    <x v="1"/>
    <n v="1555"/>
    <n v="1552"/>
    <n v="0.99807073954983927"/>
    <n v="1.9292604501607302E-3"/>
    <m/>
    <s v="NON_ZERO"/>
    <s v="VALID_BASE"/>
    <s v="NORMAL"/>
    <n v="1.0807489764160419E-3"/>
    <x v="2"/>
    <x v="0"/>
  </r>
  <r>
    <n v="12"/>
    <n v="2022"/>
    <x v="6"/>
    <x v="2"/>
    <n v="22"/>
    <n v="22"/>
    <n v="1"/>
    <n v="0"/>
    <m/>
    <s v="NON_ZERO"/>
    <s v="SMALL_BASE"/>
    <s v="SUSPICIOUS_PERFECTION"/>
    <n v="1.5290339216175512E-5"/>
    <x v="0"/>
    <x v="0"/>
  </r>
  <r>
    <n v="12"/>
    <n v="2022"/>
    <x v="6"/>
    <x v="2"/>
    <n v="22"/>
    <n v="22"/>
    <n v="1"/>
    <n v="0"/>
    <m/>
    <s v="NON_ZERO"/>
    <s v="SMALL_BASE"/>
    <s v="SUSPICIOUS_PERFECTION"/>
    <n v="1.5290339216175512E-5"/>
    <x v="1"/>
    <x v="0"/>
  </r>
  <r>
    <n v="12"/>
    <n v="2022"/>
    <x v="6"/>
    <x v="2"/>
    <n v="22"/>
    <n v="22"/>
    <n v="1"/>
    <n v="0"/>
    <m/>
    <s v="NON_ZERO"/>
    <s v="SMALL_BASE"/>
    <s v="SUSPICIOUS_PERFECTION"/>
    <n v="1.5290339216175512E-5"/>
    <x v="2"/>
    <x v="0"/>
  </r>
  <r>
    <n v="12"/>
    <n v="2022"/>
    <x v="6"/>
    <x v="3"/>
    <n v="62473"/>
    <n v="62094"/>
    <n v="0.99393337921982294"/>
    <n v="6.0666207801770566E-3"/>
    <m/>
    <s v="NON_ZERO"/>
    <s v="VALID_BASE"/>
    <s v="NORMAL"/>
    <n v="4.3419698266006029E-2"/>
    <x v="0"/>
    <x v="0"/>
  </r>
  <r>
    <n v="12"/>
    <n v="2022"/>
    <x v="6"/>
    <x v="3"/>
    <n v="62473"/>
    <n v="62094"/>
    <n v="0.99393337921982294"/>
    <n v="6.0666207801770566E-3"/>
    <m/>
    <s v="NON_ZERO"/>
    <s v="VALID_BASE"/>
    <s v="NORMAL"/>
    <n v="4.3419698266006029E-2"/>
    <x v="1"/>
    <x v="0"/>
  </r>
  <r>
    <n v="12"/>
    <n v="2022"/>
    <x v="6"/>
    <x v="3"/>
    <n v="62473"/>
    <n v="62094"/>
    <n v="0.99393337921982294"/>
    <n v="6.0666207801770566E-3"/>
    <m/>
    <s v="NON_ZERO"/>
    <s v="VALID_BASE"/>
    <s v="NORMAL"/>
    <n v="4.3419698266006029E-2"/>
    <x v="2"/>
    <x v="0"/>
  </r>
  <r>
    <n v="12"/>
    <n v="2022"/>
    <x v="6"/>
    <x v="4"/>
    <n v="1120"/>
    <n v="1117"/>
    <n v="0.99732142857142858"/>
    <n v="2.6785714285714191E-3"/>
    <m/>
    <s v="NON_ZERO"/>
    <s v="VALID_BASE"/>
    <s v="NORMAL"/>
    <n v="7.7841726918711693E-4"/>
    <x v="0"/>
    <x v="0"/>
  </r>
  <r>
    <n v="12"/>
    <n v="2022"/>
    <x v="6"/>
    <x v="4"/>
    <n v="1120"/>
    <n v="1117"/>
    <n v="0.99732142857142858"/>
    <n v="2.6785714285714191E-3"/>
    <m/>
    <s v="NON_ZERO"/>
    <s v="VALID_BASE"/>
    <s v="NORMAL"/>
    <n v="7.7841726918711693E-4"/>
    <x v="1"/>
    <x v="0"/>
  </r>
  <r>
    <n v="12"/>
    <n v="2022"/>
    <x v="6"/>
    <x v="4"/>
    <n v="1120"/>
    <n v="1117"/>
    <n v="0.99732142857142858"/>
    <n v="2.6785714285714191E-3"/>
    <m/>
    <s v="NON_ZERO"/>
    <s v="VALID_BASE"/>
    <s v="NORMAL"/>
    <n v="7.7841726918711693E-4"/>
    <x v="2"/>
    <x v="0"/>
  </r>
  <r>
    <n v="12"/>
    <n v="2022"/>
    <x v="6"/>
    <x v="5"/>
    <n v="4312"/>
    <n v="4307"/>
    <n v="0.99884044526901672"/>
    <n v="1.159554730983281E-3"/>
    <m/>
    <s v="NON_ZERO"/>
    <s v="VALID_BASE"/>
    <s v="NORMAL"/>
    <n v="2.9969064863704003E-3"/>
    <x v="0"/>
    <x v="0"/>
  </r>
  <r>
    <n v="12"/>
    <n v="2022"/>
    <x v="6"/>
    <x v="5"/>
    <n v="4312"/>
    <n v="4307"/>
    <n v="0.99884044526901672"/>
    <n v="1.159554730983281E-3"/>
    <m/>
    <s v="NON_ZERO"/>
    <s v="VALID_BASE"/>
    <s v="NORMAL"/>
    <n v="2.9969064863704003E-3"/>
    <x v="1"/>
    <x v="0"/>
  </r>
  <r>
    <n v="12"/>
    <n v="2022"/>
    <x v="6"/>
    <x v="5"/>
    <n v="4312"/>
    <n v="4307"/>
    <n v="0.99884044526901672"/>
    <n v="1.159554730983281E-3"/>
    <m/>
    <s v="NON_ZERO"/>
    <s v="VALID_BASE"/>
    <s v="NORMAL"/>
    <n v="2.9969064863704003E-3"/>
    <x v="2"/>
    <x v="0"/>
  </r>
  <r>
    <n v="12"/>
    <n v="2022"/>
    <x v="7"/>
    <x v="0"/>
    <n v="0"/>
    <n v="0"/>
    <m/>
    <m/>
    <s v="ABSENT"/>
    <s v="ABSENT"/>
    <s v="ABSENT_BASE"/>
    <s v="ABSENT"/>
    <n v="0"/>
    <x v="0"/>
    <x v="0"/>
  </r>
  <r>
    <n v="12"/>
    <n v="2022"/>
    <x v="7"/>
    <x v="0"/>
    <n v="0"/>
    <n v="0"/>
    <m/>
    <m/>
    <s v="ABSENT"/>
    <s v="ABSENT"/>
    <s v="ABSENT_BASE"/>
    <s v="ABSENT"/>
    <n v="0"/>
    <x v="1"/>
    <x v="0"/>
  </r>
  <r>
    <n v="12"/>
    <n v="2022"/>
    <x v="7"/>
    <x v="0"/>
    <n v="0"/>
    <n v="0"/>
    <m/>
    <m/>
    <s v="ABSENT"/>
    <s v="ABSENT"/>
    <s v="ABSENT_BASE"/>
    <s v="ABSENT"/>
    <n v="0"/>
    <x v="2"/>
    <x v="1"/>
  </r>
  <r>
    <n v="12"/>
    <n v="2022"/>
    <x v="7"/>
    <x v="1"/>
    <n v="100216"/>
    <n v="99566"/>
    <n v="0.99351400973896387"/>
    <n v="6.4859902610361342E-3"/>
    <m/>
    <s v="NON_ZERO"/>
    <s v="VALID_BASE"/>
    <s v="NORMAL"/>
    <n v="6.965166522219296E-2"/>
    <x v="0"/>
    <x v="0"/>
  </r>
  <r>
    <n v="12"/>
    <n v="2022"/>
    <x v="7"/>
    <x v="1"/>
    <n v="100216"/>
    <n v="99566"/>
    <n v="0.99351400973896387"/>
    <n v="6.4859902610361342E-3"/>
    <m/>
    <s v="NON_ZERO"/>
    <s v="VALID_BASE"/>
    <s v="NORMAL"/>
    <n v="6.965166522219296E-2"/>
    <x v="1"/>
    <x v="0"/>
  </r>
  <r>
    <n v="12"/>
    <n v="2022"/>
    <x v="7"/>
    <x v="1"/>
    <n v="100216"/>
    <n v="99566"/>
    <n v="0.99351400973896387"/>
    <n v="6.4859902610361342E-3"/>
    <m/>
    <s v="NON_ZERO"/>
    <s v="VALID_BASE"/>
    <s v="NORMAL"/>
    <n v="6.965166522219296E-2"/>
    <x v="2"/>
    <x v="0"/>
  </r>
  <r>
    <n v="12"/>
    <n v="2022"/>
    <x v="7"/>
    <x v="2"/>
    <n v="6420"/>
    <n v="6393"/>
    <n v="0.99579439252336444"/>
    <n v="4.2056074766355644E-3"/>
    <m/>
    <s v="NON_ZERO"/>
    <s v="VALID_BASE"/>
    <s v="NORMAL"/>
    <n v="4.4619989894475812E-3"/>
    <x v="0"/>
    <x v="0"/>
  </r>
  <r>
    <n v="12"/>
    <n v="2022"/>
    <x v="7"/>
    <x v="2"/>
    <n v="6420"/>
    <n v="6393"/>
    <n v="0.99579439252336444"/>
    <n v="4.2056074766355644E-3"/>
    <m/>
    <s v="NON_ZERO"/>
    <s v="VALID_BASE"/>
    <s v="NORMAL"/>
    <n v="4.4619989894475812E-3"/>
    <x v="1"/>
    <x v="0"/>
  </r>
  <r>
    <n v="12"/>
    <n v="2022"/>
    <x v="7"/>
    <x v="2"/>
    <n v="6420"/>
    <n v="6393"/>
    <n v="0.99579439252336444"/>
    <n v="4.2056074766355644E-3"/>
    <m/>
    <s v="NON_ZERO"/>
    <s v="VALID_BASE"/>
    <s v="NORMAL"/>
    <n v="4.4619989894475812E-3"/>
    <x v="2"/>
    <x v="0"/>
  </r>
  <r>
    <n v="12"/>
    <n v="2022"/>
    <x v="7"/>
    <x v="3"/>
    <n v="64953"/>
    <n v="64774"/>
    <n v="0.99724416116268688"/>
    <n v="2.7558388373131182E-3"/>
    <m/>
    <s v="NON_ZERO"/>
    <s v="VALID_BASE"/>
    <s v="NORMAL"/>
    <n v="4.5143336504920362E-2"/>
    <x v="0"/>
    <x v="0"/>
  </r>
  <r>
    <n v="12"/>
    <n v="2022"/>
    <x v="7"/>
    <x v="3"/>
    <n v="64953"/>
    <n v="64774"/>
    <n v="0.99724416116268688"/>
    <n v="2.7558388373131182E-3"/>
    <m/>
    <s v="NON_ZERO"/>
    <s v="VALID_BASE"/>
    <s v="NORMAL"/>
    <n v="4.5143336504920362E-2"/>
    <x v="1"/>
    <x v="0"/>
  </r>
  <r>
    <n v="12"/>
    <n v="2022"/>
    <x v="7"/>
    <x v="3"/>
    <n v="64953"/>
    <n v="64774"/>
    <n v="0.99724416116268688"/>
    <n v="2.7558388373131182E-3"/>
    <m/>
    <s v="NON_ZERO"/>
    <s v="VALID_BASE"/>
    <s v="NORMAL"/>
    <n v="4.5143336504920362E-2"/>
    <x v="2"/>
    <x v="0"/>
  </r>
  <r>
    <n v="12"/>
    <n v="2022"/>
    <x v="7"/>
    <x v="4"/>
    <n v="81"/>
    <n v="81"/>
    <n v="1"/>
    <n v="0"/>
    <m/>
    <s v="NON_ZERO"/>
    <s v="SMALL_BASE"/>
    <s v="SUSPICIOUS_PERFECTION"/>
    <n v="5.6296248932282561E-5"/>
    <x v="0"/>
    <x v="0"/>
  </r>
  <r>
    <n v="12"/>
    <n v="2022"/>
    <x v="7"/>
    <x v="4"/>
    <n v="81"/>
    <n v="81"/>
    <n v="1"/>
    <n v="0"/>
    <m/>
    <s v="NON_ZERO"/>
    <s v="SMALL_BASE"/>
    <s v="SUSPICIOUS_PERFECTION"/>
    <n v="5.6296248932282561E-5"/>
    <x v="1"/>
    <x v="0"/>
  </r>
  <r>
    <n v="12"/>
    <n v="2022"/>
    <x v="7"/>
    <x v="4"/>
    <n v="81"/>
    <n v="81"/>
    <n v="1"/>
    <n v="0"/>
    <m/>
    <s v="NON_ZERO"/>
    <s v="SMALL_BASE"/>
    <s v="SUSPICIOUS_PERFECTION"/>
    <n v="5.6296248932282561E-5"/>
    <x v="2"/>
    <x v="0"/>
  </r>
  <r>
    <n v="12"/>
    <n v="2022"/>
    <x v="7"/>
    <x v="5"/>
    <n v="6669"/>
    <n v="6661"/>
    <n v="0.99880041985305146"/>
    <n v="1.1995801469485423E-3"/>
    <m/>
    <s v="NON_ZERO"/>
    <s v="VALID_BASE"/>
    <s v="NORMAL"/>
    <n v="4.6350578287579309E-3"/>
    <x v="0"/>
    <x v="0"/>
  </r>
  <r>
    <n v="12"/>
    <n v="2022"/>
    <x v="7"/>
    <x v="5"/>
    <n v="6669"/>
    <n v="6661"/>
    <n v="0.99880041985305146"/>
    <n v="1.1995801469485423E-3"/>
    <m/>
    <s v="NON_ZERO"/>
    <s v="VALID_BASE"/>
    <s v="NORMAL"/>
    <n v="4.6350578287579309E-3"/>
    <x v="1"/>
    <x v="0"/>
  </r>
  <r>
    <n v="12"/>
    <n v="2022"/>
    <x v="7"/>
    <x v="5"/>
    <n v="6669"/>
    <n v="6661"/>
    <n v="0.99880041985305146"/>
    <n v="1.1995801469485423E-3"/>
    <m/>
    <s v="NON_ZERO"/>
    <s v="VALID_BASE"/>
    <s v="NORMAL"/>
    <n v="4.6350578287579309E-3"/>
    <x v="2"/>
    <x v="0"/>
  </r>
  <r>
    <n v="12"/>
    <n v="2022"/>
    <x v="8"/>
    <x v="0"/>
    <n v="0"/>
    <n v="0"/>
    <m/>
    <m/>
    <s v="ABSENT"/>
    <s v="ABSENT"/>
    <s v="ABSENT_BASE"/>
    <s v="ABSENT"/>
    <n v="0"/>
    <x v="0"/>
    <x v="0"/>
  </r>
  <r>
    <n v="12"/>
    <n v="2022"/>
    <x v="8"/>
    <x v="0"/>
    <n v="0"/>
    <n v="0"/>
    <m/>
    <m/>
    <s v="ABSENT"/>
    <s v="ABSENT"/>
    <s v="ABSENT_BASE"/>
    <s v="ABSENT"/>
    <n v="0"/>
    <x v="1"/>
    <x v="0"/>
  </r>
  <r>
    <n v="12"/>
    <n v="2022"/>
    <x v="8"/>
    <x v="0"/>
    <n v="0"/>
    <n v="0"/>
    <m/>
    <m/>
    <s v="ABSENT"/>
    <s v="ABSENT"/>
    <s v="ABSENT_BASE"/>
    <s v="ABSENT"/>
    <n v="0"/>
    <x v="2"/>
    <x v="1"/>
  </r>
  <r>
    <n v="12"/>
    <n v="2022"/>
    <x v="8"/>
    <x v="1"/>
    <n v="69504"/>
    <n v="69109"/>
    <n v="0.99431687384898715"/>
    <n v="5.6831261510128517E-3"/>
    <m/>
    <s v="NON_ZERO"/>
    <s v="VALID_BASE"/>
    <s v="NORMAL"/>
    <n v="4.8306351676411945E-2"/>
    <x v="0"/>
    <x v="0"/>
  </r>
  <r>
    <n v="12"/>
    <n v="2022"/>
    <x v="8"/>
    <x v="1"/>
    <n v="69504"/>
    <n v="69109"/>
    <n v="0.99431687384898715"/>
    <n v="5.6831261510128517E-3"/>
    <m/>
    <s v="NON_ZERO"/>
    <s v="VALID_BASE"/>
    <s v="NORMAL"/>
    <n v="4.8306351676411945E-2"/>
    <x v="1"/>
    <x v="0"/>
  </r>
  <r>
    <n v="12"/>
    <n v="2022"/>
    <x v="8"/>
    <x v="1"/>
    <n v="69504"/>
    <n v="69109"/>
    <n v="0.99431687384898715"/>
    <n v="5.6831261510128517E-3"/>
    <m/>
    <s v="NON_ZERO"/>
    <s v="VALID_BASE"/>
    <s v="NORMAL"/>
    <n v="4.8306351676411945E-2"/>
    <x v="2"/>
    <x v="0"/>
  </r>
  <r>
    <n v="12"/>
    <n v="2022"/>
    <x v="8"/>
    <x v="2"/>
    <n v="7775"/>
    <n v="7743"/>
    <n v="0.99588424437299039"/>
    <n v="4.1157556270096096E-3"/>
    <m/>
    <s v="NON_ZERO"/>
    <s v="VALID_BASE"/>
    <s v="NORMAL"/>
    <n v="5.4037448820802086E-3"/>
    <x v="0"/>
    <x v="0"/>
  </r>
  <r>
    <n v="12"/>
    <n v="2022"/>
    <x v="8"/>
    <x v="2"/>
    <n v="7775"/>
    <n v="7743"/>
    <n v="0.99588424437299039"/>
    <n v="4.1157556270096096E-3"/>
    <m/>
    <s v="NON_ZERO"/>
    <s v="VALID_BASE"/>
    <s v="NORMAL"/>
    <n v="5.4037448820802086E-3"/>
    <x v="1"/>
    <x v="0"/>
  </r>
  <r>
    <n v="12"/>
    <n v="2022"/>
    <x v="8"/>
    <x v="2"/>
    <n v="7775"/>
    <n v="7743"/>
    <n v="0.99588424437299039"/>
    <n v="4.1157556270096096E-3"/>
    <m/>
    <s v="NON_ZERO"/>
    <s v="VALID_BASE"/>
    <s v="NORMAL"/>
    <n v="5.4037448820802086E-3"/>
    <x v="2"/>
    <x v="0"/>
  </r>
  <r>
    <n v="12"/>
    <n v="2022"/>
    <x v="8"/>
    <x v="3"/>
    <n v="40461"/>
    <n v="40291"/>
    <n v="0.99579842317293199"/>
    <n v="4.2015768270680098E-3"/>
    <m/>
    <s v="NON_ZERO"/>
    <s v="VALID_BASE"/>
    <s v="NORMAL"/>
    <n v="2.8121018864803515E-2"/>
    <x v="0"/>
    <x v="0"/>
  </r>
  <r>
    <n v="12"/>
    <n v="2022"/>
    <x v="8"/>
    <x v="3"/>
    <n v="40461"/>
    <n v="40291"/>
    <n v="0.99579842317293199"/>
    <n v="4.2015768270680098E-3"/>
    <m/>
    <s v="NON_ZERO"/>
    <s v="VALID_BASE"/>
    <s v="NORMAL"/>
    <n v="2.8121018864803515E-2"/>
    <x v="1"/>
    <x v="0"/>
  </r>
  <r>
    <n v="12"/>
    <n v="2022"/>
    <x v="8"/>
    <x v="3"/>
    <n v="40461"/>
    <n v="40291"/>
    <n v="0.99579842317293199"/>
    <n v="4.2015768270680098E-3"/>
    <m/>
    <s v="NON_ZERO"/>
    <s v="VALID_BASE"/>
    <s v="NORMAL"/>
    <n v="2.8121018864803515E-2"/>
    <x v="2"/>
    <x v="0"/>
  </r>
  <r>
    <n v="12"/>
    <n v="2022"/>
    <x v="8"/>
    <x v="4"/>
    <n v="65"/>
    <n v="65"/>
    <n v="1"/>
    <n v="0"/>
    <m/>
    <s v="NON_ZERO"/>
    <s v="SMALL_BASE"/>
    <s v="SUSPICIOUS_PERFECTION"/>
    <n v="4.5176002229609464E-5"/>
    <x v="0"/>
    <x v="0"/>
  </r>
  <r>
    <n v="12"/>
    <n v="2022"/>
    <x v="8"/>
    <x v="4"/>
    <n v="65"/>
    <n v="65"/>
    <n v="1"/>
    <n v="0"/>
    <m/>
    <s v="NON_ZERO"/>
    <s v="SMALL_BASE"/>
    <s v="SUSPICIOUS_PERFECTION"/>
    <n v="4.5176002229609464E-5"/>
    <x v="1"/>
    <x v="0"/>
  </r>
  <r>
    <n v="12"/>
    <n v="2022"/>
    <x v="8"/>
    <x v="4"/>
    <n v="65"/>
    <n v="65"/>
    <n v="1"/>
    <n v="0"/>
    <m/>
    <s v="NON_ZERO"/>
    <s v="SMALL_BASE"/>
    <s v="SUSPICIOUS_PERFECTION"/>
    <n v="4.5176002229609464E-5"/>
    <x v="2"/>
    <x v="0"/>
  </r>
  <r>
    <n v="12"/>
    <n v="2022"/>
    <x v="8"/>
    <x v="5"/>
    <n v="2872"/>
    <n v="2872"/>
    <n v="1"/>
    <n v="0"/>
    <m/>
    <s v="NON_ZERO"/>
    <s v="VALID_BASE"/>
    <s v="NORMAL"/>
    <n v="1.9960842831298212E-3"/>
    <x v="0"/>
    <x v="0"/>
  </r>
  <r>
    <n v="12"/>
    <n v="2022"/>
    <x v="8"/>
    <x v="5"/>
    <n v="2872"/>
    <n v="2872"/>
    <n v="1"/>
    <n v="0"/>
    <m/>
    <s v="NON_ZERO"/>
    <s v="VALID_BASE"/>
    <s v="NORMAL"/>
    <n v="1.9960842831298212E-3"/>
    <x v="1"/>
    <x v="0"/>
  </r>
  <r>
    <n v="12"/>
    <n v="2022"/>
    <x v="8"/>
    <x v="5"/>
    <n v="2872"/>
    <n v="2872"/>
    <n v="1"/>
    <n v="0"/>
    <m/>
    <s v="NON_ZERO"/>
    <s v="VALID_BASE"/>
    <s v="NORMAL"/>
    <n v="1.9960842831298212E-3"/>
    <x v="2"/>
    <x v="0"/>
  </r>
  <r>
    <n v="12"/>
    <n v="2022"/>
    <x v="9"/>
    <x v="0"/>
    <n v="0"/>
    <n v="0"/>
    <m/>
    <m/>
    <s v="ABSENT"/>
    <s v="ABSENT"/>
    <s v="ABSENT_BASE"/>
    <s v="ABSENT"/>
    <n v="0"/>
    <x v="0"/>
    <x v="0"/>
  </r>
  <r>
    <n v="12"/>
    <n v="2022"/>
    <x v="9"/>
    <x v="0"/>
    <n v="0"/>
    <n v="0"/>
    <m/>
    <m/>
    <s v="ABSENT"/>
    <s v="ABSENT"/>
    <s v="ABSENT_BASE"/>
    <s v="ABSENT"/>
    <n v="0"/>
    <x v="1"/>
    <x v="0"/>
  </r>
  <r>
    <n v="12"/>
    <n v="2022"/>
    <x v="9"/>
    <x v="0"/>
    <n v="0"/>
    <n v="0"/>
    <m/>
    <m/>
    <s v="ABSENT"/>
    <s v="ABSENT"/>
    <s v="ABSENT_BASE"/>
    <s v="ABSENT"/>
    <n v="0"/>
    <x v="2"/>
    <x v="1"/>
  </r>
  <r>
    <n v="12"/>
    <n v="2022"/>
    <x v="9"/>
    <x v="1"/>
    <n v="20672"/>
    <n v="20518"/>
    <n v="0.99255030959752322"/>
    <n v="7.4496904024767829E-3"/>
    <m/>
    <s v="NON_ZERO"/>
    <s v="VALID_BASE"/>
    <s v="NORMAL"/>
    <n v="1.4367358739853644E-2"/>
    <x v="0"/>
    <x v="0"/>
  </r>
  <r>
    <n v="12"/>
    <n v="2022"/>
    <x v="9"/>
    <x v="1"/>
    <n v="20672"/>
    <n v="20518"/>
    <n v="0.99255030959752322"/>
    <n v="7.4496904024767829E-3"/>
    <m/>
    <s v="NON_ZERO"/>
    <s v="VALID_BASE"/>
    <s v="NORMAL"/>
    <n v="1.4367358739853644E-2"/>
    <x v="1"/>
    <x v="0"/>
  </r>
  <r>
    <n v="12"/>
    <n v="2022"/>
    <x v="9"/>
    <x v="1"/>
    <n v="20672"/>
    <n v="20518"/>
    <n v="0.99255030959752322"/>
    <n v="7.4496904024767829E-3"/>
    <m/>
    <s v="NON_ZERO"/>
    <s v="VALID_BASE"/>
    <s v="NORMAL"/>
    <n v="1.4367358739853644E-2"/>
    <x v="2"/>
    <x v="0"/>
  </r>
  <r>
    <n v="12"/>
    <n v="2022"/>
    <x v="9"/>
    <x v="2"/>
    <n v="102"/>
    <n v="101"/>
    <n v="0.99019607843137258"/>
    <n v="9.8039215686274161E-3"/>
    <m/>
    <s v="NON_ZERO"/>
    <s v="VALID_BASE"/>
    <s v="NORMAL"/>
    <n v="7.0891572729541008E-5"/>
    <x v="0"/>
    <x v="0"/>
  </r>
  <r>
    <n v="12"/>
    <n v="2022"/>
    <x v="9"/>
    <x v="2"/>
    <n v="102"/>
    <n v="101"/>
    <n v="0.99019607843137258"/>
    <n v="9.8039215686274161E-3"/>
    <m/>
    <s v="NON_ZERO"/>
    <s v="VALID_BASE"/>
    <s v="NORMAL"/>
    <n v="7.0891572729541008E-5"/>
    <x v="1"/>
    <x v="0"/>
  </r>
  <r>
    <n v="12"/>
    <n v="2022"/>
    <x v="9"/>
    <x v="2"/>
    <n v="102"/>
    <n v="101"/>
    <n v="0.99019607843137258"/>
    <n v="9.8039215686274161E-3"/>
    <m/>
    <s v="NON_ZERO"/>
    <s v="VALID_BASE"/>
    <s v="NORMAL"/>
    <n v="7.0891572729541008E-5"/>
    <x v="2"/>
    <x v="0"/>
  </r>
  <r>
    <n v="12"/>
    <n v="2022"/>
    <x v="9"/>
    <x v="3"/>
    <n v="20768"/>
    <n v="20601"/>
    <n v="0.99195878274268101"/>
    <n v="8.0412172573189888E-3"/>
    <m/>
    <s v="NON_ZERO"/>
    <s v="VALID_BASE"/>
    <s v="NORMAL"/>
    <n v="1.4434080220069681E-2"/>
    <x v="0"/>
    <x v="0"/>
  </r>
  <r>
    <n v="12"/>
    <n v="2022"/>
    <x v="9"/>
    <x v="3"/>
    <n v="20768"/>
    <n v="20601"/>
    <n v="0.99195878274268101"/>
    <n v="8.0412172573189888E-3"/>
    <m/>
    <s v="NON_ZERO"/>
    <s v="VALID_BASE"/>
    <s v="NORMAL"/>
    <n v="1.4434080220069681E-2"/>
    <x v="1"/>
    <x v="0"/>
  </r>
  <r>
    <n v="12"/>
    <n v="2022"/>
    <x v="9"/>
    <x v="3"/>
    <n v="20768"/>
    <n v="20601"/>
    <n v="0.99195878274268101"/>
    <n v="8.0412172573189888E-3"/>
    <m/>
    <s v="NON_ZERO"/>
    <s v="VALID_BASE"/>
    <s v="NORMAL"/>
    <n v="1.4434080220069681E-2"/>
    <x v="2"/>
    <x v="0"/>
  </r>
  <r>
    <n v="12"/>
    <n v="2022"/>
    <x v="9"/>
    <x v="4"/>
    <n v="4536"/>
    <n v="4481"/>
    <n v="0.9878747795414462"/>
    <n v="1.2125220458553798E-2"/>
    <m/>
    <s v="NON_ZERO"/>
    <s v="VALID_BASE"/>
    <s v="NORMAL"/>
    <n v="3.1525899402078234E-3"/>
    <x v="0"/>
    <x v="0"/>
  </r>
  <r>
    <n v="12"/>
    <n v="2022"/>
    <x v="9"/>
    <x v="4"/>
    <n v="4536"/>
    <n v="4481"/>
    <n v="0.9878747795414462"/>
    <n v="1.2125220458553798E-2"/>
    <m/>
    <s v="NON_ZERO"/>
    <s v="VALID_BASE"/>
    <s v="NORMAL"/>
    <n v="3.1525899402078234E-3"/>
    <x v="1"/>
    <x v="0"/>
  </r>
  <r>
    <n v="12"/>
    <n v="2022"/>
    <x v="9"/>
    <x v="4"/>
    <n v="4536"/>
    <n v="4481"/>
    <n v="0.9878747795414462"/>
    <n v="1.2125220458553798E-2"/>
    <m/>
    <s v="NON_ZERO"/>
    <s v="VALID_BASE"/>
    <s v="NORMAL"/>
    <n v="3.1525899402078234E-3"/>
    <x v="2"/>
    <x v="0"/>
  </r>
  <r>
    <n v="12"/>
    <n v="2022"/>
    <x v="9"/>
    <x v="5"/>
    <n v="6071"/>
    <n v="6047"/>
    <n v="0.99604677977268985"/>
    <n v="3.9532202273101502E-3"/>
    <m/>
    <s v="NON_ZERO"/>
    <s v="VALID_BASE"/>
    <s v="NORMAL"/>
    <n v="4.2194386082455241E-3"/>
    <x v="0"/>
    <x v="0"/>
  </r>
  <r>
    <n v="12"/>
    <n v="2022"/>
    <x v="9"/>
    <x v="5"/>
    <n v="6071"/>
    <n v="6047"/>
    <n v="0.99604677977268985"/>
    <n v="3.9532202273101502E-3"/>
    <m/>
    <s v="NON_ZERO"/>
    <s v="VALID_BASE"/>
    <s v="NORMAL"/>
    <n v="4.2194386082455241E-3"/>
    <x v="1"/>
    <x v="0"/>
  </r>
  <r>
    <n v="12"/>
    <n v="2022"/>
    <x v="9"/>
    <x v="5"/>
    <n v="6071"/>
    <n v="6047"/>
    <n v="0.99604677977268985"/>
    <n v="3.9532202273101502E-3"/>
    <m/>
    <s v="NON_ZERO"/>
    <s v="VALID_BASE"/>
    <s v="NORMAL"/>
    <n v="4.2194386082455241E-3"/>
    <x v="2"/>
    <x v="0"/>
  </r>
  <r>
    <n v="12"/>
    <n v="2022"/>
    <x v="10"/>
    <x v="0"/>
    <n v="0"/>
    <n v="0"/>
    <m/>
    <m/>
    <s v="ABSENT"/>
    <s v="ABSENT"/>
    <s v="ABSENT_BASE"/>
    <s v="ABSENT"/>
    <n v="0"/>
    <x v="0"/>
    <x v="0"/>
  </r>
  <r>
    <n v="12"/>
    <n v="2022"/>
    <x v="10"/>
    <x v="0"/>
    <n v="0"/>
    <n v="0"/>
    <m/>
    <m/>
    <s v="ABSENT"/>
    <s v="ABSENT"/>
    <s v="ABSENT_BASE"/>
    <s v="ABSENT"/>
    <n v="0"/>
    <x v="1"/>
    <x v="0"/>
  </r>
  <r>
    <n v="12"/>
    <n v="2022"/>
    <x v="10"/>
    <x v="0"/>
    <n v="0"/>
    <n v="0"/>
    <m/>
    <m/>
    <s v="ABSENT"/>
    <s v="ABSENT"/>
    <s v="ABSENT_BASE"/>
    <s v="ABSENT"/>
    <n v="0"/>
    <x v="2"/>
    <x v="1"/>
  </r>
  <r>
    <n v="12"/>
    <n v="2022"/>
    <x v="10"/>
    <x v="1"/>
    <n v="278"/>
    <n v="272"/>
    <n v="0.97841726618705038"/>
    <n v="2.1582733812949617E-2"/>
    <m/>
    <s v="NON_ZERO"/>
    <s v="VALID_BASE"/>
    <s v="LOW_RATE"/>
    <n v="1.9321428645894509E-4"/>
    <x v="0"/>
    <x v="0"/>
  </r>
  <r>
    <n v="12"/>
    <n v="2022"/>
    <x v="10"/>
    <x v="1"/>
    <n v="278"/>
    <n v="272"/>
    <n v="0.97841726618705038"/>
    <n v="2.1582733812949617E-2"/>
    <m/>
    <s v="NON_ZERO"/>
    <s v="VALID_BASE"/>
    <s v="LOW_RATE"/>
    <n v="1.9321428645894509E-4"/>
    <x v="1"/>
    <x v="0"/>
  </r>
  <r>
    <n v="12"/>
    <n v="2022"/>
    <x v="10"/>
    <x v="1"/>
    <n v="278"/>
    <n v="272"/>
    <n v="0.97841726618705038"/>
    <n v="2.1582733812949617E-2"/>
    <m/>
    <s v="NON_ZERO"/>
    <s v="VALID_BASE"/>
    <s v="LOW_RATE"/>
    <n v="1.9321428645894509E-4"/>
    <x v="2"/>
    <x v="0"/>
  </r>
  <r>
    <n v="12"/>
    <n v="2022"/>
    <x v="10"/>
    <x v="2"/>
    <n v="921"/>
    <n v="920"/>
    <n v="0.998914223669924"/>
    <n v="1.0857763300760048E-3"/>
    <m/>
    <s v="NON_ZERO"/>
    <s v="VALID_BASE"/>
    <s v="NORMAL"/>
    <n v="6.4010920082262029E-4"/>
    <x v="0"/>
    <x v="0"/>
  </r>
  <r>
    <n v="12"/>
    <n v="2022"/>
    <x v="10"/>
    <x v="2"/>
    <n v="921"/>
    <n v="920"/>
    <n v="0.998914223669924"/>
    <n v="1.0857763300760048E-3"/>
    <m/>
    <s v="NON_ZERO"/>
    <s v="VALID_BASE"/>
    <s v="NORMAL"/>
    <n v="6.4010920082262029E-4"/>
    <x v="1"/>
    <x v="0"/>
  </r>
  <r>
    <n v="12"/>
    <n v="2022"/>
    <x v="10"/>
    <x v="2"/>
    <n v="921"/>
    <n v="920"/>
    <n v="0.998914223669924"/>
    <n v="1.0857763300760048E-3"/>
    <m/>
    <s v="NON_ZERO"/>
    <s v="VALID_BASE"/>
    <s v="NORMAL"/>
    <n v="6.4010920082262029E-4"/>
    <x v="2"/>
    <x v="0"/>
  </r>
  <r>
    <n v="12"/>
    <n v="2022"/>
    <x v="10"/>
    <x v="3"/>
    <n v="100688"/>
    <n v="99746"/>
    <n v="0.99064436675671386"/>
    <n v="9.3556332432861433E-3"/>
    <m/>
    <s v="NON_ZERO"/>
    <s v="VALID_BASE"/>
    <s v="NORMAL"/>
    <n v="6.9979712499921812E-2"/>
    <x v="0"/>
    <x v="0"/>
  </r>
  <r>
    <n v="12"/>
    <n v="2022"/>
    <x v="10"/>
    <x v="3"/>
    <n v="100688"/>
    <n v="99746"/>
    <n v="0.99064436675671386"/>
    <n v="9.3556332432861433E-3"/>
    <m/>
    <s v="NON_ZERO"/>
    <s v="VALID_BASE"/>
    <s v="NORMAL"/>
    <n v="6.9979712499921812E-2"/>
    <x v="1"/>
    <x v="0"/>
  </r>
  <r>
    <n v="12"/>
    <n v="2022"/>
    <x v="10"/>
    <x v="3"/>
    <n v="100688"/>
    <n v="99746"/>
    <n v="0.99064436675671386"/>
    <n v="9.3556332432861433E-3"/>
    <m/>
    <s v="NON_ZERO"/>
    <s v="VALID_BASE"/>
    <s v="NORMAL"/>
    <n v="6.9979712499921812E-2"/>
    <x v="2"/>
    <x v="0"/>
  </r>
  <r>
    <n v="12"/>
    <n v="2022"/>
    <x v="10"/>
    <x v="4"/>
    <n v="1069"/>
    <n v="1060"/>
    <n v="0.99158091674462112"/>
    <n v="8.4190832553788786E-3"/>
    <m/>
    <s v="NON_ZERO"/>
    <s v="VALID_BASE"/>
    <s v="NORMAL"/>
    <n v="7.4297148282234638E-4"/>
    <x v="0"/>
    <x v="0"/>
  </r>
  <r>
    <n v="12"/>
    <n v="2022"/>
    <x v="10"/>
    <x v="4"/>
    <n v="1069"/>
    <n v="1060"/>
    <n v="0.99158091674462112"/>
    <n v="8.4190832553788786E-3"/>
    <m/>
    <s v="NON_ZERO"/>
    <s v="VALID_BASE"/>
    <s v="NORMAL"/>
    <n v="7.4297148282234638E-4"/>
    <x v="1"/>
    <x v="0"/>
  </r>
  <r>
    <n v="12"/>
    <n v="2022"/>
    <x v="10"/>
    <x v="4"/>
    <n v="1069"/>
    <n v="1060"/>
    <n v="0.99158091674462112"/>
    <n v="8.4190832553788786E-3"/>
    <m/>
    <s v="NON_ZERO"/>
    <s v="VALID_BASE"/>
    <s v="NORMAL"/>
    <n v="7.4297148282234638E-4"/>
    <x v="2"/>
    <x v="0"/>
  </r>
  <r>
    <n v="12"/>
    <n v="2022"/>
    <x v="10"/>
    <x v="5"/>
    <n v="4480"/>
    <n v="4471"/>
    <n v="0.99799107142857146"/>
    <n v="2.0089285714285365E-3"/>
    <m/>
    <s v="NON_ZERO"/>
    <s v="VALID_BASE"/>
    <s v="NORMAL"/>
    <n v="3.1136690767484677E-3"/>
    <x v="0"/>
    <x v="0"/>
  </r>
  <r>
    <n v="12"/>
    <n v="2022"/>
    <x v="10"/>
    <x v="5"/>
    <n v="4480"/>
    <n v="4471"/>
    <n v="0.99799107142857146"/>
    <n v="2.0089285714285365E-3"/>
    <m/>
    <s v="NON_ZERO"/>
    <s v="VALID_BASE"/>
    <s v="NORMAL"/>
    <n v="3.1136690767484677E-3"/>
    <x v="1"/>
    <x v="0"/>
  </r>
  <r>
    <n v="12"/>
    <n v="2022"/>
    <x v="10"/>
    <x v="5"/>
    <n v="4480"/>
    <n v="4471"/>
    <n v="0.99799107142857146"/>
    <n v="2.0089285714285365E-3"/>
    <m/>
    <s v="NON_ZERO"/>
    <s v="VALID_BASE"/>
    <s v="NORMAL"/>
    <n v="3.1136690767484677E-3"/>
    <x v="2"/>
    <x v="0"/>
  </r>
  <r>
    <n v="12"/>
    <n v="2022"/>
    <x v="11"/>
    <x v="0"/>
    <n v="38"/>
    <n v="38"/>
    <n v="1"/>
    <n v="0"/>
    <m/>
    <s v="NON_ZERO"/>
    <s v="SMALL_BASE"/>
    <s v="SUSPICIOUS_PERFECTION"/>
    <n v="2.6410585918848608E-5"/>
    <x v="0"/>
    <x v="0"/>
  </r>
  <r>
    <n v="12"/>
    <n v="2022"/>
    <x v="11"/>
    <x v="0"/>
    <n v="38"/>
    <n v="38"/>
    <n v="1"/>
    <n v="0"/>
    <m/>
    <s v="NON_ZERO"/>
    <s v="SMALL_BASE"/>
    <s v="SUSPICIOUS_PERFECTION"/>
    <n v="2.6410585918848608E-5"/>
    <x v="1"/>
    <x v="0"/>
  </r>
  <r>
    <n v="12"/>
    <n v="2022"/>
    <x v="11"/>
    <x v="0"/>
    <n v="38"/>
    <n v="38"/>
    <n v="1"/>
    <n v="0"/>
    <m/>
    <s v="NON_ZERO"/>
    <s v="SMALL_BASE"/>
    <s v="SUSPICIOUS_PERFECTION"/>
    <n v="2.6410585918848608E-5"/>
    <x v="2"/>
    <x v="0"/>
  </r>
  <r>
    <n v="12"/>
    <n v="2022"/>
    <x v="11"/>
    <x v="1"/>
    <n v="357"/>
    <n v="357"/>
    <n v="1"/>
    <n v="0"/>
    <m/>
    <s v="NON_ZERO"/>
    <s v="VALID_BASE"/>
    <s v="NORMAL"/>
    <n v="2.4812050455339353E-4"/>
    <x v="0"/>
    <x v="0"/>
  </r>
  <r>
    <n v="12"/>
    <n v="2022"/>
    <x v="11"/>
    <x v="1"/>
    <n v="357"/>
    <n v="357"/>
    <n v="1"/>
    <n v="0"/>
    <m/>
    <s v="NON_ZERO"/>
    <s v="VALID_BASE"/>
    <s v="NORMAL"/>
    <n v="2.4812050455339353E-4"/>
    <x v="1"/>
    <x v="0"/>
  </r>
  <r>
    <n v="12"/>
    <n v="2022"/>
    <x v="11"/>
    <x v="1"/>
    <n v="357"/>
    <n v="357"/>
    <n v="1"/>
    <n v="0"/>
    <m/>
    <s v="NON_ZERO"/>
    <s v="VALID_BASE"/>
    <s v="NORMAL"/>
    <n v="2.4812050455339353E-4"/>
    <x v="2"/>
    <x v="0"/>
  </r>
  <r>
    <n v="12"/>
    <n v="2022"/>
    <x v="11"/>
    <x v="2"/>
    <n v="0"/>
    <n v="0"/>
    <m/>
    <m/>
    <s v="ABSENT"/>
    <s v="ABSENT"/>
    <s v="ABSENT_BASE"/>
    <s v="ABSENT"/>
    <n v="0"/>
    <x v="0"/>
    <x v="0"/>
  </r>
  <r>
    <n v="12"/>
    <n v="2022"/>
    <x v="11"/>
    <x v="2"/>
    <n v="0"/>
    <n v="0"/>
    <m/>
    <m/>
    <s v="ABSENT"/>
    <s v="ABSENT"/>
    <s v="ABSENT_BASE"/>
    <s v="ABSENT"/>
    <n v="0"/>
    <x v="1"/>
    <x v="0"/>
  </r>
  <r>
    <n v="12"/>
    <n v="2022"/>
    <x v="11"/>
    <x v="2"/>
    <n v="0"/>
    <n v="0"/>
    <m/>
    <m/>
    <s v="ABSENT"/>
    <s v="ABSENT"/>
    <s v="ABSENT_BASE"/>
    <s v="ABSENT"/>
    <n v="0"/>
    <x v="2"/>
    <x v="1"/>
  </r>
  <r>
    <n v="12"/>
    <n v="2022"/>
    <x v="11"/>
    <x v="3"/>
    <n v="118675"/>
    <n v="118046"/>
    <n v="0.99469981040657263"/>
    <n v="5.3001895934273735E-3"/>
    <m/>
    <s v="NON_ZERO"/>
    <s v="VALID_BASE"/>
    <s v="NORMAL"/>
    <n v="8.248095483998312E-2"/>
    <x v="0"/>
    <x v="0"/>
  </r>
  <r>
    <n v="12"/>
    <n v="2022"/>
    <x v="11"/>
    <x v="3"/>
    <n v="118675"/>
    <n v="118046"/>
    <n v="0.99469981040657263"/>
    <n v="5.3001895934273735E-3"/>
    <m/>
    <s v="NON_ZERO"/>
    <s v="VALID_BASE"/>
    <s v="NORMAL"/>
    <n v="8.248095483998312E-2"/>
    <x v="1"/>
    <x v="0"/>
  </r>
  <r>
    <n v="12"/>
    <n v="2022"/>
    <x v="11"/>
    <x v="3"/>
    <n v="118675"/>
    <n v="118046"/>
    <n v="0.99469981040657263"/>
    <n v="5.3001895934273735E-3"/>
    <m/>
    <s v="NON_ZERO"/>
    <s v="VALID_BASE"/>
    <s v="NORMAL"/>
    <n v="8.248095483998312E-2"/>
    <x v="2"/>
    <x v="0"/>
  </r>
  <r>
    <n v="12"/>
    <n v="2022"/>
    <x v="11"/>
    <x v="4"/>
    <n v="2231"/>
    <n v="2225"/>
    <n v="0.99731062303899598"/>
    <n v="2.6893769610040197E-3"/>
    <m/>
    <s v="NON_ZERO"/>
    <s v="VALID_BASE"/>
    <s v="NORMAL"/>
    <n v="1.5505793996039802E-3"/>
    <x v="0"/>
    <x v="0"/>
  </r>
  <r>
    <n v="12"/>
    <n v="2022"/>
    <x v="11"/>
    <x v="4"/>
    <n v="2231"/>
    <n v="2225"/>
    <n v="0.99731062303899598"/>
    <n v="2.6893769610040197E-3"/>
    <m/>
    <s v="NON_ZERO"/>
    <s v="VALID_BASE"/>
    <s v="NORMAL"/>
    <n v="1.5505793996039802E-3"/>
    <x v="1"/>
    <x v="0"/>
  </r>
  <r>
    <n v="12"/>
    <n v="2022"/>
    <x v="11"/>
    <x v="4"/>
    <n v="2231"/>
    <n v="2225"/>
    <n v="0.99731062303899598"/>
    <n v="2.6893769610040197E-3"/>
    <m/>
    <s v="NON_ZERO"/>
    <s v="VALID_BASE"/>
    <s v="NORMAL"/>
    <n v="1.5505793996039802E-3"/>
    <x v="2"/>
    <x v="0"/>
  </r>
  <r>
    <n v="12"/>
    <n v="2022"/>
    <x v="11"/>
    <x v="5"/>
    <n v="3615"/>
    <n v="3607"/>
    <n v="0.99778699861687414"/>
    <n v="2.2130013831258566E-3"/>
    <m/>
    <s v="NON_ZERO"/>
    <s v="VALID_BASE"/>
    <s v="NORMAL"/>
    <n v="2.5124807393852033E-3"/>
    <x v="0"/>
    <x v="0"/>
  </r>
  <r>
    <n v="12"/>
    <n v="2022"/>
    <x v="11"/>
    <x v="5"/>
    <n v="3615"/>
    <n v="3607"/>
    <n v="0.99778699861687414"/>
    <n v="2.2130013831258566E-3"/>
    <m/>
    <s v="NON_ZERO"/>
    <s v="VALID_BASE"/>
    <s v="NORMAL"/>
    <n v="2.5124807393852033E-3"/>
    <x v="1"/>
    <x v="0"/>
  </r>
  <r>
    <n v="12"/>
    <n v="2022"/>
    <x v="11"/>
    <x v="5"/>
    <n v="3615"/>
    <n v="3607"/>
    <n v="0.99778699861687414"/>
    <n v="2.2130013831258566E-3"/>
    <m/>
    <s v="NON_ZERO"/>
    <s v="VALID_BASE"/>
    <s v="NORMAL"/>
    <n v="2.5124807393852033E-3"/>
    <x v="2"/>
    <x v="0"/>
  </r>
  <r>
    <n v="12"/>
    <n v="2022"/>
    <x v="12"/>
    <x v="0"/>
    <n v="0"/>
    <n v="0"/>
    <m/>
    <m/>
    <s v="ABSENT"/>
    <s v="ABSENT"/>
    <s v="ABSENT_BASE"/>
    <s v="ABSENT"/>
    <n v="0"/>
    <x v="0"/>
    <x v="0"/>
  </r>
  <r>
    <n v="12"/>
    <n v="2022"/>
    <x v="12"/>
    <x v="0"/>
    <n v="0"/>
    <n v="0"/>
    <m/>
    <m/>
    <s v="ABSENT"/>
    <s v="ABSENT"/>
    <s v="ABSENT_BASE"/>
    <s v="ABSENT"/>
    <n v="0"/>
    <x v="1"/>
    <x v="0"/>
  </r>
  <r>
    <n v="12"/>
    <n v="2022"/>
    <x v="12"/>
    <x v="0"/>
    <n v="0"/>
    <n v="0"/>
    <m/>
    <m/>
    <s v="ABSENT"/>
    <s v="ABSENT"/>
    <s v="ABSENT_BASE"/>
    <s v="ABSENT"/>
    <n v="0"/>
    <x v="2"/>
    <x v="1"/>
  </r>
  <r>
    <n v="12"/>
    <n v="2022"/>
    <x v="12"/>
    <x v="1"/>
    <n v="84"/>
    <n v="83"/>
    <n v="0.98809523809523814"/>
    <n v="1.1904761904761862E-2"/>
    <m/>
    <s v="NON_ZERO"/>
    <s v="SMALL_BASE"/>
    <s v="NORMAL"/>
    <n v="5.8381295189033768E-5"/>
    <x v="0"/>
    <x v="0"/>
  </r>
  <r>
    <n v="12"/>
    <n v="2022"/>
    <x v="12"/>
    <x v="1"/>
    <n v="84"/>
    <n v="83"/>
    <n v="0.98809523809523814"/>
    <n v="1.1904761904761862E-2"/>
    <m/>
    <s v="NON_ZERO"/>
    <s v="SMALL_BASE"/>
    <s v="NORMAL"/>
    <n v="5.8381295189033768E-5"/>
    <x v="1"/>
    <x v="0"/>
  </r>
  <r>
    <n v="12"/>
    <n v="2022"/>
    <x v="12"/>
    <x v="1"/>
    <n v="84"/>
    <n v="83"/>
    <n v="0.98809523809523814"/>
    <n v="1.1904761904761862E-2"/>
    <m/>
    <s v="NON_ZERO"/>
    <s v="SMALL_BASE"/>
    <s v="NORMAL"/>
    <n v="5.8381295189033768E-5"/>
    <x v="2"/>
    <x v="0"/>
  </r>
  <r>
    <n v="12"/>
    <n v="2022"/>
    <x v="12"/>
    <x v="2"/>
    <n v="0"/>
    <n v="0"/>
    <m/>
    <m/>
    <s v="ABSENT"/>
    <s v="ABSENT"/>
    <s v="ABSENT_BASE"/>
    <s v="ABSENT"/>
    <n v="0"/>
    <x v="0"/>
    <x v="0"/>
  </r>
  <r>
    <n v="12"/>
    <n v="2022"/>
    <x v="12"/>
    <x v="2"/>
    <n v="0"/>
    <n v="0"/>
    <m/>
    <m/>
    <s v="ABSENT"/>
    <s v="ABSENT"/>
    <s v="ABSENT_BASE"/>
    <s v="ABSENT"/>
    <n v="0"/>
    <x v="1"/>
    <x v="0"/>
  </r>
  <r>
    <n v="12"/>
    <n v="2022"/>
    <x v="12"/>
    <x v="2"/>
    <n v="0"/>
    <n v="0"/>
    <m/>
    <m/>
    <s v="ABSENT"/>
    <s v="ABSENT"/>
    <s v="ABSENT_BASE"/>
    <s v="ABSENT"/>
    <n v="0"/>
    <x v="2"/>
    <x v="1"/>
  </r>
  <r>
    <n v="12"/>
    <n v="2022"/>
    <x v="12"/>
    <x v="3"/>
    <n v="84716"/>
    <n v="83962"/>
    <n v="0.99109967420558098"/>
    <n v="8.9003257944190173E-3"/>
    <m/>
    <s v="NON_ZERO"/>
    <s v="VALID_BASE"/>
    <s v="NORMAL"/>
    <n v="5.887892622897839E-2"/>
    <x v="0"/>
    <x v="0"/>
  </r>
  <r>
    <n v="12"/>
    <n v="2022"/>
    <x v="12"/>
    <x v="3"/>
    <n v="84716"/>
    <n v="83962"/>
    <n v="0.99109967420558098"/>
    <n v="8.9003257944190173E-3"/>
    <m/>
    <s v="NON_ZERO"/>
    <s v="VALID_BASE"/>
    <s v="NORMAL"/>
    <n v="5.887892622897839E-2"/>
    <x v="1"/>
    <x v="0"/>
  </r>
  <r>
    <n v="12"/>
    <n v="2022"/>
    <x v="12"/>
    <x v="3"/>
    <n v="84716"/>
    <n v="83962"/>
    <n v="0.99109967420558098"/>
    <n v="8.9003257944190173E-3"/>
    <m/>
    <s v="NON_ZERO"/>
    <s v="VALID_BASE"/>
    <s v="NORMAL"/>
    <n v="5.887892622897839E-2"/>
    <x v="2"/>
    <x v="0"/>
  </r>
  <r>
    <n v="12"/>
    <n v="2022"/>
    <x v="12"/>
    <x v="4"/>
    <n v="3714"/>
    <n v="3669"/>
    <n v="0.98788368336025845"/>
    <n v="1.2116316639741553E-2"/>
    <m/>
    <s v="NON_ZERO"/>
    <s v="VALID_BASE"/>
    <s v="NORMAL"/>
    <n v="2.581287265857993E-3"/>
    <x v="0"/>
    <x v="0"/>
  </r>
  <r>
    <n v="12"/>
    <n v="2022"/>
    <x v="12"/>
    <x v="4"/>
    <n v="3714"/>
    <n v="3669"/>
    <n v="0.98788368336025845"/>
    <n v="1.2116316639741553E-2"/>
    <m/>
    <s v="NON_ZERO"/>
    <s v="VALID_BASE"/>
    <s v="NORMAL"/>
    <n v="2.581287265857993E-3"/>
    <x v="1"/>
    <x v="0"/>
  </r>
  <r>
    <n v="12"/>
    <n v="2022"/>
    <x v="12"/>
    <x v="4"/>
    <n v="3714"/>
    <n v="3669"/>
    <n v="0.98788368336025845"/>
    <n v="1.2116316639741553E-2"/>
    <m/>
    <s v="NON_ZERO"/>
    <s v="VALID_BASE"/>
    <s v="NORMAL"/>
    <n v="2.581287265857993E-3"/>
    <x v="2"/>
    <x v="0"/>
  </r>
  <r>
    <n v="12"/>
    <n v="2022"/>
    <x v="12"/>
    <x v="5"/>
    <n v="5409"/>
    <n v="5398"/>
    <n v="0.99796635237567022"/>
    <n v="2.0336476243297819E-3"/>
    <m/>
    <s v="NON_ZERO"/>
    <s v="VALID_BASE"/>
    <s v="NORMAL"/>
    <n v="3.7593384009224243E-3"/>
    <x v="0"/>
    <x v="0"/>
  </r>
  <r>
    <n v="12"/>
    <n v="2022"/>
    <x v="12"/>
    <x v="5"/>
    <n v="5409"/>
    <n v="5398"/>
    <n v="0.99796635237567022"/>
    <n v="2.0336476243297819E-3"/>
    <m/>
    <s v="NON_ZERO"/>
    <s v="VALID_BASE"/>
    <s v="NORMAL"/>
    <n v="3.7593384009224243E-3"/>
    <x v="1"/>
    <x v="0"/>
  </r>
  <r>
    <n v="12"/>
    <n v="2022"/>
    <x v="12"/>
    <x v="5"/>
    <n v="5409"/>
    <n v="5398"/>
    <n v="0.99796635237567022"/>
    <n v="2.0336476243297819E-3"/>
    <m/>
    <s v="NON_ZERO"/>
    <s v="VALID_BASE"/>
    <s v="NORMAL"/>
    <n v="3.7593384009224243E-3"/>
    <x v="2"/>
    <x v="0"/>
  </r>
  <r>
    <n v="12"/>
    <n v="2022"/>
    <x v="13"/>
    <x v="0"/>
    <n v="0"/>
    <n v="0"/>
    <m/>
    <m/>
    <s v="ABSENT"/>
    <s v="ABSENT"/>
    <s v="ABSENT_BASE"/>
    <s v="ABSENT"/>
    <n v="0"/>
    <x v="0"/>
    <x v="0"/>
  </r>
  <r>
    <n v="12"/>
    <n v="2022"/>
    <x v="13"/>
    <x v="0"/>
    <n v="0"/>
    <n v="0"/>
    <m/>
    <m/>
    <s v="ABSENT"/>
    <s v="ABSENT"/>
    <s v="ABSENT_BASE"/>
    <s v="ABSENT"/>
    <n v="0"/>
    <x v="1"/>
    <x v="0"/>
  </r>
  <r>
    <n v="12"/>
    <n v="2022"/>
    <x v="13"/>
    <x v="0"/>
    <n v="0"/>
    <n v="0"/>
    <m/>
    <m/>
    <s v="ABSENT"/>
    <s v="ABSENT"/>
    <s v="ABSENT_BASE"/>
    <s v="ABSENT"/>
    <n v="0"/>
    <x v="2"/>
    <x v="1"/>
  </r>
  <r>
    <n v="12"/>
    <n v="2022"/>
    <x v="13"/>
    <x v="1"/>
    <n v="1336"/>
    <n v="1272"/>
    <n v="0.95209580838323349"/>
    <n v="4.7904191616766512E-2"/>
    <m/>
    <s v="NON_ZERO"/>
    <s v="VALID_BASE"/>
    <s v="LOW_RATE"/>
    <n v="9.2854059967320372E-4"/>
    <x v="0"/>
    <x v="0"/>
  </r>
  <r>
    <n v="12"/>
    <n v="2022"/>
    <x v="13"/>
    <x v="1"/>
    <n v="1336"/>
    <n v="1272"/>
    <n v="0.95209580838323349"/>
    <n v="4.7904191616766512E-2"/>
    <m/>
    <s v="NON_ZERO"/>
    <s v="VALID_BASE"/>
    <s v="LOW_RATE"/>
    <n v="9.2854059967320372E-4"/>
    <x v="1"/>
    <x v="0"/>
  </r>
  <r>
    <n v="12"/>
    <n v="2022"/>
    <x v="13"/>
    <x v="1"/>
    <n v="1336"/>
    <n v="1272"/>
    <n v="0.95209580838323349"/>
    <n v="4.7904191616766512E-2"/>
    <m/>
    <s v="NON_ZERO"/>
    <s v="VALID_BASE"/>
    <s v="LOW_RATE"/>
    <n v="9.2854059967320372E-4"/>
    <x v="2"/>
    <x v="0"/>
  </r>
  <r>
    <n v="12"/>
    <n v="2022"/>
    <x v="13"/>
    <x v="2"/>
    <n v="0"/>
    <n v="0"/>
    <m/>
    <m/>
    <s v="ABSENT"/>
    <s v="ABSENT"/>
    <s v="ABSENT_BASE"/>
    <s v="ABSENT"/>
    <n v="0"/>
    <x v="0"/>
    <x v="0"/>
  </r>
  <r>
    <n v="12"/>
    <n v="2022"/>
    <x v="13"/>
    <x v="2"/>
    <n v="0"/>
    <n v="0"/>
    <m/>
    <m/>
    <s v="ABSENT"/>
    <s v="ABSENT"/>
    <s v="ABSENT_BASE"/>
    <s v="ABSENT"/>
    <n v="0"/>
    <x v="1"/>
    <x v="0"/>
  </r>
  <r>
    <n v="12"/>
    <n v="2022"/>
    <x v="13"/>
    <x v="2"/>
    <n v="0"/>
    <n v="0"/>
    <m/>
    <m/>
    <s v="ABSENT"/>
    <s v="ABSENT"/>
    <s v="ABSENT_BASE"/>
    <s v="ABSENT"/>
    <n v="0"/>
    <x v="2"/>
    <x v="1"/>
  </r>
  <r>
    <n v="12"/>
    <n v="2022"/>
    <x v="13"/>
    <x v="3"/>
    <n v="131729"/>
    <n v="130263"/>
    <n v="0.98887109140735907"/>
    <n v="1.1128908592640929E-2"/>
    <m/>
    <s v="NON_ZERO"/>
    <s v="VALID_BASE"/>
    <s v="NORMAL"/>
    <n v="9.1553686118526545E-2"/>
    <x v="0"/>
    <x v="0"/>
  </r>
  <r>
    <n v="12"/>
    <n v="2022"/>
    <x v="13"/>
    <x v="3"/>
    <n v="131729"/>
    <n v="130263"/>
    <n v="0.98887109140735907"/>
    <n v="1.1128908592640929E-2"/>
    <m/>
    <s v="NON_ZERO"/>
    <s v="VALID_BASE"/>
    <s v="NORMAL"/>
    <n v="9.1553686118526545E-2"/>
    <x v="1"/>
    <x v="0"/>
  </r>
  <r>
    <n v="12"/>
    <n v="2022"/>
    <x v="13"/>
    <x v="3"/>
    <n v="131729"/>
    <n v="130263"/>
    <n v="0.98887109140735907"/>
    <n v="1.1128908592640929E-2"/>
    <m/>
    <s v="NON_ZERO"/>
    <s v="VALID_BASE"/>
    <s v="NORMAL"/>
    <n v="9.1553686118526545E-2"/>
    <x v="2"/>
    <x v="0"/>
  </r>
  <r>
    <n v="12"/>
    <n v="2022"/>
    <x v="13"/>
    <x v="4"/>
    <n v="3184"/>
    <n v="3152"/>
    <n v="0.98994974874371855"/>
    <n v="1.0050251256281451E-2"/>
    <m/>
    <s v="NON_ZERO"/>
    <s v="VALID_BASE"/>
    <s v="NORMAL"/>
    <n v="2.2129290938319468E-3"/>
    <x v="0"/>
    <x v="0"/>
  </r>
  <r>
    <n v="12"/>
    <n v="2022"/>
    <x v="13"/>
    <x v="4"/>
    <n v="3184"/>
    <n v="3152"/>
    <n v="0.98994974874371855"/>
    <n v="1.0050251256281451E-2"/>
    <m/>
    <s v="NON_ZERO"/>
    <s v="VALID_BASE"/>
    <s v="NORMAL"/>
    <n v="2.2129290938319468E-3"/>
    <x v="1"/>
    <x v="0"/>
  </r>
  <r>
    <n v="12"/>
    <n v="2022"/>
    <x v="13"/>
    <x v="4"/>
    <n v="3184"/>
    <n v="3152"/>
    <n v="0.98994974874371855"/>
    <n v="1.0050251256281451E-2"/>
    <m/>
    <s v="NON_ZERO"/>
    <s v="VALID_BASE"/>
    <s v="NORMAL"/>
    <n v="2.2129290938319468E-3"/>
    <x v="2"/>
    <x v="0"/>
  </r>
  <r>
    <n v="12"/>
    <n v="2022"/>
    <x v="13"/>
    <x v="5"/>
    <n v="8680"/>
    <n v="8666"/>
    <n v="0.99838709677419357"/>
    <n v="1.612903225806428E-3"/>
    <m/>
    <s v="NON_ZERO"/>
    <s v="VALID_BASE"/>
    <s v="NORMAL"/>
    <n v="6.0327338362001562E-3"/>
    <x v="0"/>
    <x v="0"/>
  </r>
  <r>
    <n v="12"/>
    <n v="2022"/>
    <x v="13"/>
    <x v="5"/>
    <n v="8680"/>
    <n v="8666"/>
    <n v="0.99838709677419357"/>
    <n v="1.612903225806428E-3"/>
    <m/>
    <s v="NON_ZERO"/>
    <s v="VALID_BASE"/>
    <s v="NORMAL"/>
    <n v="6.0327338362001562E-3"/>
    <x v="1"/>
    <x v="0"/>
  </r>
  <r>
    <n v="12"/>
    <n v="2022"/>
    <x v="13"/>
    <x v="5"/>
    <n v="8680"/>
    <n v="8666"/>
    <n v="0.99838709677419357"/>
    <n v="1.612903225806428E-3"/>
    <m/>
    <s v="NON_ZERO"/>
    <s v="VALID_BASE"/>
    <s v="NORMAL"/>
    <n v="6.0327338362001562E-3"/>
    <x v="2"/>
    <x v="0"/>
  </r>
  <r>
    <n v="12"/>
    <n v="2022"/>
    <x v="14"/>
    <x v="0"/>
    <n v="0"/>
    <n v="0"/>
    <m/>
    <m/>
    <s v="ABSENT"/>
    <s v="ABSENT"/>
    <s v="ABSENT_BASE"/>
    <s v="ABSENT"/>
    <n v="0"/>
    <x v="0"/>
    <x v="0"/>
  </r>
  <r>
    <n v="12"/>
    <n v="2022"/>
    <x v="14"/>
    <x v="0"/>
    <n v="0"/>
    <n v="0"/>
    <m/>
    <m/>
    <s v="ABSENT"/>
    <s v="ABSENT"/>
    <s v="ABSENT_BASE"/>
    <s v="ABSENT"/>
    <n v="0"/>
    <x v="1"/>
    <x v="0"/>
  </r>
  <r>
    <n v="12"/>
    <n v="2022"/>
    <x v="14"/>
    <x v="0"/>
    <n v="0"/>
    <n v="0"/>
    <m/>
    <m/>
    <s v="ABSENT"/>
    <s v="ABSENT"/>
    <s v="ABSENT_BASE"/>
    <s v="ABSENT"/>
    <n v="0"/>
    <x v="2"/>
    <x v="1"/>
  </r>
  <r>
    <n v="12"/>
    <n v="2022"/>
    <x v="14"/>
    <x v="1"/>
    <n v="1535"/>
    <n v="1534"/>
    <n v="0.99934853420195435"/>
    <n v="6.514657980456473E-4"/>
    <m/>
    <s v="NON_ZERO"/>
    <s v="VALID_BASE"/>
    <s v="NORMAL"/>
    <n v="1.0668486680377005E-3"/>
    <x v="0"/>
    <x v="0"/>
  </r>
  <r>
    <n v="12"/>
    <n v="2022"/>
    <x v="14"/>
    <x v="1"/>
    <n v="1535"/>
    <n v="1534"/>
    <n v="0.99934853420195435"/>
    <n v="6.514657980456473E-4"/>
    <m/>
    <s v="NON_ZERO"/>
    <s v="VALID_BASE"/>
    <s v="NORMAL"/>
    <n v="1.0668486680377005E-3"/>
    <x v="1"/>
    <x v="0"/>
  </r>
  <r>
    <n v="12"/>
    <n v="2022"/>
    <x v="14"/>
    <x v="1"/>
    <n v="1535"/>
    <n v="1534"/>
    <n v="0.99934853420195435"/>
    <n v="6.514657980456473E-4"/>
    <m/>
    <s v="NON_ZERO"/>
    <s v="VALID_BASE"/>
    <s v="NORMAL"/>
    <n v="1.0668486680377005E-3"/>
    <x v="2"/>
    <x v="0"/>
  </r>
  <r>
    <n v="12"/>
    <n v="2022"/>
    <x v="14"/>
    <x v="2"/>
    <n v="0"/>
    <n v="0"/>
    <m/>
    <m/>
    <s v="ABSENT"/>
    <s v="ABSENT"/>
    <s v="ABSENT_BASE"/>
    <s v="ABSENT"/>
    <n v="0"/>
    <x v="0"/>
    <x v="0"/>
  </r>
  <r>
    <n v="12"/>
    <n v="2022"/>
    <x v="14"/>
    <x v="2"/>
    <n v="0"/>
    <n v="0"/>
    <m/>
    <m/>
    <s v="ABSENT"/>
    <s v="ABSENT"/>
    <s v="ABSENT_BASE"/>
    <s v="ABSENT"/>
    <n v="0"/>
    <x v="1"/>
    <x v="0"/>
  </r>
  <r>
    <n v="12"/>
    <n v="2022"/>
    <x v="14"/>
    <x v="2"/>
    <n v="0"/>
    <n v="0"/>
    <m/>
    <m/>
    <s v="ABSENT"/>
    <s v="ABSENT"/>
    <s v="ABSENT_BASE"/>
    <s v="ABSENT"/>
    <n v="0"/>
    <x v="2"/>
    <x v="1"/>
  </r>
  <r>
    <n v="12"/>
    <n v="2022"/>
    <x v="14"/>
    <x v="3"/>
    <n v="22801"/>
    <n v="22742"/>
    <n v="0.99741239419323713"/>
    <n v="2.5876058067628716E-3"/>
    <m/>
    <s v="NON_ZERO"/>
    <s v="VALID_BASE"/>
    <s v="NORMAL"/>
    <n v="1.5847046566728081E-2"/>
    <x v="0"/>
    <x v="0"/>
  </r>
  <r>
    <n v="12"/>
    <n v="2022"/>
    <x v="14"/>
    <x v="3"/>
    <n v="22801"/>
    <n v="22742"/>
    <n v="0.99741239419323713"/>
    <n v="2.5876058067628716E-3"/>
    <m/>
    <s v="NON_ZERO"/>
    <s v="VALID_BASE"/>
    <s v="NORMAL"/>
    <n v="1.5847046566728081E-2"/>
    <x v="1"/>
    <x v="0"/>
  </r>
  <r>
    <n v="12"/>
    <n v="2022"/>
    <x v="14"/>
    <x v="3"/>
    <n v="22801"/>
    <n v="22742"/>
    <n v="0.99741239419323713"/>
    <n v="2.5876058067628716E-3"/>
    <m/>
    <s v="NON_ZERO"/>
    <s v="VALID_BASE"/>
    <s v="NORMAL"/>
    <n v="1.5847046566728081E-2"/>
    <x v="2"/>
    <x v="0"/>
  </r>
  <r>
    <n v="12"/>
    <n v="2022"/>
    <x v="14"/>
    <x v="4"/>
    <n v="1673"/>
    <n v="1662"/>
    <n v="0.99342498505678423"/>
    <n v="6.5750149432157734E-3"/>
    <m/>
    <s v="NON_ZERO"/>
    <s v="VALID_BASE"/>
    <s v="NORMAL"/>
    <n v="1.1627607958482559E-3"/>
    <x v="0"/>
    <x v="0"/>
  </r>
  <r>
    <n v="12"/>
    <n v="2022"/>
    <x v="14"/>
    <x v="4"/>
    <n v="1673"/>
    <n v="1662"/>
    <n v="0.99342498505678423"/>
    <n v="6.5750149432157734E-3"/>
    <m/>
    <s v="NON_ZERO"/>
    <s v="VALID_BASE"/>
    <s v="NORMAL"/>
    <n v="1.1627607958482559E-3"/>
    <x v="1"/>
    <x v="0"/>
  </r>
  <r>
    <n v="12"/>
    <n v="2022"/>
    <x v="14"/>
    <x v="4"/>
    <n v="1673"/>
    <n v="1662"/>
    <n v="0.99342498505678423"/>
    <n v="6.5750149432157734E-3"/>
    <m/>
    <s v="NON_ZERO"/>
    <s v="VALID_BASE"/>
    <s v="NORMAL"/>
    <n v="1.1627607958482559E-3"/>
    <x v="2"/>
    <x v="0"/>
  </r>
  <r>
    <n v="12"/>
    <n v="2022"/>
    <x v="14"/>
    <x v="5"/>
    <n v="4859"/>
    <n v="4849"/>
    <n v="0.99794196336694796"/>
    <n v="2.0580366330520405E-3"/>
    <m/>
    <s v="NON_ZERO"/>
    <s v="VALID_BASE"/>
    <s v="NORMAL"/>
    <n v="3.3770799205180366E-3"/>
    <x v="0"/>
    <x v="0"/>
  </r>
  <r>
    <n v="12"/>
    <n v="2022"/>
    <x v="14"/>
    <x v="5"/>
    <n v="4859"/>
    <n v="4849"/>
    <n v="0.99794196336694796"/>
    <n v="2.0580366330520405E-3"/>
    <m/>
    <s v="NON_ZERO"/>
    <s v="VALID_BASE"/>
    <s v="NORMAL"/>
    <n v="3.3770799205180366E-3"/>
    <x v="1"/>
    <x v="0"/>
  </r>
  <r>
    <n v="12"/>
    <n v="2022"/>
    <x v="14"/>
    <x v="5"/>
    <n v="4859"/>
    <n v="4849"/>
    <n v="0.99794196336694796"/>
    <n v="2.0580366330520405E-3"/>
    <m/>
    <s v="NON_ZERO"/>
    <s v="VALID_BASE"/>
    <s v="NORMAL"/>
    <n v="3.3770799205180366E-3"/>
    <x v="2"/>
    <x v="0"/>
  </r>
  <r>
    <n v="12"/>
    <n v="2022"/>
    <x v="15"/>
    <x v="0"/>
    <n v="0"/>
    <n v="0"/>
    <m/>
    <m/>
    <s v="ABSENT"/>
    <s v="ABSENT"/>
    <s v="ABSENT_BASE"/>
    <s v="ABSENT"/>
    <n v="0"/>
    <x v="0"/>
    <x v="0"/>
  </r>
  <r>
    <n v="12"/>
    <n v="2022"/>
    <x v="15"/>
    <x v="0"/>
    <n v="0"/>
    <n v="0"/>
    <m/>
    <m/>
    <s v="ABSENT"/>
    <s v="ABSENT"/>
    <s v="ABSENT_BASE"/>
    <s v="ABSENT"/>
    <n v="0"/>
    <x v="1"/>
    <x v="0"/>
  </r>
  <r>
    <n v="12"/>
    <n v="2022"/>
    <x v="15"/>
    <x v="0"/>
    <n v="0"/>
    <n v="0"/>
    <m/>
    <m/>
    <s v="ABSENT"/>
    <s v="ABSENT"/>
    <s v="ABSENT_BASE"/>
    <s v="ABSENT"/>
    <n v="0"/>
    <x v="2"/>
    <x v="1"/>
  </r>
  <r>
    <n v="12"/>
    <n v="2022"/>
    <x v="15"/>
    <x v="1"/>
    <n v="82"/>
    <n v="82"/>
    <n v="1"/>
    <n v="0"/>
    <m/>
    <s v="NON_ZERO"/>
    <s v="SMALL_BASE"/>
    <s v="SUSPICIOUS_PERFECTION"/>
    <n v="5.6991264351199632E-5"/>
    <x v="0"/>
    <x v="0"/>
  </r>
  <r>
    <n v="12"/>
    <n v="2022"/>
    <x v="15"/>
    <x v="1"/>
    <n v="82"/>
    <n v="82"/>
    <n v="1"/>
    <n v="0"/>
    <m/>
    <s v="NON_ZERO"/>
    <s v="SMALL_BASE"/>
    <s v="SUSPICIOUS_PERFECTION"/>
    <n v="5.6991264351199632E-5"/>
    <x v="1"/>
    <x v="0"/>
  </r>
  <r>
    <n v="12"/>
    <n v="2022"/>
    <x v="15"/>
    <x v="1"/>
    <n v="82"/>
    <n v="82"/>
    <n v="1"/>
    <n v="0"/>
    <m/>
    <s v="NON_ZERO"/>
    <s v="SMALL_BASE"/>
    <s v="SUSPICIOUS_PERFECTION"/>
    <n v="5.6991264351199632E-5"/>
    <x v="2"/>
    <x v="0"/>
  </r>
  <r>
    <n v="12"/>
    <n v="2022"/>
    <x v="15"/>
    <x v="2"/>
    <n v="0"/>
    <n v="0"/>
    <m/>
    <m/>
    <s v="ABSENT"/>
    <s v="ABSENT"/>
    <s v="ABSENT_BASE"/>
    <s v="ABSENT"/>
    <n v="0"/>
    <x v="0"/>
    <x v="0"/>
  </r>
  <r>
    <n v="12"/>
    <n v="2022"/>
    <x v="15"/>
    <x v="2"/>
    <n v="0"/>
    <n v="0"/>
    <m/>
    <m/>
    <s v="ABSENT"/>
    <s v="ABSENT"/>
    <s v="ABSENT_BASE"/>
    <s v="ABSENT"/>
    <n v="0"/>
    <x v="1"/>
    <x v="0"/>
  </r>
  <r>
    <n v="12"/>
    <n v="2022"/>
    <x v="15"/>
    <x v="2"/>
    <n v="0"/>
    <n v="0"/>
    <m/>
    <m/>
    <s v="ABSENT"/>
    <s v="ABSENT"/>
    <s v="ABSENT_BASE"/>
    <s v="ABSENT"/>
    <n v="0"/>
    <x v="2"/>
    <x v="1"/>
  </r>
  <r>
    <n v="12"/>
    <n v="2022"/>
    <x v="15"/>
    <x v="3"/>
    <n v="33500"/>
    <n v="33462"/>
    <n v="0.99886567164179108"/>
    <n v="1.1343283582089247E-3"/>
    <m/>
    <s v="NON_ZERO"/>
    <s v="VALID_BASE"/>
    <s v="NORMAL"/>
    <n v="2.32830165337218E-2"/>
    <x v="0"/>
    <x v="0"/>
  </r>
  <r>
    <n v="12"/>
    <n v="2022"/>
    <x v="15"/>
    <x v="3"/>
    <n v="33500"/>
    <n v="33462"/>
    <n v="0.99886567164179108"/>
    <n v="1.1343283582089247E-3"/>
    <m/>
    <s v="NON_ZERO"/>
    <s v="VALID_BASE"/>
    <s v="NORMAL"/>
    <n v="2.32830165337218E-2"/>
    <x v="1"/>
    <x v="0"/>
  </r>
  <r>
    <n v="12"/>
    <n v="2022"/>
    <x v="15"/>
    <x v="3"/>
    <n v="33500"/>
    <n v="33462"/>
    <n v="0.99886567164179108"/>
    <n v="1.1343283582089247E-3"/>
    <m/>
    <s v="NON_ZERO"/>
    <s v="VALID_BASE"/>
    <s v="NORMAL"/>
    <n v="2.32830165337218E-2"/>
    <x v="2"/>
    <x v="0"/>
  </r>
  <r>
    <n v="12"/>
    <n v="2022"/>
    <x v="15"/>
    <x v="4"/>
    <n v="973"/>
    <n v="972"/>
    <n v="0.99897225077081198"/>
    <n v="1.0277492291880241E-3"/>
    <m/>
    <s v="NON_ZERO"/>
    <s v="VALID_BASE"/>
    <s v="NORMAL"/>
    <n v="6.7625000260630784E-4"/>
    <x v="0"/>
    <x v="0"/>
  </r>
  <r>
    <n v="12"/>
    <n v="2022"/>
    <x v="15"/>
    <x v="4"/>
    <n v="973"/>
    <n v="972"/>
    <n v="0.99897225077081198"/>
    <n v="1.0277492291880241E-3"/>
    <m/>
    <s v="NON_ZERO"/>
    <s v="VALID_BASE"/>
    <s v="NORMAL"/>
    <n v="6.7625000260630784E-4"/>
    <x v="1"/>
    <x v="0"/>
  </r>
  <r>
    <n v="12"/>
    <n v="2022"/>
    <x v="15"/>
    <x v="4"/>
    <n v="973"/>
    <n v="972"/>
    <n v="0.99897225077081198"/>
    <n v="1.0277492291880241E-3"/>
    <m/>
    <s v="NON_ZERO"/>
    <s v="VALID_BASE"/>
    <s v="NORMAL"/>
    <n v="6.7625000260630784E-4"/>
    <x v="2"/>
    <x v="0"/>
  </r>
  <r>
    <n v="12"/>
    <n v="2022"/>
    <x v="15"/>
    <x v="5"/>
    <n v="3666"/>
    <n v="3661"/>
    <n v="0.9986361156573923"/>
    <n v="1.3638843426077019E-3"/>
    <m/>
    <s v="NON_ZERO"/>
    <s v="VALID_BASE"/>
    <s v="NORMAL"/>
    <n v="2.5479265257499738E-3"/>
    <x v="0"/>
    <x v="0"/>
  </r>
  <r>
    <n v="12"/>
    <n v="2022"/>
    <x v="15"/>
    <x v="5"/>
    <n v="3666"/>
    <n v="3661"/>
    <n v="0.9986361156573923"/>
    <n v="1.3638843426077019E-3"/>
    <m/>
    <s v="NON_ZERO"/>
    <s v="VALID_BASE"/>
    <s v="NORMAL"/>
    <n v="2.5479265257499738E-3"/>
    <x v="1"/>
    <x v="0"/>
  </r>
  <r>
    <n v="12"/>
    <n v="2022"/>
    <x v="15"/>
    <x v="5"/>
    <n v="3666"/>
    <n v="3661"/>
    <n v="0.9986361156573923"/>
    <n v="1.3638843426077019E-3"/>
    <m/>
    <s v="NON_ZERO"/>
    <s v="VALID_BASE"/>
    <s v="NORMAL"/>
    <n v="2.5479265257499738E-3"/>
    <x v="2"/>
    <x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6">
  <r>
    <n v="12"/>
    <n v="2022"/>
    <x v="0"/>
    <x v="0"/>
    <n v="0"/>
    <n v="0"/>
    <m/>
    <m/>
    <s v="ABSENT"/>
    <x v="0"/>
    <x v="0"/>
    <x v="0"/>
    <n v="0"/>
    <s v="OK"/>
    <s v="OK"/>
    <s v="FLAG"/>
  </r>
  <r>
    <n v="12"/>
    <n v="2022"/>
    <x v="0"/>
    <x v="1"/>
    <n v="4533"/>
    <n v="4524"/>
    <n v="0.99801455989410981"/>
    <n v="1.9854401058901905E-3"/>
    <m/>
    <x v="1"/>
    <x v="1"/>
    <x v="1"/>
    <n v="3.1505048939510722E-3"/>
    <s v="OK"/>
    <s v="OK"/>
    <s v="OK"/>
  </r>
  <r>
    <n v="12"/>
    <n v="2022"/>
    <x v="0"/>
    <x v="2"/>
    <n v="0"/>
    <n v="0"/>
    <m/>
    <m/>
    <s v="ABSENT"/>
    <x v="0"/>
    <x v="0"/>
    <x v="0"/>
    <n v="0"/>
    <s v="OK"/>
    <s v="OK"/>
    <s v="FLAG"/>
  </r>
  <r>
    <n v="12"/>
    <n v="2022"/>
    <x v="0"/>
    <x v="3"/>
    <n v="86178"/>
    <n v="85839"/>
    <n v="0.99606628141753117"/>
    <n v="3.9337185824688259E-3"/>
    <m/>
    <x v="1"/>
    <x v="1"/>
    <x v="1"/>
    <n v="5.9895038771435143E-2"/>
    <s v="OK"/>
    <s v="OK"/>
    <s v="OK"/>
  </r>
  <r>
    <n v="12"/>
    <n v="2022"/>
    <x v="0"/>
    <x v="4"/>
    <n v="3741"/>
    <n v="3730"/>
    <n v="0.99705960973001873"/>
    <n v="2.9403902699812745E-3"/>
    <m/>
    <x v="1"/>
    <x v="1"/>
    <x v="1"/>
    <n v="2.600052682168754E-3"/>
    <s v="OK"/>
    <s v="OK"/>
    <s v="OK"/>
  </r>
  <r>
    <n v="12"/>
    <n v="2022"/>
    <x v="0"/>
    <x v="5"/>
    <n v="7736"/>
    <n v="7725"/>
    <n v="0.99857807652533614"/>
    <n v="1.4219234746638554E-3"/>
    <m/>
    <x v="1"/>
    <x v="1"/>
    <x v="1"/>
    <n v="5.3766392807424431E-3"/>
    <s v="OK"/>
    <s v="OK"/>
    <s v="OK"/>
  </r>
  <r>
    <n v="12"/>
    <n v="2022"/>
    <x v="1"/>
    <x v="0"/>
    <n v="93"/>
    <n v="92"/>
    <n v="0.989247311827957"/>
    <n v="1.0752688172043001E-2"/>
    <m/>
    <x v="1"/>
    <x v="2"/>
    <x v="1"/>
    <n v="6.4636433959287392E-5"/>
    <s v="OK"/>
    <s v="OK"/>
    <s v="OK"/>
  </r>
  <r>
    <n v="12"/>
    <n v="2022"/>
    <x v="1"/>
    <x v="1"/>
    <n v="70"/>
    <n v="70"/>
    <n v="1"/>
    <n v="0"/>
    <m/>
    <x v="1"/>
    <x v="2"/>
    <x v="2"/>
    <n v="4.8651079324194808E-5"/>
    <s v="OK"/>
    <s v="OK"/>
    <s v="OK"/>
  </r>
  <r>
    <n v="12"/>
    <n v="2022"/>
    <x v="1"/>
    <x v="2"/>
    <n v="0"/>
    <n v="0"/>
    <m/>
    <m/>
    <s v="ABSENT"/>
    <x v="0"/>
    <x v="0"/>
    <x v="0"/>
    <n v="0"/>
    <s v="OK"/>
    <s v="OK"/>
    <s v="FLAG"/>
  </r>
  <r>
    <n v="12"/>
    <n v="2022"/>
    <x v="1"/>
    <x v="3"/>
    <n v="12262"/>
    <n v="12214"/>
    <n v="0.99608546729734138"/>
    <n v="3.9145327026586241E-3"/>
    <m/>
    <x v="1"/>
    <x v="1"/>
    <x v="1"/>
    <n v="8.5222790667610956E-3"/>
    <s v="OK"/>
    <s v="OK"/>
    <s v="OK"/>
  </r>
  <r>
    <n v="12"/>
    <n v="2022"/>
    <x v="1"/>
    <x v="4"/>
    <n v="1901"/>
    <n v="1894"/>
    <n v="0.99631772751183589"/>
    <n v="3.6822724881641067E-3"/>
    <m/>
    <x v="1"/>
    <x v="1"/>
    <x v="1"/>
    <n v="1.3212243113613475E-3"/>
    <s v="OK"/>
    <s v="OK"/>
    <s v="OK"/>
  </r>
  <r>
    <n v="12"/>
    <n v="2022"/>
    <x v="1"/>
    <x v="5"/>
    <n v="2363"/>
    <n v="2361"/>
    <n v="0.99915361828184512"/>
    <n v="8.4638171815487606E-4"/>
    <m/>
    <x v="1"/>
    <x v="1"/>
    <x v="1"/>
    <n v="1.6423214349010333E-3"/>
    <s v="OK"/>
    <s v="OK"/>
    <s v="OK"/>
  </r>
  <r>
    <n v="12"/>
    <n v="2022"/>
    <x v="2"/>
    <x v="0"/>
    <n v="0"/>
    <n v="0"/>
    <m/>
    <m/>
    <s v="ABSENT"/>
    <x v="0"/>
    <x v="0"/>
    <x v="0"/>
    <n v="0"/>
    <s v="OK"/>
    <s v="OK"/>
    <s v="FLAG"/>
  </r>
  <r>
    <n v="12"/>
    <n v="2022"/>
    <x v="2"/>
    <x v="1"/>
    <n v="3180"/>
    <n v="3138"/>
    <n v="0.98679245283018868"/>
    <n v="1.3207547169811318E-2"/>
    <m/>
    <x v="1"/>
    <x v="1"/>
    <x v="1"/>
    <n v="2.2101490321562783E-3"/>
    <s v="OK"/>
    <s v="OK"/>
    <s v="OK"/>
  </r>
  <r>
    <n v="12"/>
    <n v="2022"/>
    <x v="2"/>
    <x v="2"/>
    <n v="0"/>
    <n v="0"/>
    <m/>
    <m/>
    <s v="ABSENT"/>
    <x v="0"/>
    <x v="0"/>
    <x v="0"/>
    <n v="0"/>
    <s v="OK"/>
    <s v="OK"/>
    <s v="FLAG"/>
  </r>
  <r>
    <n v="12"/>
    <n v="2022"/>
    <x v="2"/>
    <x v="3"/>
    <n v="60352"/>
    <n v="60136"/>
    <n v="0.99642099681866381"/>
    <n v="3.5790031813361933E-3"/>
    <m/>
    <x v="1"/>
    <x v="1"/>
    <x v="1"/>
    <n v="4.194557056248293E-2"/>
    <s v="OK"/>
    <s v="OK"/>
    <s v="OK"/>
  </r>
  <r>
    <n v="12"/>
    <n v="2022"/>
    <x v="2"/>
    <x v="4"/>
    <n v="3640"/>
    <n v="3629"/>
    <n v="0.99697802197802199"/>
    <n v="3.0219780219780112E-3"/>
    <m/>
    <x v="1"/>
    <x v="1"/>
    <x v="1"/>
    <n v="2.5298561248581299E-3"/>
    <s v="OK"/>
    <s v="OK"/>
    <s v="OK"/>
  </r>
  <r>
    <n v="12"/>
    <n v="2022"/>
    <x v="2"/>
    <x v="5"/>
    <n v="7807"/>
    <n v="7794"/>
    <n v="0.99833482771871396"/>
    <n v="1.6651722812860426E-3"/>
    <m/>
    <x v="1"/>
    <x v="1"/>
    <x v="1"/>
    <n v="5.4259853754855553E-3"/>
    <s v="OK"/>
    <s v="OK"/>
    <s v="OK"/>
  </r>
  <r>
    <n v="12"/>
    <n v="2022"/>
    <x v="3"/>
    <x v="0"/>
    <n v="103"/>
    <n v="101"/>
    <n v="0.98058252427184467"/>
    <n v="1.9417475728155331E-2"/>
    <m/>
    <x v="1"/>
    <x v="1"/>
    <x v="1"/>
    <n v="7.1586588148458079E-5"/>
    <s v="OK"/>
    <s v="OK"/>
    <s v="OK"/>
  </r>
  <r>
    <n v="12"/>
    <n v="2022"/>
    <x v="3"/>
    <x v="1"/>
    <n v="7746"/>
    <n v="7688"/>
    <n v="0.99251226439452622"/>
    <n v="7.4877356054737776E-3"/>
    <m/>
    <x v="1"/>
    <x v="1"/>
    <x v="1"/>
    <n v="5.3835894349316136E-3"/>
    <s v="OK"/>
    <s v="OK"/>
    <s v="OK"/>
  </r>
  <r>
    <n v="12"/>
    <n v="2022"/>
    <x v="3"/>
    <x v="2"/>
    <n v="0"/>
    <n v="0"/>
    <m/>
    <m/>
    <s v="ABSENT"/>
    <x v="0"/>
    <x v="0"/>
    <x v="0"/>
    <n v="0"/>
    <s v="OK"/>
    <s v="OK"/>
    <s v="FLAG"/>
  </r>
  <r>
    <n v="12"/>
    <n v="2022"/>
    <x v="3"/>
    <x v="3"/>
    <n v="69835"/>
    <n v="69506"/>
    <n v="0.99528889525309661"/>
    <n v="4.711104746903394E-3"/>
    <m/>
    <x v="1"/>
    <x v="1"/>
    <x v="1"/>
    <n v="4.8536401780073492E-2"/>
    <s v="OK"/>
    <s v="OK"/>
    <s v="OK"/>
  </r>
  <r>
    <n v="12"/>
    <n v="2022"/>
    <x v="3"/>
    <x v="4"/>
    <n v="3823"/>
    <n v="3809"/>
    <n v="0.99633795448600571"/>
    <n v="3.6620455139942942E-3"/>
    <m/>
    <x v="1"/>
    <x v="1"/>
    <x v="1"/>
    <n v="2.6570439465199536E-3"/>
    <s v="OK"/>
    <s v="OK"/>
    <s v="OK"/>
  </r>
  <r>
    <n v="12"/>
    <n v="2022"/>
    <x v="3"/>
    <x v="5"/>
    <n v="11465"/>
    <n v="11431"/>
    <n v="0.99703445268207591"/>
    <n v="2.9655473179240888E-3"/>
    <m/>
    <x v="1"/>
    <x v="1"/>
    <x v="1"/>
    <n v="7.9683517778841931E-3"/>
    <s v="OK"/>
    <s v="OK"/>
    <s v="OK"/>
  </r>
  <r>
    <n v="12"/>
    <n v="2022"/>
    <x v="4"/>
    <x v="0"/>
    <n v="0"/>
    <n v="0"/>
    <m/>
    <m/>
    <s v="ABSENT"/>
    <x v="0"/>
    <x v="0"/>
    <x v="0"/>
    <n v="0"/>
    <s v="OK"/>
    <s v="OK"/>
    <s v="FLAG"/>
  </r>
  <r>
    <n v="12"/>
    <n v="2022"/>
    <x v="4"/>
    <x v="1"/>
    <n v="13060"/>
    <n v="13025"/>
    <n v="0.99732006125574268"/>
    <n v="2.6799387442573153E-3"/>
    <m/>
    <x v="1"/>
    <x v="1"/>
    <x v="1"/>
    <n v="9.0769013710569162E-3"/>
    <s v="OK"/>
    <s v="OK"/>
    <s v="OK"/>
  </r>
  <r>
    <n v="12"/>
    <n v="2022"/>
    <x v="4"/>
    <x v="2"/>
    <n v="55"/>
    <n v="55"/>
    <n v="1"/>
    <n v="0"/>
    <m/>
    <x v="1"/>
    <x v="2"/>
    <x v="2"/>
    <n v="3.8225848040438776E-5"/>
    <s v="OK"/>
    <s v="OK"/>
    <s v="OK"/>
  </r>
  <r>
    <n v="12"/>
    <n v="2022"/>
    <x v="4"/>
    <x v="3"/>
    <n v="89637"/>
    <n v="89317"/>
    <n v="0.99643004562847937"/>
    <n v="3.5699543715206339E-3"/>
    <m/>
    <x v="1"/>
    <x v="1"/>
    <x v="1"/>
    <n v="6.2299097105469284E-2"/>
    <s v="OK"/>
    <s v="OK"/>
    <s v="OK"/>
  </r>
  <r>
    <n v="12"/>
    <n v="2022"/>
    <x v="4"/>
    <x v="4"/>
    <n v="2549"/>
    <n v="2537"/>
    <n v="0.99529227147901134"/>
    <n v="4.7077285209886632E-3"/>
    <m/>
    <x v="1"/>
    <x v="1"/>
    <x v="1"/>
    <n v="1.771594302819608E-3"/>
    <s v="OK"/>
    <s v="OK"/>
    <s v="OK"/>
  </r>
  <r>
    <n v="12"/>
    <n v="2022"/>
    <x v="4"/>
    <x v="5"/>
    <n v="5861"/>
    <n v="5844"/>
    <n v="0.99709947108002051"/>
    <n v="2.9005289199794948E-3"/>
    <m/>
    <x v="1"/>
    <x v="1"/>
    <x v="1"/>
    <n v="4.0734853702729399E-3"/>
    <s v="OK"/>
    <s v="OK"/>
    <s v="OK"/>
  </r>
  <r>
    <n v="12"/>
    <n v="2022"/>
    <x v="5"/>
    <x v="0"/>
    <n v="0"/>
    <n v="0"/>
    <m/>
    <m/>
    <s v="ABSENT"/>
    <x v="0"/>
    <x v="0"/>
    <x v="0"/>
    <n v="0"/>
    <s v="OK"/>
    <s v="OK"/>
    <s v="FLAG"/>
  </r>
  <r>
    <n v="12"/>
    <n v="2022"/>
    <x v="5"/>
    <x v="1"/>
    <n v="3565"/>
    <n v="3552"/>
    <n v="0.99635343618513328"/>
    <n v="3.6465638148667212E-3"/>
    <m/>
    <x v="1"/>
    <x v="1"/>
    <x v="1"/>
    <n v="2.4777299684393497E-3"/>
    <s v="OK"/>
    <s v="OK"/>
    <s v="OK"/>
  </r>
  <r>
    <n v="12"/>
    <n v="2022"/>
    <x v="5"/>
    <x v="2"/>
    <n v="0"/>
    <n v="0"/>
    <m/>
    <m/>
    <s v="ABSENT"/>
    <x v="0"/>
    <x v="0"/>
    <x v="0"/>
    <n v="0"/>
    <s v="OK"/>
    <s v="OK"/>
    <s v="FLAG"/>
  </r>
  <r>
    <n v="12"/>
    <n v="2022"/>
    <x v="5"/>
    <x v="3"/>
    <n v="67799"/>
    <n v="67700"/>
    <n v="0.99853980147199817"/>
    <n v="1.4601985280018326E-3"/>
    <m/>
    <x v="1"/>
    <x v="1"/>
    <x v="1"/>
    <n v="4.7121350387158339E-2"/>
    <s v="OK"/>
    <s v="OK"/>
    <s v="OK"/>
  </r>
  <r>
    <n v="12"/>
    <n v="2022"/>
    <x v="5"/>
    <x v="4"/>
    <n v="1646"/>
    <n v="1642"/>
    <n v="0.99756986634264888"/>
    <n v="2.430133657351119E-3"/>
    <m/>
    <x v="1"/>
    <x v="1"/>
    <x v="1"/>
    <n v="1.143995379537495E-3"/>
    <s v="OK"/>
    <s v="OK"/>
    <s v="OK"/>
  </r>
  <r>
    <n v="12"/>
    <n v="2022"/>
    <x v="5"/>
    <x v="5"/>
    <n v="6713"/>
    <n v="6701"/>
    <n v="0.99821242365559359"/>
    <n v="1.7875763444064052E-3"/>
    <m/>
    <x v="1"/>
    <x v="1"/>
    <x v="1"/>
    <n v="4.6656385071902817E-3"/>
    <s v="OK"/>
    <s v="OK"/>
    <s v="OK"/>
  </r>
  <r>
    <n v="12"/>
    <n v="2022"/>
    <x v="6"/>
    <x v="0"/>
    <n v="164"/>
    <n v="162"/>
    <n v="0.98780487804878048"/>
    <n v="1.2195121951219523E-2"/>
    <m/>
    <x v="1"/>
    <x v="1"/>
    <x v="1"/>
    <n v="1.1398252870239926E-4"/>
    <s v="OK"/>
    <s v="OK"/>
    <s v="OK"/>
  </r>
  <r>
    <n v="12"/>
    <n v="2022"/>
    <x v="6"/>
    <x v="1"/>
    <n v="1555"/>
    <n v="1552"/>
    <n v="0.99807073954983927"/>
    <n v="1.9292604501607302E-3"/>
    <m/>
    <x v="1"/>
    <x v="1"/>
    <x v="1"/>
    <n v="1.0807489764160419E-3"/>
    <s v="OK"/>
    <s v="OK"/>
    <s v="OK"/>
  </r>
  <r>
    <n v="12"/>
    <n v="2022"/>
    <x v="6"/>
    <x v="2"/>
    <n v="22"/>
    <n v="22"/>
    <n v="1"/>
    <n v="0"/>
    <m/>
    <x v="1"/>
    <x v="2"/>
    <x v="2"/>
    <n v="1.5290339216175512E-5"/>
    <s v="OK"/>
    <s v="OK"/>
    <s v="OK"/>
  </r>
  <r>
    <n v="12"/>
    <n v="2022"/>
    <x v="6"/>
    <x v="3"/>
    <n v="62473"/>
    <n v="62094"/>
    <n v="0.99393337921982294"/>
    <n v="6.0666207801770566E-3"/>
    <m/>
    <x v="1"/>
    <x v="1"/>
    <x v="1"/>
    <n v="4.3419698266006029E-2"/>
    <s v="OK"/>
    <s v="OK"/>
    <s v="OK"/>
  </r>
  <r>
    <n v="12"/>
    <n v="2022"/>
    <x v="6"/>
    <x v="4"/>
    <n v="1120"/>
    <n v="1117"/>
    <n v="0.99732142857142858"/>
    <n v="2.6785714285714191E-3"/>
    <m/>
    <x v="1"/>
    <x v="1"/>
    <x v="1"/>
    <n v="7.7841726918711693E-4"/>
    <s v="OK"/>
    <s v="OK"/>
    <s v="OK"/>
  </r>
  <r>
    <n v="12"/>
    <n v="2022"/>
    <x v="6"/>
    <x v="5"/>
    <n v="4312"/>
    <n v="4307"/>
    <n v="0.99884044526901672"/>
    <n v="1.159554730983281E-3"/>
    <m/>
    <x v="1"/>
    <x v="1"/>
    <x v="1"/>
    <n v="2.9969064863704003E-3"/>
    <s v="OK"/>
    <s v="OK"/>
    <s v="OK"/>
  </r>
  <r>
    <n v="12"/>
    <n v="2022"/>
    <x v="7"/>
    <x v="0"/>
    <n v="0"/>
    <n v="0"/>
    <m/>
    <m/>
    <s v="ABSENT"/>
    <x v="0"/>
    <x v="0"/>
    <x v="0"/>
    <n v="0"/>
    <s v="OK"/>
    <s v="OK"/>
    <s v="FLAG"/>
  </r>
  <r>
    <n v="12"/>
    <n v="2022"/>
    <x v="7"/>
    <x v="1"/>
    <n v="100216"/>
    <n v="99566"/>
    <n v="0.99351400973896387"/>
    <n v="6.4859902610361342E-3"/>
    <m/>
    <x v="1"/>
    <x v="1"/>
    <x v="1"/>
    <n v="6.965166522219296E-2"/>
    <s v="OK"/>
    <s v="OK"/>
    <s v="OK"/>
  </r>
  <r>
    <n v="12"/>
    <n v="2022"/>
    <x v="7"/>
    <x v="2"/>
    <n v="6420"/>
    <n v="6393"/>
    <n v="0.99579439252336444"/>
    <n v="4.2056074766355644E-3"/>
    <m/>
    <x v="1"/>
    <x v="1"/>
    <x v="1"/>
    <n v="4.4619989894475812E-3"/>
    <s v="OK"/>
    <s v="OK"/>
    <s v="OK"/>
  </r>
  <r>
    <n v="12"/>
    <n v="2022"/>
    <x v="7"/>
    <x v="3"/>
    <n v="64953"/>
    <n v="64774"/>
    <n v="0.99724416116268688"/>
    <n v="2.7558388373131182E-3"/>
    <m/>
    <x v="1"/>
    <x v="1"/>
    <x v="1"/>
    <n v="4.5143336504920362E-2"/>
    <s v="OK"/>
    <s v="OK"/>
    <s v="OK"/>
  </r>
  <r>
    <n v="12"/>
    <n v="2022"/>
    <x v="7"/>
    <x v="4"/>
    <n v="81"/>
    <n v="81"/>
    <n v="1"/>
    <n v="0"/>
    <m/>
    <x v="1"/>
    <x v="2"/>
    <x v="2"/>
    <n v="5.6296248932282561E-5"/>
    <s v="OK"/>
    <s v="OK"/>
    <s v="OK"/>
  </r>
  <r>
    <n v="12"/>
    <n v="2022"/>
    <x v="7"/>
    <x v="5"/>
    <n v="6669"/>
    <n v="6661"/>
    <n v="0.99880041985305146"/>
    <n v="1.1995801469485423E-3"/>
    <m/>
    <x v="1"/>
    <x v="1"/>
    <x v="1"/>
    <n v="4.6350578287579309E-3"/>
    <s v="OK"/>
    <s v="OK"/>
    <s v="OK"/>
  </r>
  <r>
    <n v="12"/>
    <n v="2022"/>
    <x v="8"/>
    <x v="0"/>
    <n v="0"/>
    <n v="0"/>
    <m/>
    <m/>
    <s v="ABSENT"/>
    <x v="0"/>
    <x v="0"/>
    <x v="0"/>
    <n v="0"/>
    <s v="OK"/>
    <s v="OK"/>
    <s v="FLAG"/>
  </r>
  <r>
    <n v="12"/>
    <n v="2022"/>
    <x v="8"/>
    <x v="1"/>
    <n v="69504"/>
    <n v="69109"/>
    <n v="0.99431687384898715"/>
    <n v="5.6831261510128517E-3"/>
    <m/>
    <x v="1"/>
    <x v="1"/>
    <x v="1"/>
    <n v="4.8306351676411945E-2"/>
    <s v="OK"/>
    <s v="OK"/>
    <s v="OK"/>
  </r>
  <r>
    <n v="12"/>
    <n v="2022"/>
    <x v="8"/>
    <x v="2"/>
    <n v="7775"/>
    <n v="7743"/>
    <n v="0.99588424437299039"/>
    <n v="4.1157556270096096E-3"/>
    <m/>
    <x v="1"/>
    <x v="1"/>
    <x v="1"/>
    <n v="5.4037448820802086E-3"/>
    <s v="OK"/>
    <s v="OK"/>
    <s v="OK"/>
  </r>
  <r>
    <n v="12"/>
    <n v="2022"/>
    <x v="8"/>
    <x v="3"/>
    <n v="40461"/>
    <n v="40291"/>
    <n v="0.99579842317293199"/>
    <n v="4.2015768270680098E-3"/>
    <m/>
    <x v="1"/>
    <x v="1"/>
    <x v="1"/>
    <n v="2.8121018864803515E-2"/>
    <s v="OK"/>
    <s v="OK"/>
    <s v="OK"/>
  </r>
  <r>
    <n v="12"/>
    <n v="2022"/>
    <x v="8"/>
    <x v="4"/>
    <n v="65"/>
    <n v="65"/>
    <n v="1"/>
    <n v="0"/>
    <m/>
    <x v="1"/>
    <x v="2"/>
    <x v="2"/>
    <n v="4.5176002229609464E-5"/>
    <s v="OK"/>
    <s v="OK"/>
    <s v="OK"/>
  </r>
  <r>
    <n v="12"/>
    <n v="2022"/>
    <x v="8"/>
    <x v="5"/>
    <n v="2872"/>
    <n v="2872"/>
    <n v="1"/>
    <n v="0"/>
    <m/>
    <x v="1"/>
    <x v="1"/>
    <x v="1"/>
    <n v="1.9960842831298212E-3"/>
    <s v="OK"/>
    <s v="OK"/>
    <s v="OK"/>
  </r>
  <r>
    <n v="12"/>
    <n v="2022"/>
    <x v="9"/>
    <x v="0"/>
    <n v="0"/>
    <n v="0"/>
    <m/>
    <m/>
    <s v="ABSENT"/>
    <x v="0"/>
    <x v="0"/>
    <x v="0"/>
    <n v="0"/>
    <s v="OK"/>
    <s v="OK"/>
    <s v="FLAG"/>
  </r>
  <r>
    <n v="12"/>
    <n v="2022"/>
    <x v="9"/>
    <x v="1"/>
    <n v="20672"/>
    <n v="20518"/>
    <n v="0.99255030959752322"/>
    <n v="7.4496904024767829E-3"/>
    <m/>
    <x v="1"/>
    <x v="1"/>
    <x v="1"/>
    <n v="1.4367358739853644E-2"/>
    <s v="OK"/>
    <s v="OK"/>
    <s v="OK"/>
  </r>
  <r>
    <n v="12"/>
    <n v="2022"/>
    <x v="9"/>
    <x v="2"/>
    <n v="102"/>
    <n v="101"/>
    <n v="0.99019607843137258"/>
    <n v="9.8039215686274161E-3"/>
    <m/>
    <x v="1"/>
    <x v="1"/>
    <x v="1"/>
    <n v="7.0891572729541008E-5"/>
    <s v="OK"/>
    <s v="OK"/>
    <s v="OK"/>
  </r>
  <r>
    <n v="12"/>
    <n v="2022"/>
    <x v="9"/>
    <x v="3"/>
    <n v="20768"/>
    <n v="20601"/>
    <n v="0.99195878274268101"/>
    <n v="8.0412172573189888E-3"/>
    <m/>
    <x v="1"/>
    <x v="1"/>
    <x v="1"/>
    <n v="1.4434080220069681E-2"/>
    <s v="OK"/>
    <s v="OK"/>
    <s v="OK"/>
  </r>
  <r>
    <n v="12"/>
    <n v="2022"/>
    <x v="9"/>
    <x v="4"/>
    <n v="4536"/>
    <n v="4481"/>
    <n v="0.9878747795414462"/>
    <n v="1.2125220458553798E-2"/>
    <m/>
    <x v="1"/>
    <x v="1"/>
    <x v="1"/>
    <n v="3.1525899402078234E-3"/>
    <s v="OK"/>
    <s v="OK"/>
    <s v="OK"/>
  </r>
  <r>
    <n v="12"/>
    <n v="2022"/>
    <x v="9"/>
    <x v="5"/>
    <n v="6071"/>
    <n v="6047"/>
    <n v="0.99604677977268985"/>
    <n v="3.9532202273101502E-3"/>
    <m/>
    <x v="1"/>
    <x v="1"/>
    <x v="1"/>
    <n v="4.2194386082455241E-3"/>
    <s v="OK"/>
    <s v="OK"/>
    <s v="OK"/>
  </r>
  <r>
    <n v="12"/>
    <n v="2022"/>
    <x v="10"/>
    <x v="0"/>
    <n v="0"/>
    <n v="0"/>
    <m/>
    <m/>
    <s v="ABSENT"/>
    <x v="0"/>
    <x v="0"/>
    <x v="0"/>
    <n v="0"/>
    <s v="OK"/>
    <s v="OK"/>
    <s v="FLAG"/>
  </r>
  <r>
    <n v="12"/>
    <n v="2022"/>
    <x v="10"/>
    <x v="1"/>
    <n v="278"/>
    <n v="272"/>
    <n v="0.97841726618705038"/>
    <n v="2.1582733812949617E-2"/>
    <m/>
    <x v="1"/>
    <x v="1"/>
    <x v="3"/>
    <n v="1.9321428645894509E-4"/>
    <s v="OK"/>
    <s v="OK"/>
    <s v="OK"/>
  </r>
  <r>
    <n v="12"/>
    <n v="2022"/>
    <x v="10"/>
    <x v="2"/>
    <n v="921"/>
    <n v="920"/>
    <n v="0.998914223669924"/>
    <n v="1.0857763300760048E-3"/>
    <m/>
    <x v="1"/>
    <x v="1"/>
    <x v="1"/>
    <n v="6.4010920082262029E-4"/>
    <s v="OK"/>
    <s v="OK"/>
    <s v="OK"/>
  </r>
  <r>
    <n v="12"/>
    <n v="2022"/>
    <x v="10"/>
    <x v="3"/>
    <n v="100688"/>
    <n v="99746"/>
    <n v="0.99064436675671386"/>
    <n v="9.3556332432861433E-3"/>
    <m/>
    <x v="1"/>
    <x v="1"/>
    <x v="1"/>
    <n v="6.9979712499921812E-2"/>
    <s v="OK"/>
    <s v="OK"/>
    <s v="OK"/>
  </r>
  <r>
    <n v="12"/>
    <n v="2022"/>
    <x v="10"/>
    <x v="4"/>
    <n v="1069"/>
    <n v="1060"/>
    <n v="0.99158091674462112"/>
    <n v="8.4190832553788786E-3"/>
    <m/>
    <x v="1"/>
    <x v="1"/>
    <x v="1"/>
    <n v="7.4297148282234638E-4"/>
    <s v="OK"/>
    <s v="OK"/>
    <s v="OK"/>
  </r>
  <r>
    <n v="12"/>
    <n v="2022"/>
    <x v="10"/>
    <x v="5"/>
    <n v="4480"/>
    <n v="4471"/>
    <n v="0.99799107142857146"/>
    <n v="2.0089285714285365E-3"/>
    <m/>
    <x v="1"/>
    <x v="1"/>
    <x v="1"/>
    <n v="3.1136690767484677E-3"/>
    <s v="OK"/>
    <s v="OK"/>
    <s v="OK"/>
  </r>
  <r>
    <n v="12"/>
    <n v="2022"/>
    <x v="11"/>
    <x v="0"/>
    <n v="38"/>
    <n v="38"/>
    <n v="1"/>
    <n v="0"/>
    <m/>
    <x v="1"/>
    <x v="2"/>
    <x v="2"/>
    <n v="2.6410585918848608E-5"/>
    <s v="OK"/>
    <s v="OK"/>
    <s v="OK"/>
  </r>
  <r>
    <n v="12"/>
    <n v="2022"/>
    <x v="11"/>
    <x v="1"/>
    <n v="357"/>
    <n v="357"/>
    <n v="1"/>
    <n v="0"/>
    <m/>
    <x v="1"/>
    <x v="1"/>
    <x v="1"/>
    <n v="2.4812050455339353E-4"/>
    <s v="OK"/>
    <s v="OK"/>
    <s v="OK"/>
  </r>
  <r>
    <n v="12"/>
    <n v="2022"/>
    <x v="11"/>
    <x v="2"/>
    <n v="0"/>
    <n v="0"/>
    <m/>
    <m/>
    <s v="ABSENT"/>
    <x v="0"/>
    <x v="0"/>
    <x v="0"/>
    <n v="0"/>
    <s v="OK"/>
    <s v="OK"/>
    <s v="FLAG"/>
  </r>
  <r>
    <n v="12"/>
    <n v="2022"/>
    <x v="11"/>
    <x v="3"/>
    <n v="118675"/>
    <n v="118046"/>
    <n v="0.99469981040657263"/>
    <n v="5.3001895934273735E-3"/>
    <m/>
    <x v="1"/>
    <x v="1"/>
    <x v="1"/>
    <n v="8.248095483998312E-2"/>
    <s v="OK"/>
    <s v="OK"/>
    <s v="OK"/>
  </r>
  <r>
    <n v="12"/>
    <n v="2022"/>
    <x v="11"/>
    <x v="4"/>
    <n v="2231"/>
    <n v="2225"/>
    <n v="0.99731062303899598"/>
    <n v="2.6893769610040197E-3"/>
    <m/>
    <x v="1"/>
    <x v="1"/>
    <x v="1"/>
    <n v="1.5505793996039802E-3"/>
    <s v="OK"/>
    <s v="OK"/>
    <s v="OK"/>
  </r>
  <r>
    <n v="12"/>
    <n v="2022"/>
    <x v="11"/>
    <x v="5"/>
    <n v="3615"/>
    <n v="3607"/>
    <n v="0.99778699861687414"/>
    <n v="2.2130013831258566E-3"/>
    <m/>
    <x v="1"/>
    <x v="1"/>
    <x v="1"/>
    <n v="2.5124807393852033E-3"/>
    <s v="OK"/>
    <s v="OK"/>
    <s v="OK"/>
  </r>
  <r>
    <n v="12"/>
    <n v="2022"/>
    <x v="12"/>
    <x v="0"/>
    <n v="0"/>
    <n v="0"/>
    <m/>
    <m/>
    <s v="ABSENT"/>
    <x v="0"/>
    <x v="0"/>
    <x v="0"/>
    <n v="0"/>
    <s v="OK"/>
    <s v="OK"/>
    <s v="FLAG"/>
  </r>
  <r>
    <n v="12"/>
    <n v="2022"/>
    <x v="12"/>
    <x v="1"/>
    <n v="84"/>
    <n v="83"/>
    <n v="0.98809523809523814"/>
    <n v="1.1904761904761862E-2"/>
    <m/>
    <x v="1"/>
    <x v="2"/>
    <x v="1"/>
    <n v="5.8381295189033768E-5"/>
    <s v="OK"/>
    <s v="OK"/>
    <s v="OK"/>
  </r>
  <r>
    <n v="12"/>
    <n v="2022"/>
    <x v="12"/>
    <x v="2"/>
    <n v="0"/>
    <n v="0"/>
    <m/>
    <m/>
    <s v="ABSENT"/>
    <x v="0"/>
    <x v="0"/>
    <x v="0"/>
    <n v="0"/>
    <s v="OK"/>
    <s v="OK"/>
    <s v="FLAG"/>
  </r>
  <r>
    <n v="12"/>
    <n v="2022"/>
    <x v="12"/>
    <x v="3"/>
    <n v="84716"/>
    <n v="83962"/>
    <n v="0.99109967420558098"/>
    <n v="8.9003257944190173E-3"/>
    <m/>
    <x v="1"/>
    <x v="1"/>
    <x v="1"/>
    <n v="5.887892622897839E-2"/>
    <s v="OK"/>
    <s v="OK"/>
    <s v="OK"/>
  </r>
  <r>
    <n v="12"/>
    <n v="2022"/>
    <x v="12"/>
    <x v="4"/>
    <n v="3714"/>
    <n v="3669"/>
    <n v="0.98788368336025845"/>
    <n v="1.2116316639741553E-2"/>
    <m/>
    <x v="1"/>
    <x v="1"/>
    <x v="1"/>
    <n v="2.581287265857993E-3"/>
    <s v="OK"/>
    <s v="OK"/>
    <s v="OK"/>
  </r>
  <r>
    <n v="12"/>
    <n v="2022"/>
    <x v="12"/>
    <x v="5"/>
    <n v="5409"/>
    <n v="5398"/>
    <n v="0.99796635237567022"/>
    <n v="2.0336476243297819E-3"/>
    <m/>
    <x v="1"/>
    <x v="1"/>
    <x v="1"/>
    <n v="3.7593384009224243E-3"/>
    <s v="OK"/>
    <s v="OK"/>
    <s v="OK"/>
  </r>
  <r>
    <n v="12"/>
    <n v="2022"/>
    <x v="13"/>
    <x v="0"/>
    <n v="0"/>
    <n v="0"/>
    <m/>
    <m/>
    <s v="ABSENT"/>
    <x v="0"/>
    <x v="0"/>
    <x v="0"/>
    <n v="0"/>
    <s v="OK"/>
    <s v="OK"/>
    <s v="FLAG"/>
  </r>
  <r>
    <n v="12"/>
    <n v="2022"/>
    <x v="13"/>
    <x v="1"/>
    <n v="1336"/>
    <n v="1272"/>
    <n v="0.95209580838323349"/>
    <n v="4.7904191616766512E-2"/>
    <m/>
    <x v="1"/>
    <x v="1"/>
    <x v="3"/>
    <n v="9.2854059967320372E-4"/>
    <s v="OK"/>
    <s v="OK"/>
    <s v="OK"/>
  </r>
  <r>
    <n v="12"/>
    <n v="2022"/>
    <x v="13"/>
    <x v="2"/>
    <n v="0"/>
    <n v="0"/>
    <m/>
    <m/>
    <s v="ABSENT"/>
    <x v="0"/>
    <x v="0"/>
    <x v="0"/>
    <n v="0"/>
    <s v="OK"/>
    <s v="OK"/>
    <s v="FLAG"/>
  </r>
  <r>
    <n v="12"/>
    <n v="2022"/>
    <x v="13"/>
    <x v="3"/>
    <n v="131729"/>
    <n v="130263"/>
    <n v="0.98887109140735907"/>
    <n v="1.1128908592640929E-2"/>
    <m/>
    <x v="1"/>
    <x v="1"/>
    <x v="1"/>
    <n v="9.1553686118526545E-2"/>
    <s v="OK"/>
    <s v="OK"/>
    <s v="OK"/>
  </r>
  <r>
    <n v="12"/>
    <n v="2022"/>
    <x v="13"/>
    <x v="4"/>
    <n v="3184"/>
    <n v="3152"/>
    <n v="0.98994974874371855"/>
    <n v="1.0050251256281451E-2"/>
    <m/>
    <x v="1"/>
    <x v="1"/>
    <x v="1"/>
    <n v="2.2129290938319468E-3"/>
    <s v="OK"/>
    <s v="OK"/>
    <s v="OK"/>
  </r>
  <r>
    <n v="12"/>
    <n v="2022"/>
    <x v="13"/>
    <x v="5"/>
    <n v="8680"/>
    <n v="8666"/>
    <n v="0.99838709677419357"/>
    <n v="1.612903225806428E-3"/>
    <m/>
    <x v="1"/>
    <x v="1"/>
    <x v="1"/>
    <n v="6.0327338362001562E-3"/>
    <s v="OK"/>
    <s v="OK"/>
    <s v="OK"/>
  </r>
  <r>
    <n v="12"/>
    <n v="2022"/>
    <x v="14"/>
    <x v="0"/>
    <n v="0"/>
    <n v="0"/>
    <m/>
    <m/>
    <s v="ABSENT"/>
    <x v="0"/>
    <x v="0"/>
    <x v="0"/>
    <n v="0"/>
    <s v="OK"/>
    <s v="OK"/>
    <s v="FLAG"/>
  </r>
  <r>
    <n v="12"/>
    <n v="2022"/>
    <x v="14"/>
    <x v="1"/>
    <n v="1535"/>
    <n v="1534"/>
    <n v="0.99934853420195435"/>
    <n v="6.514657980456473E-4"/>
    <m/>
    <x v="1"/>
    <x v="1"/>
    <x v="1"/>
    <n v="1.0668486680377005E-3"/>
    <s v="OK"/>
    <s v="OK"/>
    <s v="OK"/>
  </r>
  <r>
    <n v="12"/>
    <n v="2022"/>
    <x v="14"/>
    <x v="2"/>
    <n v="0"/>
    <n v="0"/>
    <m/>
    <m/>
    <s v="ABSENT"/>
    <x v="0"/>
    <x v="0"/>
    <x v="0"/>
    <n v="0"/>
    <s v="OK"/>
    <s v="OK"/>
    <s v="FLAG"/>
  </r>
  <r>
    <n v="12"/>
    <n v="2022"/>
    <x v="14"/>
    <x v="3"/>
    <n v="22801"/>
    <n v="22742"/>
    <n v="0.99741239419323713"/>
    <n v="2.5876058067628716E-3"/>
    <m/>
    <x v="1"/>
    <x v="1"/>
    <x v="1"/>
    <n v="1.5847046566728081E-2"/>
    <s v="OK"/>
    <s v="OK"/>
    <s v="OK"/>
  </r>
  <r>
    <n v="12"/>
    <n v="2022"/>
    <x v="14"/>
    <x v="4"/>
    <n v="1673"/>
    <n v="1662"/>
    <n v="0.99342498505678423"/>
    <n v="6.5750149432157734E-3"/>
    <m/>
    <x v="1"/>
    <x v="1"/>
    <x v="1"/>
    <n v="1.1627607958482559E-3"/>
    <s v="OK"/>
    <s v="OK"/>
    <s v="OK"/>
  </r>
  <r>
    <n v="12"/>
    <n v="2022"/>
    <x v="14"/>
    <x v="5"/>
    <n v="4859"/>
    <n v="4849"/>
    <n v="0.99794196336694796"/>
    <n v="2.0580366330520405E-3"/>
    <m/>
    <x v="1"/>
    <x v="1"/>
    <x v="1"/>
    <n v="3.3770799205180366E-3"/>
    <s v="OK"/>
    <s v="OK"/>
    <s v="OK"/>
  </r>
  <r>
    <n v="12"/>
    <n v="2022"/>
    <x v="15"/>
    <x v="0"/>
    <n v="0"/>
    <n v="0"/>
    <m/>
    <m/>
    <s v="ABSENT"/>
    <x v="0"/>
    <x v="0"/>
    <x v="0"/>
    <n v="0"/>
    <s v="OK"/>
    <s v="OK"/>
    <s v="FLAG"/>
  </r>
  <r>
    <n v="12"/>
    <n v="2022"/>
    <x v="15"/>
    <x v="1"/>
    <n v="82"/>
    <n v="82"/>
    <n v="1"/>
    <n v="0"/>
    <m/>
    <x v="1"/>
    <x v="2"/>
    <x v="2"/>
    <n v="5.6991264351199632E-5"/>
    <s v="OK"/>
    <s v="OK"/>
    <s v="OK"/>
  </r>
  <r>
    <n v="12"/>
    <n v="2022"/>
    <x v="15"/>
    <x v="2"/>
    <n v="0"/>
    <n v="0"/>
    <m/>
    <m/>
    <s v="ABSENT"/>
    <x v="0"/>
    <x v="0"/>
    <x v="0"/>
    <n v="0"/>
    <s v="OK"/>
    <s v="OK"/>
    <s v="FLAG"/>
  </r>
  <r>
    <n v="12"/>
    <n v="2022"/>
    <x v="15"/>
    <x v="3"/>
    <n v="33500"/>
    <n v="33462"/>
    <n v="0.99886567164179108"/>
    <n v="1.1343283582089247E-3"/>
    <m/>
    <x v="1"/>
    <x v="1"/>
    <x v="1"/>
    <n v="2.32830165337218E-2"/>
    <s v="OK"/>
    <s v="OK"/>
    <s v="OK"/>
  </r>
  <r>
    <n v="12"/>
    <n v="2022"/>
    <x v="15"/>
    <x v="4"/>
    <n v="973"/>
    <n v="972"/>
    <n v="0.99897225077081198"/>
    <n v="1.0277492291880241E-3"/>
    <m/>
    <x v="1"/>
    <x v="1"/>
    <x v="1"/>
    <n v="6.7625000260630784E-4"/>
    <s v="OK"/>
    <s v="OK"/>
    <s v="OK"/>
  </r>
  <r>
    <n v="12"/>
    <n v="2022"/>
    <x v="15"/>
    <x v="5"/>
    <n v="3666"/>
    <n v="3661"/>
    <n v="0.9986361156573923"/>
    <n v="1.3638843426077019E-3"/>
    <m/>
    <x v="1"/>
    <x v="1"/>
    <x v="1"/>
    <n v="2.5479265257499738E-3"/>
    <s v="OK"/>
    <s v="OK"/>
    <s v="OK"/>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29C33D8-D398-465C-8116-398D7A6450FF}" name="PivotTable1" cacheId="27" applyNumberFormats="0" applyBorderFormats="0" applyFontFormats="0" applyPatternFormats="0" applyAlignmentFormats="0" applyWidthHeightFormats="1" dataCaption="Values" missingCaption="0" updatedVersion="8" minRefreshableVersion="3" useAutoFormatting="1" itemPrintTitles="1" createdVersion="8" indent="0" outline="1" outlineData="1" multipleFieldFilters="0" chartFormat="5">
  <location ref="A3:D8" firstHeaderRow="1" firstDataRow="2" firstDataCol="1"/>
  <pivotFields count="15">
    <pivotField showAll="0"/>
    <pivotField showAll="0"/>
    <pivotField showAll="0">
      <items count="17">
        <item x="0"/>
        <item x="1"/>
        <item x="2"/>
        <item x="3"/>
        <item x="4"/>
        <item x="5"/>
        <item x="6"/>
        <item x="7"/>
        <item x="8"/>
        <item x="9"/>
        <item x="10"/>
        <item x="11"/>
        <item x="12"/>
        <item x="13"/>
        <item x="14"/>
        <item x="15"/>
        <item t="default"/>
      </items>
    </pivotField>
    <pivotField showAll="0">
      <items count="7">
        <item x="0"/>
        <item x="1"/>
        <item x="2"/>
        <item x="3"/>
        <item x="4"/>
        <item x="5"/>
        <item t="default"/>
      </items>
    </pivotField>
    <pivotField showAll="0"/>
    <pivotField showAll="0"/>
    <pivotField showAll="0"/>
    <pivotField showAll="0"/>
    <pivotField showAll="0"/>
    <pivotField showAll="0"/>
    <pivotField showAll="0"/>
    <pivotField showAll="0"/>
    <pivotField showAll="0"/>
    <pivotField axis="axisRow" showAll="0">
      <items count="4">
        <item x="2"/>
        <item x="0"/>
        <item x="1"/>
        <item t="default"/>
      </items>
    </pivotField>
    <pivotField axis="axisCol" dataField="1" showAll="0">
      <items count="3">
        <item x="1"/>
        <item x="0"/>
        <item t="default"/>
      </items>
    </pivotField>
  </pivotFields>
  <rowFields count="1">
    <field x="13"/>
  </rowFields>
  <rowItems count="4">
    <i>
      <x/>
    </i>
    <i>
      <x v="1"/>
    </i>
    <i>
      <x v="2"/>
    </i>
    <i t="grand">
      <x/>
    </i>
  </rowItems>
  <colFields count="1">
    <field x="14"/>
  </colFields>
  <colItems count="3">
    <i>
      <x/>
    </i>
    <i>
      <x v="1"/>
    </i>
    <i t="grand">
      <x/>
    </i>
  </colItems>
  <dataFields count="1">
    <dataField name="Count of Integrity_CheckResult" fld="14" subtotal="count" baseField="13" baseItem="0"/>
  </dataFields>
  <chartFormats count="4">
    <chartFormat chart="0" format="0" series="1">
      <pivotArea type="data" outline="0" fieldPosition="0">
        <references count="2">
          <reference field="4294967294" count="1" selected="0">
            <x v="0"/>
          </reference>
          <reference field="14" count="1" selected="0">
            <x v="0"/>
          </reference>
        </references>
      </pivotArea>
    </chartFormat>
    <chartFormat chart="0" format="1" series="1">
      <pivotArea type="data" outline="0" fieldPosition="0">
        <references count="2">
          <reference field="4294967294" count="1" selected="0">
            <x v="0"/>
          </reference>
          <reference field="14" count="1" selected="0">
            <x v="1"/>
          </reference>
        </references>
      </pivotArea>
    </chartFormat>
    <chartFormat chart="4" format="4" series="1">
      <pivotArea type="data" outline="0" fieldPosition="0">
        <references count="2">
          <reference field="4294967294" count="1" selected="0">
            <x v="0"/>
          </reference>
          <reference field="14" count="1" selected="0">
            <x v="0"/>
          </reference>
        </references>
      </pivotArea>
    </chartFormat>
    <chartFormat chart="4" format="5" series="1">
      <pivotArea type="data" outline="0" fieldPosition="0">
        <references count="2">
          <reference field="4294967294" count="1" selected="0">
            <x v="0"/>
          </reference>
          <reference field="1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777DB17-532E-428C-A5D9-986A3DAF3A59}" name="PivotTable2" cacheId="2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3:B7" firstHeaderRow="1" firstDataRow="1" firstDataCol="1"/>
  <pivotFields count="16">
    <pivotField showAll="0"/>
    <pivotField showAll="0"/>
    <pivotField showAll="0"/>
    <pivotField showAll="0"/>
    <pivotField showAll="0"/>
    <pivotField showAll="0"/>
    <pivotField showAll="0"/>
    <pivotField showAll="0"/>
    <pivotField showAll="0"/>
    <pivotField showAll="0"/>
    <pivotField axis="axisRow" dataField="1" showAll="0">
      <items count="4">
        <item x="0"/>
        <item x="2"/>
        <item x="1"/>
        <item t="default"/>
      </items>
    </pivotField>
    <pivotField showAll="0"/>
    <pivotField numFmtId="10" showAll="0"/>
    <pivotField showAll="0"/>
    <pivotField showAll="0"/>
    <pivotField showAll="0"/>
  </pivotFields>
  <rowFields count="1">
    <field x="10"/>
  </rowFields>
  <rowItems count="4">
    <i>
      <x/>
    </i>
    <i>
      <x v="1"/>
    </i>
    <i>
      <x v="2"/>
    </i>
    <i t="grand">
      <x/>
    </i>
  </rowItems>
  <colItems count="1">
    <i/>
  </colItems>
  <dataFields count="1">
    <dataField name="Count of Base Flag" fld="10" subtotal="count" baseField="0" baseItem="0"/>
  </dataFields>
  <chartFormats count="5">
    <chartFormat chart="0" format="0" series="1">
      <pivotArea type="data" outline="0" fieldPosition="0">
        <references count="1">
          <reference field="4294967294" count="1" selected="0">
            <x v="0"/>
          </reference>
        </references>
      </pivotArea>
    </chartFormat>
    <chartFormat chart="3" format="5" series="1">
      <pivotArea type="data" outline="0" fieldPosition="0">
        <references count="1">
          <reference field="4294967294" count="1" selected="0">
            <x v="0"/>
          </reference>
        </references>
      </pivotArea>
    </chartFormat>
    <chartFormat chart="3" format="6">
      <pivotArea type="data" outline="0" fieldPosition="0">
        <references count="2">
          <reference field="4294967294" count="1" selected="0">
            <x v="0"/>
          </reference>
          <reference field="10" count="1" selected="0">
            <x v="0"/>
          </reference>
        </references>
      </pivotArea>
    </chartFormat>
    <chartFormat chart="3" format="7">
      <pivotArea type="data" outline="0" fieldPosition="0">
        <references count="2">
          <reference field="4294967294" count="1" selected="0">
            <x v="0"/>
          </reference>
          <reference field="10" count="1" selected="0">
            <x v="1"/>
          </reference>
        </references>
      </pivotArea>
    </chartFormat>
    <chartFormat chart="3" format="8">
      <pivotArea type="data" outline="0" fieldPosition="0">
        <references count="2">
          <reference field="4294967294" count="1" selected="0">
            <x v="0"/>
          </reference>
          <reference field="10"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3D1EB5-C876-4848-9DC5-1A5FEB935FE6}" name="PivotTable3" cacheId="2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3:B8" firstHeaderRow="1" firstDataRow="1" firstDataCol="1"/>
  <pivotFields count="16">
    <pivotField showAll="0"/>
    <pivotField showAll="0"/>
    <pivotField showAll="0"/>
    <pivotField showAll="0"/>
    <pivotField showAll="0"/>
    <pivotField showAll="0"/>
    <pivotField showAll="0"/>
    <pivotField showAll="0"/>
    <pivotField showAll="0"/>
    <pivotField showAll="0"/>
    <pivotField showAll="0"/>
    <pivotField axis="axisRow" dataField="1" showAll="0">
      <items count="5">
        <item x="0"/>
        <item x="3"/>
        <item x="1"/>
        <item x="2"/>
        <item t="default"/>
      </items>
    </pivotField>
    <pivotField numFmtId="10" showAll="0"/>
    <pivotField showAll="0"/>
    <pivotField showAll="0"/>
    <pivotField showAll="0"/>
  </pivotFields>
  <rowFields count="1">
    <field x="11"/>
  </rowFields>
  <rowItems count="5">
    <i>
      <x/>
    </i>
    <i>
      <x v="1"/>
    </i>
    <i>
      <x v="2"/>
    </i>
    <i>
      <x v="3"/>
    </i>
    <i t="grand">
      <x/>
    </i>
  </rowItems>
  <colItems count="1">
    <i/>
  </colItems>
  <dataFields count="1">
    <dataField name="Count of Anomaly Flag" fld="11" subtotal="count" baseField="0" baseItem="0"/>
  </dataFields>
  <chartFormats count="6">
    <chartFormat chart="0" format="0" series="1">
      <pivotArea type="data" outline="0" fieldPosition="0">
        <references count="1">
          <reference field="4294967294" count="1" selected="0">
            <x v="0"/>
          </reference>
        </references>
      </pivotArea>
    </chartFormat>
    <chartFormat chart="3" format="6" series="1">
      <pivotArea type="data" outline="0" fieldPosition="0">
        <references count="1">
          <reference field="4294967294" count="1" selected="0">
            <x v="0"/>
          </reference>
        </references>
      </pivotArea>
    </chartFormat>
    <chartFormat chart="3" format="7">
      <pivotArea type="data" outline="0" fieldPosition="0">
        <references count="2">
          <reference field="4294967294" count="1" selected="0">
            <x v="0"/>
          </reference>
          <reference field="11" count="1" selected="0">
            <x v="0"/>
          </reference>
        </references>
      </pivotArea>
    </chartFormat>
    <chartFormat chart="3" format="8">
      <pivotArea type="data" outline="0" fieldPosition="0">
        <references count="2">
          <reference field="4294967294" count="1" selected="0">
            <x v="0"/>
          </reference>
          <reference field="11" count="1" selected="0">
            <x v="1"/>
          </reference>
        </references>
      </pivotArea>
    </chartFormat>
    <chartFormat chart="3" format="9">
      <pivotArea type="data" outline="0" fieldPosition="0">
        <references count="2">
          <reference field="4294967294" count="1" selected="0">
            <x v="0"/>
          </reference>
          <reference field="11" count="1" selected="0">
            <x v="2"/>
          </reference>
        </references>
      </pivotArea>
    </chartFormat>
    <chartFormat chart="3" format="10">
      <pivotArea type="data" outline="0" fieldPosition="0">
        <references count="2">
          <reference field="4294967294" count="1" selected="0">
            <x v="0"/>
          </reference>
          <reference field="11"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B7A7E3-0BE5-4A95-8905-6E7009CA0303}" name="PivotTable3" cacheId="2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12" firstHeaderRow="1" firstDataRow="1" firstDataCol="1" rowPageCount="1" colPageCount="1"/>
  <pivotFields count="16">
    <pivotField showAll="0"/>
    <pivotField showAll="0"/>
    <pivotField axis="axisRow" showAll="0" sortType="ascending">
      <items count="17">
        <item x="0"/>
        <item x="1"/>
        <item x="2"/>
        <item x="3"/>
        <item x="4"/>
        <item x="5"/>
        <item x="6"/>
        <item x="7"/>
        <item x="8"/>
        <item x="9"/>
        <item x="10"/>
        <item x="11"/>
        <item x="12"/>
        <item x="13"/>
        <item x="14"/>
        <item x="15"/>
        <item t="default"/>
      </items>
      <autoSortScope>
        <pivotArea dataOnly="0" outline="0" fieldPosition="0">
          <references count="1">
            <reference field="4294967294" count="1" selected="0">
              <x v="0"/>
            </reference>
          </references>
        </pivotArea>
      </autoSortScope>
    </pivotField>
    <pivotField axis="axisRow" showAll="0">
      <items count="7">
        <item x="0"/>
        <item h="1" x="1"/>
        <item h="1" x="2"/>
        <item h="1" x="3"/>
        <item h="1" x="4"/>
        <item h="1" x="5"/>
        <item t="default"/>
      </items>
    </pivotField>
    <pivotField dataField="1" showAll="0"/>
    <pivotField showAll="0"/>
    <pivotField showAll="0"/>
    <pivotField showAll="0"/>
    <pivotField showAll="0"/>
    <pivotField axis="axisPage" showAll="0">
      <items count="3">
        <item x="0"/>
        <item x="1"/>
        <item t="default"/>
      </items>
    </pivotField>
    <pivotField showAll="0"/>
    <pivotField showAll="0"/>
    <pivotField numFmtId="10" showAll="0"/>
    <pivotField showAll="0"/>
    <pivotField showAll="0"/>
    <pivotField showAll="0"/>
  </pivotFields>
  <rowFields count="2">
    <field x="2"/>
    <field x="3"/>
  </rowFields>
  <rowItems count="9">
    <i>
      <x v="11"/>
    </i>
    <i r="1">
      <x/>
    </i>
    <i>
      <x v="1"/>
    </i>
    <i r="1">
      <x/>
    </i>
    <i>
      <x v="3"/>
    </i>
    <i r="1">
      <x/>
    </i>
    <i>
      <x v="6"/>
    </i>
    <i r="1">
      <x/>
    </i>
    <i t="grand">
      <x/>
    </i>
  </rowItems>
  <colItems count="1">
    <i/>
  </colItems>
  <pageFields count="1">
    <pageField fld="9" item="1" hier="-1"/>
  </pageFields>
  <dataFields count="1">
    <dataField name="Min of Registered" fld="4" subtotal="min" baseField="2"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F0480BE-F6DB-463D-B32A-EEB1A38A2C65}" name="PivotTable1" cacheId="2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D10" firstHeaderRow="0" firstDataRow="1" firstDataCol="1"/>
  <pivotFields count="16">
    <pivotField showAll="0"/>
    <pivotField showAll="0"/>
    <pivotField showAll="0"/>
    <pivotField axis="axisRow" showAll="0">
      <items count="7">
        <item x="0"/>
        <item x="1"/>
        <item x="2"/>
        <item x="3"/>
        <item x="4"/>
        <item x="5"/>
        <item t="default"/>
      </items>
    </pivotField>
    <pivotField showAll="0"/>
    <pivotField showAll="0"/>
    <pivotField dataField="1" showAll="0"/>
    <pivotField showAll="0"/>
    <pivotField showAll="0"/>
    <pivotField showAll="0"/>
    <pivotField showAll="0"/>
    <pivotField showAll="0"/>
    <pivotField numFmtId="10" showAll="0"/>
    <pivotField showAll="0"/>
    <pivotField showAll="0"/>
    <pivotField showAll="0"/>
  </pivotFields>
  <rowFields count="1">
    <field x="3"/>
  </rowFields>
  <rowItems count="7">
    <i>
      <x/>
    </i>
    <i>
      <x v="1"/>
    </i>
    <i>
      <x v="2"/>
    </i>
    <i>
      <x v="3"/>
    </i>
    <i>
      <x v="4"/>
    </i>
    <i>
      <x v="5"/>
    </i>
    <i t="grand">
      <x/>
    </i>
  </rowItems>
  <colFields count="1">
    <field x="-2"/>
  </colFields>
  <colItems count="3">
    <i>
      <x/>
    </i>
    <i i="1">
      <x v="1"/>
    </i>
    <i i="2">
      <x v="2"/>
    </i>
  </colItems>
  <dataFields count="3">
    <dataField name="Volatility_StdDev_SchoolType" fld="6" subtotal="stdDev" baseField="3" baseItem="2" numFmtId="164"/>
    <dataField name="Max_AppearanceRate" fld="6" subtotal="max" baseField="3" baseItem="1" numFmtId="164"/>
    <dataField name="Min_AppearanceRate" fld="6" subtotal="min" baseField="3" baseItem="1" numFmtId="164"/>
  </dataFields>
  <formats count="3">
    <format dxfId="2">
      <pivotArea outline="0" collapsedLevelsAreSubtotals="1" fieldPosition="0">
        <references count="1">
          <reference field="4294967294" count="1" selected="0">
            <x v="0"/>
          </reference>
        </references>
      </pivotArea>
    </format>
    <format dxfId="1">
      <pivotArea outline="0" collapsedLevelsAreSubtotals="1" fieldPosition="0">
        <references count="1">
          <reference field="4294967294" count="1" selected="0">
            <x v="1"/>
          </reference>
        </references>
      </pivotArea>
    </format>
    <format dxfId="0">
      <pivotArea outline="0" collapsedLevelsAreSubtotals="1" fieldPosition="0">
        <references count="1">
          <reference field="4294967294" count="1" selected="0">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A161C9F1-F677-4BF0-A88B-EED36F34F601}" autoFormatId="16" applyNumberFormats="0" applyBorderFormats="0" applyFontFormats="0" applyPatternFormats="0" applyAlignmentFormats="0" applyWidthHeightFormats="0">
  <queryTableRefresh nextId="13">
    <queryTableFields count="9">
      <queryTableField id="1" name="Class" tableColumnId="1"/>
      <queryTableField id="2" name="Year" tableColumnId="2"/>
      <queryTableField id="3" name="Region" tableColumnId="3"/>
      <queryTableField id="4" name="School Type" tableColumnId="4"/>
      <queryTableField id="5" name="Registered" tableColumnId="5"/>
      <queryTableField id="6" name="Appeared" tableColumnId="6"/>
      <queryTableField id="7" name="Appearance Rate" tableColumnId="7"/>
      <queryTableField id="8" name="No-show Rate" tableColumnId="8"/>
      <queryTableField id="9" name="Absence Flag" tableColumnId="9"/>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2" xr16:uid="{85F3C769-909C-45BC-80AB-1E9A59B860E1}" autoFormatId="16" applyNumberFormats="0" applyBorderFormats="0" applyFontFormats="0" applyPatternFormats="0" applyAlignmentFormats="0" applyWidthHeightFormats="0">
  <queryTableRefresh nextId="24" unboundColumnsRight="7">
    <queryTableFields count="16">
      <queryTableField id="1" name="Class" tableColumnId="1"/>
      <queryTableField id="2" name="Year" tableColumnId="2"/>
      <queryTableField id="3" name="Region" tableColumnId="3"/>
      <queryTableField id="4" name="School Type" tableColumnId="4"/>
      <queryTableField id="5" name="Registered" tableColumnId="5"/>
      <queryTableField id="6" name="Appeared" tableColumnId="6"/>
      <queryTableField id="7" name="Appearance Rate" tableColumnId="7"/>
      <queryTableField id="8" name="No-show Rate" tableColumnId="8"/>
      <queryTableField id="9" name="Absence Flag" tableColumnId="9"/>
      <queryTableField id="14" dataBound="0" tableColumnId="11"/>
      <queryTableField id="15" dataBound="0" tableColumnId="10"/>
      <queryTableField id="16" dataBound="0" tableColumnId="12"/>
      <queryTableField id="17" dataBound="0" tableColumnId="13"/>
      <queryTableField id="18" dataBound="0" tableColumnId="14"/>
      <queryTableField id="19" dataBound="0" tableColumnId="15"/>
      <queryTableField id="20" dataBound="0" tableColumnId="16"/>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chool_Type" xr10:uid="{E8E6690B-1EE8-43C7-B451-55AAEE87DCC0}" sourceName="School Type">
  <pivotTables>
    <pivotTable tabId="10" name="PivotTable3"/>
  </pivotTables>
  <data>
    <tabular pivotCacheId="1192373820">
      <items count="6">
        <i x="0" s="1"/>
        <i x="1"/>
        <i x="2"/>
        <i x="3"/>
        <i x="4"/>
        <i x="5"/>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9FD5EEFE-8DD2-40CD-984A-5B9B3F577753}" sourceName="Region">
  <pivotTables>
    <pivotTable tabId="19" name="PivotTable1"/>
  </pivotTables>
  <data>
    <tabular pivotCacheId="464832844">
      <items count="16">
        <i x="0" s="1"/>
        <i x="1" s="1"/>
        <i x="2" s="1"/>
        <i x="3" s="1"/>
        <i x="4" s="1"/>
        <i x="5" s="1"/>
        <i x="6" s="1"/>
        <i x="7" s="1"/>
        <i x="8" s="1"/>
        <i x="9" s="1"/>
        <i x="10" s="1"/>
        <i x="11" s="1"/>
        <i x="12" s="1"/>
        <i x="13" s="1"/>
        <i x="14" s="1"/>
        <i x="15"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chool_Type1" xr10:uid="{C6B2F069-5021-4889-B639-71DD7D0D2B8B}" sourceName="School Type">
  <pivotTables>
    <pivotTable tabId="19" name="PivotTable1"/>
  </pivotTables>
  <data>
    <tabular pivotCacheId="464832844">
      <items count="6">
        <i x="0" s="1"/>
        <i x="1" s="1"/>
        <i x="2" s="1"/>
        <i x="3" s="1"/>
        <i x="4" s="1"/>
        <i x="5"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chool Type" xr10:uid="{678F6296-9F35-4FA2-B735-ED32391E5666}" cache="Slicer_School_Type" caption="School Type" showCaption="0"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1E965864-732F-4442-803D-6C40CF96C59B}" cache="Slicer_Region" caption="Region" showCaption="0" rowHeight="247650"/>
  <slicer name="School Type 1" xr10:uid="{F0135908-F36D-41CE-991C-B31812F73B2A}" cache="Slicer_School_Type1" caption="School Type" showCaption="0" rowHeight="247650"/>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F299A95-5D9D-4072-B258-A447BA070627}" name="Table1" displayName="Table1" ref="A1:J33" totalsRowShown="0">
  <autoFilter ref="A1:J33" xr:uid="{7F299A95-5D9D-4072-B258-A447BA070627}"/>
  <tableColumns count="10">
    <tableColumn id="1" xr3:uid="{EB212126-DB94-4AC2-93EE-76D225692D4C}" name="Class"/>
    <tableColumn id="2" xr3:uid="{06635E39-066B-4E32-9666-167EB770887F}" name="Year"/>
    <tableColumn id="3" xr3:uid="{C1D1267C-3F22-42EB-81B7-1C33CE3EB0D0}" name="Type "/>
    <tableColumn id="4" xr3:uid="{55CD64CA-5F23-47F2-8BAA-3849C810560F}" name="Status"/>
    <tableColumn id="5" xr3:uid="{A68BAD8B-E46D-4BBD-B585-6C89B344F4AD}" name="CTSA"/>
    <tableColumn id="6" xr3:uid="{F4005CBB-7F82-4DFC-B304-248D778125E9}" name="GOVT"/>
    <tableColumn id="7" xr3:uid="{3744A720-832B-4112-B13C-8BB978AEDCA0}" name="GOVT AIDED"/>
    <tableColumn id="8" xr3:uid="{C0B7DC51-C9A2-43C7-949B-DD575C096B4B}" name="INDEPENDENT"/>
    <tableColumn id="9" xr3:uid="{ED1F0D25-C9DC-4A98-A767-C60AC3224117}" name="JNV"/>
    <tableColumn id="10" xr3:uid="{98B36F9A-8CD5-4B97-9FCB-454D0596CED3}" name="KV"/>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42841B3-F18C-4C6C-AD3B-6484E5950E39}" name="Table1_1" displayName="Table1_1" ref="A1:I97" tableType="queryTable" totalsRowShown="0">
  <autoFilter ref="A1:I97" xr:uid="{B42841B3-F18C-4C6C-AD3B-6484E5950E39}"/>
  <tableColumns count="9">
    <tableColumn id="1" xr3:uid="{58ADA46E-6321-4DC5-8739-27D5D8497055}" uniqueName="1" name="Class" queryTableFieldId="1"/>
    <tableColumn id="2" xr3:uid="{A933EB17-1DB5-493E-8D2A-B20B2EDF723E}" uniqueName="2" name="Year" queryTableFieldId="2"/>
    <tableColumn id="3" xr3:uid="{580B9B53-B58D-4F2B-8673-928BF9CDB004}" uniqueName="3" name="Region" queryTableFieldId="3" dataDxfId="22"/>
    <tableColumn id="4" xr3:uid="{BD9410F3-AB2A-44EA-B1C3-2FE79993BB2F}" uniqueName="4" name="School Type" queryTableFieldId="4" dataDxfId="21"/>
    <tableColumn id="5" xr3:uid="{E43CDD1B-744A-4DB3-A2B4-030287DBB39D}" uniqueName="5" name="Registered" queryTableFieldId="5"/>
    <tableColumn id="6" xr3:uid="{E00F48A5-E7F0-45B7-9980-5CBAAD0F143C}" uniqueName="6" name="Appeared" queryTableFieldId="6"/>
    <tableColumn id="7" xr3:uid="{B66EBCEF-0178-4959-8FBB-CBA3B5C07E4E}" uniqueName="7" name="Appearance Rate" queryTableFieldId="7"/>
    <tableColumn id="8" xr3:uid="{64CACDC0-5272-4872-A928-B07EA5ABE48F}" uniqueName="8" name="No-show Rate" queryTableFieldId="8"/>
    <tableColumn id="9" xr3:uid="{6229F3BE-84E9-4B38-92F2-D4EB5C48F904}" uniqueName="9" name="Absence Flag" queryTableFieldId="9"/>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398D715-009D-48C7-8AE1-3865527C25CD}" name="Table1_15" displayName="Table1_15" ref="A1:O289" totalsRowShown="0">
  <autoFilter ref="A1:O289" xr:uid="{4398D715-009D-48C7-8AE1-3865527C25CD}"/>
  <tableColumns count="15">
    <tableColumn id="1" xr3:uid="{76999738-F706-4183-B01D-EE2941752173}" name="Class"/>
    <tableColumn id="2" xr3:uid="{605BB616-67B2-43BC-8DBA-DB1E6DBBF119}" name="Year"/>
    <tableColumn id="3" xr3:uid="{6BDB1BF7-1894-4445-950B-6D92815C964E}" name="Region" dataDxfId="20"/>
    <tableColumn id="4" xr3:uid="{F7B67FCD-CE27-48CC-8BB6-ACBA0E3E93E8}" name="School Type" dataDxfId="19"/>
    <tableColumn id="5" xr3:uid="{AED3FA81-8429-4711-9D0B-517F3E6444B9}" name="Registered"/>
    <tableColumn id="6" xr3:uid="{04BF27B9-E13E-4970-857F-E670DDCABBFD}" name="Appeared"/>
    <tableColumn id="7" xr3:uid="{387497E8-48DA-41EB-936A-984E7E53C549}" name="Appearance Rate"/>
    <tableColumn id="8" xr3:uid="{AC1AEEEB-948C-457D-81A1-F48C74052848}" name="No-show Rate"/>
    <tableColumn id="9" xr3:uid="{4D14B2C4-8302-473D-B09B-5AB4D594ED1B}" name="Absence Flag" dataDxfId="18"/>
    <tableColumn id="10" xr3:uid="{7B881D7F-AB7E-40A8-B425-7BB136203A0B}" name="Base Status" dataDxfId="17"/>
    <tableColumn id="11" xr3:uid="{1F638C3A-C76F-4938-B1D6-B70FB00E72B4}" name="Base Flag" dataDxfId="16"/>
    <tableColumn id="12" xr3:uid="{3375B662-3EFC-46F3-B057-819BE7060D24}" name="Anomaly Flag" dataDxfId="15"/>
    <tableColumn id="13" xr3:uid="{88530C25-A26C-4DBE-9523-435CCA4EAFB1}" name="Coverage Share"/>
    <tableColumn id="14" xr3:uid="{251DF342-04C5-4D1B-ADA6-4DFDB7390D5C}" name="Integrity_CheckType" dataDxfId="14"/>
    <tableColumn id="15" xr3:uid="{FA146C17-C41E-4D5B-A500-1E4AACDA4A0C}" name="Integrity_CheckResult" dataDxfId="13"/>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407F130-0C81-42EC-8BF1-476E80F90E54}" name="Table1_14" displayName="Table1_14" ref="A1:P98" tableType="queryTable" totalsRowCount="1">
  <autoFilter ref="A1:P97" xr:uid="{4407F130-0C81-42EC-8BF1-476E80F90E54}"/>
  <sortState xmlns:xlrd2="http://schemas.microsoft.com/office/spreadsheetml/2017/richdata2" ref="A2:I97">
    <sortCondition ref="C1:C97"/>
  </sortState>
  <tableColumns count="16">
    <tableColumn id="1" xr3:uid="{37F2B79E-41F3-489E-9B95-66FB541A8F3E}" uniqueName="1" name="Class" queryTableFieldId="1"/>
    <tableColumn id="2" xr3:uid="{1D0DEFC2-A240-4F38-9826-11003D3B5442}" uniqueName="2" name="Year" queryTableFieldId="2"/>
    <tableColumn id="3" xr3:uid="{E53CDA88-DE90-4CF1-A2A9-22A826B2800A}" uniqueName="3" name="Region" queryTableFieldId="3" dataDxfId="12"/>
    <tableColumn id="4" xr3:uid="{BDB3ED0B-2D61-43F4-9A35-7DED82483E12}" uniqueName="4" name="School Type" queryTableFieldId="4" dataDxfId="11"/>
    <tableColumn id="5" xr3:uid="{02119A8A-A6A5-4167-97FA-B35277346C17}" uniqueName="5" name="Registered" queryTableFieldId="5"/>
    <tableColumn id="6" xr3:uid="{29C9DCFC-DF60-4276-97E4-3113FA8BDCD0}" uniqueName="6" name="Appeared" queryTableFieldId="6"/>
    <tableColumn id="7" xr3:uid="{5A4F6F6F-85E4-4B04-A1A0-DCA8E4574519}" uniqueName="7" name="Appearance Rate" queryTableFieldId="7"/>
    <tableColumn id="8" xr3:uid="{101DEF23-6252-4034-892C-310C638A82FD}" uniqueName="8" name="No-show Rate" queryTableFieldId="8"/>
    <tableColumn id="9" xr3:uid="{05AC3B30-26C8-45F5-861C-8F4164A80E6B}" uniqueName="9" name="Absence Flag" queryTableFieldId="9"/>
    <tableColumn id="11" xr3:uid="{DFB67E2C-766E-4D4F-AB9D-60F0879D46F2}" uniqueName="11" name="Base Status" queryTableFieldId="14" dataDxfId="10">
      <calculatedColumnFormula>IF(Table1_14[[#This Row],[Registered]] = 0, "ABSENT", "NON_ZERO")</calculatedColumnFormula>
    </tableColumn>
    <tableColumn id="10" xr3:uid="{71F7BF51-686D-4117-9DCA-BC655E435A09}" uniqueName="10" name="Base Flag" queryTableFieldId="15" dataDxfId="9">
      <calculatedColumnFormula>IF(Table1_14[[#This Row],[Registered]] = 0, "ABSENT_BASE", IF(Table1_14[[#This Row],[Registered]]&lt;100, "SMALL_BASE", "VALID_BASE"))</calculatedColumnFormula>
    </tableColumn>
    <tableColumn id="12" xr3:uid="{7303740F-3F9C-4115-93C5-822AF5AE8EFA}" uniqueName="12" name="Anomaly Flag" queryTableFieldId="16" dataDxfId="8">
      <calculatedColumnFormula>IF(Table1_14[[#This Row],[Registered]]=0, "ABSENT", IF(Table1_14[[#This Row],[Appearance Rate]]&lt;0.98, "LOW_RATE", IF(AND(Table1_14[[#This Row],[Appearance Rate]]=1, Table1_14[[#This Row],[Registered]]&lt;100), "SUSPICIOUS_PERFECTION", "NORMAL")))</calculatedColumnFormula>
    </tableColumn>
    <tableColumn id="13" xr3:uid="{95D2E74B-82D7-49D1-A1F1-571A75513AB5}" uniqueName="13" name="Coverage Share" totalsRowFunction="custom" queryTableFieldId="17" dataDxfId="7" totalsRowDxfId="6">
      <calculatedColumnFormula>Table1_14[[#This Row],[Registered]]/SUM(Table1_14[Registered])</calculatedColumnFormula>
      <totalsRowFormula xml:space="preserve"> SUM(Table1_14[Coverage Share])</totalsRowFormula>
    </tableColumn>
    <tableColumn id="14" xr3:uid="{53737E91-E15A-46D2-B074-BE70C4C3142F}" uniqueName="14" name="Integrity_RateCheck" queryTableFieldId="18" dataDxfId="5">
      <calculatedColumnFormula xml:space="preserve"> IF(OR(Table1_14[[#This Row],[Appearance Rate]]&lt;0, Table1_14[[#This Row],[Appearance Rate]]&gt;1), "FLAG", "OK")</calculatedColumnFormula>
    </tableColumn>
    <tableColumn id="15" xr3:uid="{40083FC0-602F-4BA0-B034-DDCBEE351DD5}" uniqueName="15" name="Integrity_RegisteredCheck" queryTableFieldId="19" dataDxfId="4">
      <calculatedColumnFormula xml:space="preserve"> IF(Table1_14[[#This Row],[Appeared]]&gt;Table1_14[[#This Row],[Registered]], "FLAG", "OK")</calculatedColumnFormula>
    </tableColumn>
    <tableColumn id="16" xr3:uid="{A3BE3E84-6C99-4272-948B-D4702A73FEC6}" uniqueName="16" name="Integrity_MissingCheck" queryTableFieldId="20" dataDxfId="3">
      <calculatedColumnFormula xml:space="preserve"> IF(OR(ISBLANK(Table1_14[[#This Row],[Registered]]), ISBLANK(Table1_14[[#This Row],[Appeared]]), Table1_14[[#This Row],[Registered]]=0, Table1_14[[#This Row],[Appeared]]=0), "FLAG", "OK")</calculatedColumnFormula>
    </tableColumn>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0.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5.xml"/><Relationship Id="rId1" Type="http://schemas.openxmlformats.org/officeDocument/2006/relationships/pivotTable" Target="../pivotTables/pivotTable4.xm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3.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14.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6.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0F24D5-E5D4-43D1-8FFC-E6FEBFE27921}">
  <dimension ref="A1:J33"/>
  <sheetViews>
    <sheetView workbookViewId="0">
      <selection activeCell="L5" sqref="L5"/>
    </sheetView>
  </sheetViews>
  <sheetFormatPr defaultRowHeight="14.4" x14ac:dyDescent="0.3"/>
  <sheetData>
    <row r="1" spans="1:10" x14ac:dyDescent="0.3">
      <c r="A1" t="s">
        <v>0</v>
      </c>
      <c r="B1" t="s">
        <v>1</v>
      </c>
      <c r="C1" t="s">
        <v>2</v>
      </c>
      <c r="D1" t="s">
        <v>3</v>
      </c>
      <c r="E1" t="s">
        <v>4</v>
      </c>
      <c r="F1" t="s">
        <v>5</v>
      </c>
      <c r="G1" t="s">
        <v>6</v>
      </c>
      <c r="H1" t="s">
        <v>7</v>
      </c>
      <c r="I1" t="s">
        <v>8</v>
      </c>
      <c r="J1" t="s">
        <v>9</v>
      </c>
    </row>
    <row r="2" spans="1:10" x14ac:dyDescent="0.3">
      <c r="A2">
        <v>12</v>
      </c>
      <c r="B2">
        <v>2022</v>
      </c>
      <c r="C2" t="s">
        <v>10</v>
      </c>
      <c r="D2" t="s">
        <v>11</v>
      </c>
      <c r="E2">
        <v>0</v>
      </c>
      <c r="F2">
        <v>4533</v>
      </c>
      <c r="G2">
        <v>0</v>
      </c>
      <c r="H2">
        <v>86178</v>
      </c>
      <c r="I2">
        <v>3741</v>
      </c>
      <c r="J2">
        <v>7736</v>
      </c>
    </row>
    <row r="3" spans="1:10" x14ac:dyDescent="0.3">
      <c r="A3">
        <v>12</v>
      </c>
      <c r="B3">
        <v>2022</v>
      </c>
      <c r="C3" t="s">
        <v>10</v>
      </c>
      <c r="D3" t="s">
        <v>12</v>
      </c>
      <c r="E3">
        <v>0</v>
      </c>
      <c r="F3">
        <v>4524</v>
      </c>
      <c r="G3">
        <v>0</v>
      </c>
      <c r="H3">
        <v>85839</v>
      </c>
      <c r="I3">
        <v>3730</v>
      </c>
      <c r="J3">
        <v>7725</v>
      </c>
    </row>
    <row r="4" spans="1:10" x14ac:dyDescent="0.3">
      <c r="A4">
        <v>12</v>
      </c>
      <c r="B4">
        <v>2022</v>
      </c>
      <c r="C4" t="s">
        <v>13</v>
      </c>
      <c r="D4" t="s">
        <v>11</v>
      </c>
      <c r="E4">
        <v>103</v>
      </c>
      <c r="F4">
        <v>7746</v>
      </c>
      <c r="G4">
        <v>0</v>
      </c>
      <c r="H4">
        <v>69835</v>
      </c>
      <c r="I4">
        <v>3823</v>
      </c>
      <c r="J4">
        <v>11465</v>
      </c>
    </row>
    <row r="5" spans="1:10" x14ac:dyDescent="0.3">
      <c r="A5">
        <v>12</v>
      </c>
      <c r="B5">
        <v>2022</v>
      </c>
      <c r="C5" t="s">
        <v>13</v>
      </c>
      <c r="D5" t="s">
        <v>12</v>
      </c>
      <c r="E5">
        <v>101</v>
      </c>
      <c r="F5">
        <v>7688</v>
      </c>
      <c r="G5">
        <v>0</v>
      </c>
      <c r="H5">
        <v>69506</v>
      </c>
      <c r="I5">
        <v>3809</v>
      </c>
      <c r="J5">
        <v>11431</v>
      </c>
    </row>
    <row r="6" spans="1:10" x14ac:dyDescent="0.3">
      <c r="A6">
        <v>12</v>
      </c>
      <c r="B6">
        <v>2022</v>
      </c>
      <c r="C6" t="s">
        <v>14</v>
      </c>
      <c r="D6" t="s">
        <v>11</v>
      </c>
      <c r="E6">
        <v>0</v>
      </c>
      <c r="F6">
        <v>13060</v>
      </c>
      <c r="G6">
        <v>55</v>
      </c>
      <c r="H6">
        <v>89637</v>
      </c>
      <c r="I6">
        <v>2549</v>
      </c>
      <c r="J6">
        <v>5861</v>
      </c>
    </row>
    <row r="7" spans="1:10" x14ac:dyDescent="0.3">
      <c r="A7">
        <v>12</v>
      </c>
      <c r="B7">
        <v>2022</v>
      </c>
      <c r="C7" t="s">
        <v>14</v>
      </c>
      <c r="D7" t="s">
        <v>12</v>
      </c>
      <c r="E7">
        <v>0</v>
      </c>
      <c r="F7">
        <v>13025</v>
      </c>
      <c r="G7">
        <v>55</v>
      </c>
      <c r="H7">
        <v>89317</v>
      </c>
      <c r="I7">
        <v>2537</v>
      </c>
      <c r="J7">
        <v>5844</v>
      </c>
    </row>
    <row r="8" spans="1:10" x14ac:dyDescent="0.3">
      <c r="A8">
        <v>12</v>
      </c>
      <c r="B8">
        <v>2022</v>
      </c>
      <c r="C8" t="s">
        <v>15</v>
      </c>
      <c r="D8" t="s">
        <v>11</v>
      </c>
      <c r="E8">
        <v>0</v>
      </c>
      <c r="F8">
        <v>100216</v>
      </c>
      <c r="G8">
        <v>6420</v>
      </c>
      <c r="H8">
        <v>64953</v>
      </c>
      <c r="I8">
        <v>81</v>
      </c>
      <c r="J8">
        <v>6669</v>
      </c>
    </row>
    <row r="9" spans="1:10" x14ac:dyDescent="0.3">
      <c r="A9">
        <v>12</v>
      </c>
      <c r="B9">
        <v>2022</v>
      </c>
      <c r="C9" t="s">
        <v>15</v>
      </c>
      <c r="D9" t="s">
        <v>12</v>
      </c>
      <c r="E9">
        <v>0</v>
      </c>
      <c r="F9">
        <v>99566</v>
      </c>
      <c r="G9">
        <v>6393</v>
      </c>
      <c r="H9">
        <v>64774</v>
      </c>
      <c r="I9">
        <v>81</v>
      </c>
      <c r="J9">
        <v>6661</v>
      </c>
    </row>
    <row r="10" spans="1:10" x14ac:dyDescent="0.3">
      <c r="A10">
        <v>12</v>
      </c>
      <c r="B10">
        <v>2022</v>
      </c>
      <c r="C10" t="s">
        <v>16</v>
      </c>
      <c r="D10" t="s">
        <v>11</v>
      </c>
      <c r="E10">
        <v>0</v>
      </c>
      <c r="F10">
        <v>1535</v>
      </c>
      <c r="G10">
        <v>0</v>
      </c>
      <c r="H10">
        <v>22801</v>
      </c>
      <c r="I10">
        <v>1673</v>
      </c>
      <c r="J10">
        <v>4859</v>
      </c>
    </row>
    <row r="11" spans="1:10" x14ac:dyDescent="0.3">
      <c r="A11">
        <v>12</v>
      </c>
      <c r="B11">
        <v>2022</v>
      </c>
      <c r="C11" t="s">
        <v>16</v>
      </c>
      <c r="D11" t="s">
        <v>12</v>
      </c>
      <c r="E11">
        <v>0</v>
      </c>
      <c r="F11">
        <v>1534</v>
      </c>
      <c r="G11">
        <v>0</v>
      </c>
      <c r="H11">
        <v>22742</v>
      </c>
      <c r="I11">
        <v>1662</v>
      </c>
      <c r="J11">
        <v>4849</v>
      </c>
    </row>
    <row r="12" spans="1:10" x14ac:dyDescent="0.3">
      <c r="A12">
        <v>12</v>
      </c>
      <c r="B12">
        <v>2022</v>
      </c>
      <c r="C12" t="s">
        <v>17</v>
      </c>
      <c r="D12" t="s">
        <v>11</v>
      </c>
      <c r="E12">
        <v>0</v>
      </c>
      <c r="F12">
        <v>20672</v>
      </c>
      <c r="G12">
        <v>102</v>
      </c>
      <c r="H12">
        <v>20768</v>
      </c>
      <c r="I12">
        <v>4536</v>
      </c>
      <c r="J12">
        <v>6071</v>
      </c>
    </row>
    <row r="13" spans="1:10" x14ac:dyDescent="0.3">
      <c r="A13">
        <v>12</v>
      </c>
      <c r="B13">
        <v>2022</v>
      </c>
      <c r="C13" t="s">
        <v>17</v>
      </c>
      <c r="D13" t="s">
        <v>12</v>
      </c>
      <c r="E13">
        <v>0</v>
      </c>
      <c r="F13">
        <v>20518</v>
      </c>
      <c r="G13">
        <v>101</v>
      </c>
      <c r="H13">
        <v>20601</v>
      </c>
      <c r="I13">
        <v>4481</v>
      </c>
      <c r="J13">
        <v>6047</v>
      </c>
    </row>
    <row r="14" spans="1:10" x14ac:dyDescent="0.3">
      <c r="A14">
        <v>12</v>
      </c>
      <c r="B14">
        <v>2022</v>
      </c>
      <c r="C14" t="s">
        <v>18</v>
      </c>
      <c r="D14" t="s">
        <v>11</v>
      </c>
      <c r="E14">
        <v>38</v>
      </c>
      <c r="F14">
        <v>357</v>
      </c>
      <c r="G14">
        <v>0</v>
      </c>
      <c r="H14">
        <v>118675</v>
      </c>
      <c r="I14">
        <v>2231</v>
      </c>
      <c r="J14">
        <v>3615</v>
      </c>
    </row>
    <row r="15" spans="1:10" x14ac:dyDescent="0.3">
      <c r="A15">
        <v>12</v>
      </c>
      <c r="B15">
        <v>2022</v>
      </c>
      <c r="C15" t="s">
        <v>18</v>
      </c>
      <c r="D15" t="s">
        <v>12</v>
      </c>
      <c r="E15">
        <v>38</v>
      </c>
      <c r="F15">
        <v>357</v>
      </c>
      <c r="G15">
        <v>0</v>
      </c>
      <c r="H15">
        <v>118046</v>
      </c>
      <c r="I15">
        <v>2225</v>
      </c>
      <c r="J15">
        <v>3607</v>
      </c>
    </row>
    <row r="16" spans="1:10" x14ac:dyDescent="0.3">
      <c r="A16">
        <v>12</v>
      </c>
      <c r="B16">
        <v>2022</v>
      </c>
      <c r="C16" t="s">
        <v>19</v>
      </c>
      <c r="D16" t="s">
        <v>11</v>
      </c>
      <c r="E16">
        <v>93</v>
      </c>
      <c r="F16">
        <v>70</v>
      </c>
      <c r="G16">
        <v>0</v>
      </c>
      <c r="H16">
        <v>12262</v>
      </c>
      <c r="I16">
        <v>1901</v>
      </c>
      <c r="J16">
        <v>2363</v>
      </c>
    </row>
    <row r="17" spans="1:10" x14ac:dyDescent="0.3">
      <c r="A17">
        <v>12</v>
      </c>
      <c r="B17">
        <v>2022</v>
      </c>
      <c r="C17" t="s">
        <v>19</v>
      </c>
      <c r="D17" t="s">
        <v>12</v>
      </c>
      <c r="E17">
        <v>92</v>
      </c>
      <c r="F17">
        <v>70</v>
      </c>
      <c r="G17">
        <v>0</v>
      </c>
      <c r="H17">
        <v>12214</v>
      </c>
      <c r="I17">
        <v>1894</v>
      </c>
      <c r="J17">
        <v>2361</v>
      </c>
    </row>
    <row r="18" spans="1:10" x14ac:dyDescent="0.3">
      <c r="A18">
        <v>12</v>
      </c>
      <c r="B18">
        <v>2022</v>
      </c>
      <c r="C18" t="s">
        <v>20</v>
      </c>
      <c r="D18" t="s">
        <v>11</v>
      </c>
      <c r="E18">
        <v>0</v>
      </c>
      <c r="F18">
        <v>3180</v>
      </c>
      <c r="G18">
        <v>0</v>
      </c>
      <c r="H18">
        <v>60352</v>
      </c>
      <c r="I18">
        <v>3640</v>
      </c>
      <c r="J18">
        <v>7807</v>
      </c>
    </row>
    <row r="19" spans="1:10" x14ac:dyDescent="0.3">
      <c r="A19">
        <v>12</v>
      </c>
      <c r="B19">
        <v>2022</v>
      </c>
      <c r="C19" t="s">
        <v>20</v>
      </c>
      <c r="D19" t="s">
        <v>12</v>
      </c>
      <c r="E19">
        <v>0</v>
      </c>
      <c r="F19">
        <v>3138</v>
      </c>
      <c r="G19">
        <v>0</v>
      </c>
      <c r="H19">
        <v>60136</v>
      </c>
      <c r="I19">
        <v>3629</v>
      </c>
      <c r="J19">
        <v>7794</v>
      </c>
    </row>
    <row r="20" spans="1:10" x14ac:dyDescent="0.3">
      <c r="A20">
        <v>12</v>
      </c>
      <c r="B20">
        <v>2022</v>
      </c>
      <c r="C20" t="s">
        <v>21</v>
      </c>
      <c r="D20" t="s">
        <v>11</v>
      </c>
      <c r="E20">
        <v>0</v>
      </c>
      <c r="F20">
        <v>3565</v>
      </c>
      <c r="G20">
        <v>0</v>
      </c>
      <c r="H20">
        <v>67799</v>
      </c>
      <c r="I20">
        <v>1646</v>
      </c>
      <c r="J20">
        <v>6713</v>
      </c>
    </row>
    <row r="21" spans="1:10" x14ac:dyDescent="0.3">
      <c r="A21">
        <v>12</v>
      </c>
      <c r="B21">
        <v>2022</v>
      </c>
      <c r="C21" t="s">
        <v>21</v>
      </c>
      <c r="D21" t="s">
        <v>12</v>
      </c>
      <c r="E21">
        <v>0</v>
      </c>
      <c r="F21">
        <v>3552</v>
      </c>
      <c r="G21">
        <v>0</v>
      </c>
      <c r="H21">
        <v>67700</v>
      </c>
      <c r="I21">
        <v>1642</v>
      </c>
      <c r="J21">
        <v>6701</v>
      </c>
    </row>
    <row r="22" spans="1:10" x14ac:dyDescent="0.3">
      <c r="A22">
        <v>12</v>
      </c>
      <c r="B22">
        <v>2022</v>
      </c>
      <c r="C22" t="s">
        <v>22</v>
      </c>
      <c r="D22" t="s">
        <v>11</v>
      </c>
      <c r="E22">
        <v>0</v>
      </c>
      <c r="F22">
        <v>278</v>
      </c>
      <c r="G22">
        <v>921</v>
      </c>
      <c r="H22">
        <v>100688</v>
      </c>
      <c r="I22">
        <v>1069</v>
      </c>
      <c r="J22">
        <v>4480</v>
      </c>
    </row>
    <row r="23" spans="1:10" x14ac:dyDescent="0.3">
      <c r="A23">
        <v>12</v>
      </c>
      <c r="B23">
        <v>2022</v>
      </c>
      <c r="C23" t="s">
        <v>22</v>
      </c>
      <c r="D23" t="s">
        <v>12</v>
      </c>
      <c r="E23">
        <v>0</v>
      </c>
      <c r="F23">
        <v>272</v>
      </c>
      <c r="G23">
        <v>920</v>
      </c>
      <c r="H23">
        <v>99746</v>
      </c>
      <c r="I23">
        <v>1060</v>
      </c>
      <c r="J23">
        <v>4471</v>
      </c>
    </row>
    <row r="24" spans="1:10" x14ac:dyDescent="0.3">
      <c r="A24">
        <v>12</v>
      </c>
      <c r="B24">
        <v>2022</v>
      </c>
      <c r="C24" t="s">
        <v>23</v>
      </c>
      <c r="D24" t="s">
        <v>11</v>
      </c>
      <c r="E24">
        <v>0</v>
      </c>
      <c r="F24">
        <v>84</v>
      </c>
      <c r="G24">
        <v>0</v>
      </c>
      <c r="H24">
        <v>84716</v>
      </c>
      <c r="I24">
        <v>3714</v>
      </c>
      <c r="J24">
        <v>5409</v>
      </c>
    </row>
    <row r="25" spans="1:10" x14ac:dyDescent="0.3">
      <c r="A25">
        <v>12</v>
      </c>
      <c r="B25">
        <v>2022</v>
      </c>
      <c r="C25" t="s">
        <v>23</v>
      </c>
      <c r="D25" t="s">
        <v>12</v>
      </c>
      <c r="E25">
        <v>0</v>
      </c>
      <c r="F25">
        <v>83</v>
      </c>
      <c r="G25">
        <v>0</v>
      </c>
      <c r="H25">
        <v>83962</v>
      </c>
      <c r="I25">
        <v>3669</v>
      </c>
      <c r="J25">
        <v>5398</v>
      </c>
    </row>
    <row r="26" spans="1:10" x14ac:dyDescent="0.3">
      <c r="A26">
        <v>12</v>
      </c>
      <c r="B26">
        <v>2022</v>
      </c>
      <c r="C26" t="s">
        <v>24</v>
      </c>
      <c r="D26" t="s">
        <v>11</v>
      </c>
      <c r="E26">
        <v>0</v>
      </c>
      <c r="F26">
        <v>1336</v>
      </c>
      <c r="G26">
        <v>0</v>
      </c>
      <c r="H26">
        <v>131729</v>
      </c>
      <c r="I26">
        <v>3184</v>
      </c>
      <c r="J26">
        <v>8680</v>
      </c>
    </row>
    <row r="27" spans="1:10" x14ac:dyDescent="0.3">
      <c r="A27">
        <v>12</v>
      </c>
      <c r="B27">
        <v>2022</v>
      </c>
      <c r="C27" t="s">
        <v>24</v>
      </c>
      <c r="D27" t="s">
        <v>12</v>
      </c>
      <c r="E27">
        <v>0</v>
      </c>
      <c r="F27">
        <v>1272</v>
      </c>
      <c r="G27">
        <v>0</v>
      </c>
      <c r="H27">
        <v>130263</v>
      </c>
      <c r="I27">
        <v>3152</v>
      </c>
      <c r="J27">
        <v>8666</v>
      </c>
    </row>
    <row r="28" spans="1:10" x14ac:dyDescent="0.3">
      <c r="A28">
        <v>12</v>
      </c>
      <c r="B28">
        <v>2022</v>
      </c>
      <c r="C28" t="s">
        <v>25</v>
      </c>
      <c r="D28" t="s">
        <v>11</v>
      </c>
      <c r="E28">
        <v>0</v>
      </c>
      <c r="F28">
        <v>82</v>
      </c>
      <c r="G28">
        <v>0</v>
      </c>
      <c r="H28">
        <v>33500</v>
      </c>
      <c r="I28">
        <v>973</v>
      </c>
      <c r="J28">
        <v>3666</v>
      </c>
    </row>
    <row r="29" spans="1:10" x14ac:dyDescent="0.3">
      <c r="A29">
        <v>12</v>
      </c>
      <c r="B29">
        <v>2022</v>
      </c>
      <c r="C29" t="s">
        <v>25</v>
      </c>
      <c r="D29" t="s">
        <v>12</v>
      </c>
      <c r="E29">
        <v>0</v>
      </c>
      <c r="F29">
        <v>82</v>
      </c>
      <c r="G29">
        <v>0</v>
      </c>
      <c r="H29">
        <v>33462</v>
      </c>
      <c r="I29">
        <v>972</v>
      </c>
      <c r="J29">
        <v>3661</v>
      </c>
    </row>
    <row r="30" spans="1:10" x14ac:dyDescent="0.3">
      <c r="A30">
        <v>12</v>
      </c>
      <c r="B30">
        <v>2022</v>
      </c>
      <c r="C30" t="s">
        <v>26</v>
      </c>
      <c r="D30" t="s">
        <v>11</v>
      </c>
      <c r="E30">
        <v>164</v>
      </c>
      <c r="F30">
        <v>1555</v>
      </c>
      <c r="G30">
        <v>22</v>
      </c>
      <c r="H30">
        <v>62473</v>
      </c>
      <c r="I30">
        <v>1120</v>
      </c>
      <c r="J30">
        <v>4312</v>
      </c>
    </row>
    <row r="31" spans="1:10" x14ac:dyDescent="0.3">
      <c r="A31">
        <v>12</v>
      </c>
      <c r="B31">
        <v>2022</v>
      </c>
      <c r="C31" t="s">
        <v>26</v>
      </c>
      <c r="D31" t="s">
        <v>12</v>
      </c>
      <c r="E31">
        <v>162</v>
      </c>
      <c r="F31">
        <v>1552</v>
      </c>
      <c r="G31">
        <v>22</v>
      </c>
      <c r="H31">
        <v>62094</v>
      </c>
      <c r="I31">
        <v>1117</v>
      </c>
      <c r="J31">
        <v>4307</v>
      </c>
    </row>
    <row r="32" spans="1:10" x14ac:dyDescent="0.3">
      <c r="A32">
        <v>12</v>
      </c>
      <c r="B32">
        <v>2022</v>
      </c>
      <c r="C32" t="s">
        <v>27</v>
      </c>
      <c r="D32" t="s">
        <v>11</v>
      </c>
      <c r="E32">
        <v>0</v>
      </c>
      <c r="F32">
        <v>69504</v>
      </c>
      <c r="G32">
        <v>7775</v>
      </c>
      <c r="H32">
        <v>40461</v>
      </c>
      <c r="I32">
        <v>65</v>
      </c>
      <c r="J32">
        <v>2872</v>
      </c>
    </row>
    <row r="33" spans="1:10" x14ac:dyDescent="0.3">
      <c r="A33">
        <v>12</v>
      </c>
      <c r="B33">
        <v>2022</v>
      </c>
      <c r="C33" t="s">
        <v>27</v>
      </c>
      <c r="D33" t="s">
        <v>12</v>
      </c>
      <c r="E33">
        <v>0</v>
      </c>
      <c r="F33">
        <v>69109</v>
      </c>
      <c r="G33">
        <v>7743</v>
      </c>
      <c r="H33">
        <v>40291</v>
      </c>
      <c r="I33">
        <v>65</v>
      </c>
      <c r="J33">
        <v>2872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C0AB8F-0B83-488F-B1C5-E8EF4F74CE1B}">
  <dimension ref="A1:J33"/>
  <sheetViews>
    <sheetView workbookViewId="0">
      <selection activeCell="F15" sqref="F15"/>
    </sheetView>
  </sheetViews>
  <sheetFormatPr defaultRowHeight="14.4" x14ac:dyDescent="0.3"/>
  <cols>
    <col min="7" max="7" width="13" customWidth="1"/>
    <col min="8" max="8" width="14.88671875" customWidth="1"/>
  </cols>
  <sheetData>
    <row r="1" spans="1:10" x14ac:dyDescent="0.3">
      <c r="A1" t="s">
        <v>0</v>
      </c>
      <c r="B1" t="s">
        <v>1</v>
      </c>
      <c r="C1" t="s">
        <v>2</v>
      </c>
      <c r="D1" t="s">
        <v>3</v>
      </c>
      <c r="E1" t="s">
        <v>4</v>
      </c>
      <c r="F1" t="s">
        <v>5</v>
      </c>
      <c r="G1" t="s">
        <v>6</v>
      </c>
      <c r="H1" t="s">
        <v>7</v>
      </c>
      <c r="I1" t="s">
        <v>8</v>
      </c>
      <c r="J1" t="s">
        <v>9</v>
      </c>
    </row>
    <row r="2" spans="1:10" x14ac:dyDescent="0.3">
      <c r="A2">
        <v>12</v>
      </c>
      <c r="B2">
        <v>2022</v>
      </c>
      <c r="C2" t="s">
        <v>10</v>
      </c>
      <c r="D2" t="s">
        <v>11</v>
      </c>
      <c r="E2">
        <v>0</v>
      </c>
      <c r="F2">
        <v>4533</v>
      </c>
      <c r="G2">
        <v>0</v>
      </c>
      <c r="H2">
        <v>86178</v>
      </c>
      <c r="I2">
        <v>3741</v>
      </c>
      <c r="J2">
        <v>7736</v>
      </c>
    </row>
    <row r="3" spans="1:10" x14ac:dyDescent="0.3">
      <c r="A3">
        <v>12</v>
      </c>
      <c r="B3">
        <v>2022</v>
      </c>
      <c r="C3" t="s">
        <v>10</v>
      </c>
      <c r="D3" t="s">
        <v>12</v>
      </c>
      <c r="E3">
        <v>0</v>
      </c>
      <c r="F3">
        <v>4524</v>
      </c>
      <c r="G3">
        <v>0</v>
      </c>
      <c r="H3">
        <v>85839</v>
      </c>
      <c r="I3">
        <v>3730</v>
      </c>
      <c r="J3">
        <v>7725</v>
      </c>
    </row>
    <row r="4" spans="1:10" x14ac:dyDescent="0.3">
      <c r="A4">
        <v>12</v>
      </c>
      <c r="B4">
        <v>2022</v>
      </c>
      <c r="C4" t="s">
        <v>13</v>
      </c>
      <c r="D4" t="s">
        <v>11</v>
      </c>
      <c r="E4">
        <v>103</v>
      </c>
      <c r="F4">
        <v>7746</v>
      </c>
      <c r="G4">
        <v>0</v>
      </c>
      <c r="H4">
        <v>69835</v>
      </c>
      <c r="I4">
        <v>3823</v>
      </c>
      <c r="J4">
        <v>11465</v>
      </c>
    </row>
    <row r="5" spans="1:10" x14ac:dyDescent="0.3">
      <c r="A5">
        <v>12</v>
      </c>
      <c r="B5">
        <v>2022</v>
      </c>
      <c r="C5" t="s">
        <v>13</v>
      </c>
      <c r="D5" t="s">
        <v>12</v>
      </c>
      <c r="E5">
        <v>101</v>
      </c>
      <c r="F5">
        <v>7688</v>
      </c>
      <c r="G5">
        <v>0</v>
      </c>
      <c r="H5">
        <v>69506</v>
      </c>
      <c r="I5">
        <v>3809</v>
      </c>
      <c r="J5">
        <v>11431</v>
      </c>
    </row>
    <row r="6" spans="1:10" x14ac:dyDescent="0.3">
      <c r="A6">
        <v>12</v>
      </c>
      <c r="B6">
        <v>2022</v>
      </c>
      <c r="C6" t="s">
        <v>14</v>
      </c>
      <c r="D6" t="s">
        <v>11</v>
      </c>
      <c r="E6">
        <v>0</v>
      </c>
      <c r="F6">
        <v>13060</v>
      </c>
      <c r="G6">
        <v>55</v>
      </c>
      <c r="H6">
        <v>89637</v>
      </c>
      <c r="I6">
        <v>2549</v>
      </c>
      <c r="J6">
        <v>5861</v>
      </c>
    </row>
    <row r="7" spans="1:10" x14ac:dyDescent="0.3">
      <c r="A7">
        <v>12</v>
      </c>
      <c r="B7">
        <v>2022</v>
      </c>
      <c r="C7" t="s">
        <v>14</v>
      </c>
      <c r="D7" t="s">
        <v>12</v>
      </c>
      <c r="E7">
        <v>0</v>
      </c>
      <c r="F7">
        <v>13025</v>
      </c>
      <c r="G7">
        <v>55</v>
      </c>
      <c r="H7">
        <v>89317</v>
      </c>
      <c r="I7">
        <v>2537</v>
      </c>
      <c r="J7">
        <v>5844</v>
      </c>
    </row>
    <row r="8" spans="1:10" x14ac:dyDescent="0.3">
      <c r="A8">
        <v>12</v>
      </c>
      <c r="B8">
        <v>2022</v>
      </c>
      <c r="C8" t="s">
        <v>15</v>
      </c>
      <c r="D8" t="s">
        <v>11</v>
      </c>
      <c r="E8">
        <v>0</v>
      </c>
      <c r="F8">
        <v>100216</v>
      </c>
      <c r="G8">
        <v>6420</v>
      </c>
      <c r="H8">
        <v>64953</v>
      </c>
      <c r="I8">
        <v>81</v>
      </c>
      <c r="J8">
        <v>6669</v>
      </c>
    </row>
    <row r="9" spans="1:10" x14ac:dyDescent="0.3">
      <c r="A9">
        <v>12</v>
      </c>
      <c r="B9">
        <v>2022</v>
      </c>
      <c r="C9" t="s">
        <v>15</v>
      </c>
      <c r="D9" t="s">
        <v>12</v>
      </c>
      <c r="E9">
        <v>0</v>
      </c>
      <c r="F9">
        <v>99566</v>
      </c>
      <c r="G9">
        <v>6393</v>
      </c>
      <c r="H9">
        <v>64774</v>
      </c>
      <c r="I9">
        <v>81</v>
      </c>
      <c r="J9">
        <v>6661</v>
      </c>
    </row>
    <row r="10" spans="1:10" x14ac:dyDescent="0.3">
      <c r="A10">
        <v>12</v>
      </c>
      <c r="B10">
        <v>2022</v>
      </c>
      <c r="C10" t="s">
        <v>16</v>
      </c>
      <c r="D10" t="s">
        <v>11</v>
      </c>
      <c r="E10">
        <v>0</v>
      </c>
      <c r="F10">
        <v>1535</v>
      </c>
      <c r="G10">
        <v>0</v>
      </c>
      <c r="H10">
        <v>22801</v>
      </c>
      <c r="I10">
        <v>1673</v>
      </c>
      <c r="J10">
        <v>4859</v>
      </c>
    </row>
    <row r="11" spans="1:10" x14ac:dyDescent="0.3">
      <c r="A11">
        <v>12</v>
      </c>
      <c r="B11">
        <v>2022</v>
      </c>
      <c r="C11" t="s">
        <v>16</v>
      </c>
      <c r="D11" t="s">
        <v>12</v>
      </c>
      <c r="E11">
        <v>0</v>
      </c>
      <c r="F11">
        <v>1534</v>
      </c>
      <c r="G11">
        <v>0</v>
      </c>
      <c r="H11">
        <v>22742</v>
      </c>
      <c r="I11">
        <v>1662</v>
      </c>
      <c r="J11">
        <v>4849</v>
      </c>
    </row>
    <row r="12" spans="1:10" x14ac:dyDescent="0.3">
      <c r="A12">
        <v>12</v>
      </c>
      <c r="B12">
        <v>2022</v>
      </c>
      <c r="C12" t="s">
        <v>17</v>
      </c>
      <c r="D12" t="s">
        <v>11</v>
      </c>
      <c r="E12">
        <v>0</v>
      </c>
      <c r="F12">
        <v>20672</v>
      </c>
      <c r="G12">
        <v>102</v>
      </c>
      <c r="H12">
        <v>20768</v>
      </c>
      <c r="I12">
        <v>4536</v>
      </c>
      <c r="J12">
        <v>6071</v>
      </c>
    </row>
    <row r="13" spans="1:10" x14ac:dyDescent="0.3">
      <c r="A13">
        <v>12</v>
      </c>
      <c r="B13">
        <v>2022</v>
      </c>
      <c r="C13" t="s">
        <v>17</v>
      </c>
      <c r="D13" t="s">
        <v>12</v>
      </c>
      <c r="E13">
        <v>0</v>
      </c>
      <c r="F13">
        <v>20518</v>
      </c>
      <c r="G13">
        <v>101</v>
      </c>
      <c r="H13">
        <v>20601</v>
      </c>
      <c r="I13">
        <v>4481</v>
      </c>
      <c r="J13">
        <v>6047</v>
      </c>
    </row>
    <row r="14" spans="1:10" x14ac:dyDescent="0.3">
      <c r="A14">
        <v>12</v>
      </c>
      <c r="B14">
        <v>2022</v>
      </c>
      <c r="C14" t="s">
        <v>18</v>
      </c>
      <c r="D14" t="s">
        <v>11</v>
      </c>
      <c r="E14">
        <v>38</v>
      </c>
      <c r="F14">
        <v>357</v>
      </c>
      <c r="G14">
        <v>0</v>
      </c>
      <c r="H14">
        <v>118675</v>
      </c>
      <c r="I14">
        <v>2231</v>
      </c>
      <c r="J14">
        <v>3615</v>
      </c>
    </row>
    <row r="15" spans="1:10" x14ac:dyDescent="0.3">
      <c r="A15">
        <v>12</v>
      </c>
      <c r="B15">
        <v>2022</v>
      </c>
      <c r="C15" t="s">
        <v>18</v>
      </c>
      <c r="D15" t="s">
        <v>12</v>
      </c>
      <c r="E15">
        <v>38</v>
      </c>
      <c r="F15">
        <v>357</v>
      </c>
      <c r="G15">
        <v>0</v>
      </c>
      <c r="H15">
        <v>118046</v>
      </c>
      <c r="I15">
        <v>2225</v>
      </c>
      <c r="J15">
        <v>3607</v>
      </c>
    </row>
    <row r="16" spans="1:10" x14ac:dyDescent="0.3">
      <c r="A16">
        <v>12</v>
      </c>
      <c r="B16">
        <v>2022</v>
      </c>
      <c r="C16" t="s">
        <v>19</v>
      </c>
      <c r="D16" t="s">
        <v>11</v>
      </c>
      <c r="E16">
        <v>93</v>
      </c>
      <c r="F16">
        <v>70</v>
      </c>
      <c r="G16">
        <v>0</v>
      </c>
      <c r="H16">
        <v>12262</v>
      </c>
      <c r="I16">
        <v>1901</v>
      </c>
      <c r="J16">
        <v>2363</v>
      </c>
    </row>
    <row r="17" spans="1:10" x14ac:dyDescent="0.3">
      <c r="A17">
        <v>12</v>
      </c>
      <c r="B17">
        <v>2022</v>
      </c>
      <c r="C17" t="s">
        <v>19</v>
      </c>
      <c r="D17" t="s">
        <v>12</v>
      </c>
      <c r="E17">
        <v>92</v>
      </c>
      <c r="F17">
        <v>70</v>
      </c>
      <c r="G17">
        <v>0</v>
      </c>
      <c r="H17">
        <v>12214</v>
      </c>
      <c r="I17">
        <v>1894</v>
      </c>
      <c r="J17">
        <v>2361</v>
      </c>
    </row>
    <row r="18" spans="1:10" x14ac:dyDescent="0.3">
      <c r="A18">
        <v>12</v>
      </c>
      <c r="B18">
        <v>2022</v>
      </c>
      <c r="C18" t="s">
        <v>20</v>
      </c>
      <c r="D18" t="s">
        <v>11</v>
      </c>
      <c r="E18">
        <v>0</v>
      </c>
      <c r="F18">
        <v>3180</v>
      </c>
      <c r="G18">
        <v>0</v>
      </c>
      <c r="H18">
        <v>60352</v>
      </c>
      <c r="I18">
        <v>3640</v>
      </c>
      <c r="J18">
        <v>7807</v>
      </c>
    </row>
    <row r="19" spans="1:10" x14ac:dyDescent="0.3">
      <c r="A19">
        <v>12</v>
      </c>
      <c r="B19">
        <v>2022</v>
      </c>
      <c r="C19" t="s">
        <v>20</v>
      </c>
      <c r="D19" t="s">
        <v>12</v>
      </c>
      <c r="E19">
        <v>0</v>
      </c>
      <c r="F19">
        <v>3138</v>
      </c>
      <c r="G19">
        <v>0</v>
      </c>
      <c r="H19">
        <v>60136</v>
      </c>
      <c r="I19">
        <v>3629</v>
      </c>
      <c r="J19">
        <v>7794</v>
      </c>
    </row>
    <row r="20" spans="1:10" x14ac:dyDescent="0.3">
      <c r="A20">
        <v>12</v>
      </c>
      <c r="B20">
        <v>2022</v>
      </c>
      <c r="C20" t="s">
        <v>21</v>
      </c>
      <c r="D20" t="s">
        <v>11</v>
      </c>
      <c r="E20">
        <v>0</v>
      </c>
      <c r="F20">
        <v>3565</v>
      </c>
      <c r="G20">
        <v>0</v>
      </c>
      <c r="H20">
        <v>67799</v>
      </c>
      <c r="I20">
        <v>1646</v>
      </c>
      <c r="J20">
        <v>6713</v>
      </c>
    </row>
    <row r="21" spans="1:10" x14ac:dyDescent="0.3">
      <c r="A21">
        <v>12</v>
      </c>
      <c r="B21">
        <v>2022</v>
      </c>
      <c r="C21" t="s">
        <v>21</v>
      </c>
      <c r="D21" t="s">
        <v>12</v>
      </c>
      <c r="E21">
        <v>0</v>
      </c>
      <c r="F21">
        <v>3552</v>
      </c>
      <c r="G21">
        <v>0</v>
      </c>
      <c r="H21">
        <v>67700</v>
      </c>
      <c r="I21">
        <v>1642</v>
      </c>
      <c r="J21">
        <v>6701</v>
      </c>
    </row>
    <row r="22" spans="1:10" x14ac:dyDescent="0.3">
      <c r="A22">
        <v>12</v>
      </c>
      <c r="B22">
        <v>2022</v>
      </c>
      <c r="C22" t="s">
        <v>22</v>
      </c>
      <c r="D22" t="s">
        <v>11</v>
      </c>
      <c r="E22">
        <v>0</v>
      </c>
      <c r="F22">
        <v>278</v>
      </c>
      <c r="G22">
        <v>921</v>
      </c>
      <c r="H22">
        <v>100688</v>
      </c>
      <c r="I22">
        <v>1069</v>
      </c>
      <c r="J22">
        <v>4480</v>
      </c>
    </row>
    <row r="23" spans="1:10" x14ac:dyDescent="0.3">
      <c r="A23">
        <v>12</v>
      </c>
      <c r="B23">
        <v>2022</v>
      </c>
      <c r="C23" t="s">
        <v>22</v>
      </c>
      <c r="D23" t="s">
        <v>12</v>
      </c>
      <c r="E23">
        <v>0</v>
      </c>
      <c r="F23">
        <v>272</v>
      </c>
      <c r="G23">
        <v>920</v>
      </c>
      <c r="H23">
        <v>99746</v>
      </c>
      <c r="I23">
        <v>1060</v>
      </c>
      <c r="J23">
        <v>4471</v>
      </c>
    </row>
    <row r="24" spans="1:10" x14ac:dyDescent="0.3">
      <c r="A24">
        <v>12</v>
      </c>
      <c r="B24">
        <v>2022</v>
      </c>
      <c r="C24" t="s">
        <v>23</v>
      </c>
      <c r="D24" t="s">
        <v>11</v>
      </c>
      <c r="E24">
        <v>0</v>
      </c>
      <c r="F24">
        <v>84</v>
      </c>
      <c r="G24">
        <v>0</v>
      </c>
      <c r="H24">
        <v>84716</v>
      </c>
      <c r="I24">
        <v>3714</v>
      </c>
      <c r="J24">
        <v>5409</v>
      </c>
    </row>
    <row r="25" spans="1:10" x14ac:dyDescent="0.3">
      <c r="A25">
        <v>12</v>
      </c>
      <c r="B25">
        <v>2022</v>
      </c>
      <c r="C25" t="s">
        <v>23</v>
      </c>
      <c r="D25" t="s">
        <v>12</v>
      </c>
      <c r="E25">
        <v>0</v>
      </c>
      <c r="F25">
        <v>83</v>
      </c>
      <c r="G25">
        <v>0</v>
      </c>
      <c r="H25">
        <v>83962</v>
      </c>
      <c r="I25">
        <v>3669</v>
      </c>
      <c r="J25">
        <v>5398</v>
      </c>
    </row>
    <row r="26" spans="1:10" x14ac:dyDescent="0.3">
      <c r="A26">
        <v>12</v>
      </c>
      <c r="B26">
        <v>2022</v>
      </c>
      <c r="C26" t="s">
        <v>24</v>
      </c>
      <c r="D26" t="s">
        <v>11</v>
      </c>
      <c r="E26">
        <v>0</v>
      </c>
      <c r="F26">
        <v>1336</v>
      </c>
      <c r="G26">
        <v>0</v>
      </c>
      <c r="H26">
        <v>131729</v>
      </c>
      <c r="I26">
        <v>3184</v>
      </c>
      <c r="J26">
        <v>8680</v>
      </c>
    </row>
    <row r="27" spans="1:10" x14ac:dyDescent="0.3">
      <c r="A27">
        <v>12</v>
      </c>
      <c r="B27">
        <v>2022</v>
      </c>
      <c r="C27" t="s">
        <v>24</v>
      </c>
      <c r="D27" t="s">
        <v>12</v>
      </c>
      <c r="E27">
        <v>0</v>
      </c>
      <c r="F27">
        <v>1272</v>
      </c>
      <c r="G27">
        <v>0</v>
      </c>
      <c r="H27">
        <v>130263</v>
      </c>
      <c r="I27">
        <v>3152</v>
      </c>
      <c r="J27">
        <v>8666</v>
      </c>
    </row>
    <row r="28" spans="1:10" x14ac:dyDescent="0.3">
      <c r="A28">
        <v>12</v>
      </c>
      <c r="B28">
        <v>2022</v>
      </c>
      <c r="C28" t="s">
        <v>25</v>
      </c>
      <c r="D28" t="s">
        <v>11</v>
      </c>
      <c r="E28">
        <v>0</v>
      </c>
      <c r="F28">
        <v>82</v>
      </c>
      <c r="G28">
        <v>0</v>
      </c>
      <c r="H28">
        <v>33500</v>
      </c>
      <c r="I28">
        <v>973</v>
      </c>
      <c r="J28">
        <v>3666</v>
      </c>
    </row>
    <row r="29" spans="1:10" x14ac:dyDescent="0.3">
      <c r="A29">
        <v>12</v>
      </c>
      <c r="B29">
        <v>2022</v>
      </c>
      <c r="C29" t="s">
        <v>25</v>
      </c>
      <c r="D29" t="s">
        <v>12</v>
      </c>
      <c r="E29">
        <v>0</v>
      </c>
      <c r="F29">
        <v>82</v>
      </c>
      <c r="G29">
        <v>0</v>
      </c>
      <c r="H29">
        <v>33462</v>
      </c>
      <c r="I29">
        <v>972</v>
      </c>
      <c r="J29">
        <v>3661</v>
      </c>
    </row>
    <row r="30" spans="1:10" x14ac:dyDescent="0.3">
      <c r="A30">
        <v>12</v>
      </c>
      <c r="B30">
        <v>2022</v>
      </c>
      <c r="C30" t="s">
        <v>26</v>
      </c>
      <c r="D30" t="s">
        <v>11</v>
      </c>
      <c r="E30">
        <v>164</v>
      </c>
      <c r="F30">
        <v>1555</v>
      </c>
      <c r="G30">
        <v>22</v>
      </c>
      <c r="H30">
        <v>62473</v>
      </c>
      <c r="I30">
        <v>1120</v>
      </c>
      <c r="J30">
        <v>4312</v>
      </c>
    </row>
    <row r="31" spans="1:10" x14ac:dyDescent="0.3">
      <c r="A31">
        <v>12</v>
      </c>
      <c r="B31">
        <v>2022</v>
      </c>
      <c r="C31" t="s">
        <v>26</v>
      </c>
      <c r="D31" t="s">
        <v>12</v>
      </c>
      <c r="E31">
        <v>162</v>
      </c>
      <c r="F31">
        <v>1552</v>
      </c>
      <c r="G31">
        <v>22</v>
      </c>
      <c r="H31">
        <v>62094</v>
      </c>
      <c r="I31">
        <v>1117</v>
      </c>
      <c r="J31">
        <v>4307</v>
      </c>
    </row>
    <row r="32" spans="1:10" x14ac:dyDescent="0.3">
      <c r="A32">
        <v>12</v>
      </c>
      <c r="B32">
        <v>2022</v>
      </c>
      <c r="C32" t="s">
        <v>27</v>
      </c>
      <c r="D32" t="s">
        <v>11</v>
      </c>
      <c r="E32">
        <v>0</v>
      </c>
      <c r="F32">
        <v>69504</v>
      </c>
      <c r="G32">
        <v>7775</v>
      </c>
      <c r="H32">
        <v>40461</v>
      </c>
      <c r="I32">
        <v>65</v>
      </c>
      <c r="J32">
        <v>2872</v>
      </c>
    </row>
    <row r="33" spans="1:10" x14ac:dyDescent="0.3">
      <c r="A33">
        <v>12</v>
      </c>
      <c r="B33">
        <v>2022</v>
      </c>
      <c r="C33" t="s">
        <v>27</v>
      </c>
      <c r="D33" t="s">
        <v>12</v>
      </c>
      <c r="E33">
        <v>0</v>
      </c>
      <c r="F33">
        <v>69109</v>
      </c>
      <c r="G33">
        <v>7743</v>
      </c>
      <c r="H33">
        <v>40291</v>
      </c>
      <c r="I33">
        <v>65</v>
      </c>
      <c r="J33">
        <v>2872</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0A1152-0363-4FE9-A89B-7732B9E404E6}">
  <dimension ref="A1:I97"/>
  <sheetViews>
    <sheetView topLeftCell="C1" workbookViewId="0">
      <selection activeCell="F88" sqref="F88"/>
    </sheetView>
  </sheetViews>
  <sheetFormatPr defaultRowHeight="14.4" x14ac:dyDescent="0.3"/>
  <cols>
    <col min="1" max="1" width="7.77734375" bestFit="1" customWidth="1"/>
    <col min="2" max="2" width="6.88671875" bestFit="1" customWidth="1"/>
    <col min="3" max="3" width="12" bestFit="1" customWidth="1"/>
    <col min="4" max="4" width="13.109375" bestFit="1" customWidth="1"/>
    <col min="5" max="5" width="12.109375" bestFit="1" customWidth="1"/>
    <col min="6" max="6" width="11.33203125" bestFit="1" customWidth="1"/>
    <col min="7" max="7" width="17.44140625" bestFit="1" customWidth="1"/>
    <col min="8" max="8" width="14.5546875" bestFit="1" customWidth="1"/>
    <col min="9" max="9" width="14.109375" bestFit="1" customWidth="1"/>
    <col min="10" max="10" width="11" bestFit="1" customWidth="1"/>
    <col min="11" max="11" width="13.21875" bestFit="1" customWidth="1"/>
    <col min="12" max="12" width="12.77734375" bestFit="1" customWidth="1"/>
  </cols>
  <sheetData>
    <row r="1" spans="1:9" x14ac:dyDescent="0.3">
      <c r="A1" t="s">
        <v>0</v>
      </c>
      <c r="B1" t="s">
        <v>1</v>
      </c>
      <c r="C1" t="s">
        <v>28</v>
      </c>
      <c r="D1" t="s">
        <v>29</v>
      </c>
      <c r="E1" t="s">
        <v>30</v>
      </c>
      <c r="F1" t="s">
        <v>31</v>
      </c>
      <c r="G1" t="s">
        <v>32</v>
      </c>
      <c r="H1" t="s">
        <v>33</v>
      </c>
      <c r="I1" t="s">
        <v>34</v>
      </c>
    </row>
    <row r="2" spans="1:9" x14ac:dyDescent="0.3">
      <c r="A2">
        <v>12</v>
      </c>
      <c r="B2">
        <v>2022</v>
      </c>
      <c r="C2" t="s">
        <v>10</v>
      </c>
      <c r="D2" t="s">
        <v>4</v>
      </c>
      <c r="E2">
        <v>0</v>
      </c>
      <c r="F2">
        <v>0</v>
      </c>
      <c r="I2" t="s">
        <v>35</v>
      </c>
    </row>
    <row r="3" spans="1:9" x14ac:dyDescent="0.3">
      <c r="A3">
        <v>12</v>
      </c>
      <c r="B3">
        <v>2022</v>
      </c>
      <c r="C3" t="s">
        <v>10</v>
      </c>
      <c r="D3" t="s">
        <v>5</v>
      </c>
      <c r="E3">
        <v>4533</v>
      </c>
      <c r="F3">
        <v>4524</v>
      </c>
      <c r="G3">
        <v>0.99801455989410981</v>
      </c>
      <c r="H3">
        <v>1.9854401058901905E-3</v>
      </c>
    </row>
    <row r="4" spans="1:9" x14ac:dyDescent="0.3">
      <c r="A4">
        <v>12</v>
      </c>
      <c r="B4">
        <v>2022</v>
      </c>
      <c r="C4" t="s">
        <v>10</v>
      </c>
      <c r="D4" t="s">
        <v>6</v>
      </c>
      <c r="E4">
        <v>0</v>
      </c>
      <c r="F4">
        <v>0</v>
      </c>
      <c r="I4" t="s">
        <v>35</v>
      </c>
    </row>
    <row r="5" spans="1:9" x14ac:dyDescent="0.3">
      <c r="A5">
        <v>12</v>
      </c>
      <c r="B5">
        <v>2022</v>
      </c>
      <c r="C5" t="s">
        <v>10</v>
      </c>
      <c r="D5" t="s">
        <v>7</v>
      </c>
      <c r="E5">
        <v>86178</v>
      </c>
      <c r="F5">
        <v>85839</v>
      </c>
      <c r="G5">
        <v>0.99606628141753117</v>
      </c>
      <c r="H5">
        <v>3.9337185824688259E-3</v>
      </c>
    </row>
    <row r="6" spans="1:9" x14ac:dyDescent="0.3">
      <c r="A6">
        <v>12</v>
      </c>
      <c r="B6">
        <v>2022</v>
      </c>
      <c r="C6" t="s">
        <v>10</v>
      </c>
      <c r="D6" t="s">
        <v>8</v>
      </c>
      <c r="E6">
        <v>3741</v>
      </c>
      <c r="F6">
        <v>3730</v>
      </c>
      <c r="G6">
        <v>0.99705960973001873</v>
      </c>
      <c r="H6">
        <v>2.9403902699812745E-3</v>
      </c>
    </row>
    <row r="7" spans="1:9" x14ac:dyDescent="0.3">
      <c r="A7">
        <v>12</v>
      </c>
      <c r="B7">
        <v>2022</v>
      </c>
      <c r="C7" t="s">
        <v>10</v>
      </c>
      <c r="D7" t="s">
        <v>9</v>
      </c>
      <c r="E7">
        <v>7736</v>
      </c>
      <c r="F7">
        <v>7725</v>
      </c>
      <c r="G7">
        <v>0.99857807652533614</v>
      </c>
      <c r="H7">
        <v>1.4219234746638554E-3</v>
      </c>
    </row>
    <row r="8" spans="1:9" x14ac:dyDescent="0.3">
      <c r="A8">
        <v>12</v>
      </c>
      <c r="B8">
        <v>2022</v>
      </c>
      <c r="C8" t="s">
        <v>19</v>
      </c>
      <c r="D8" t="s">
        <v>4</v>
      </c>
      <c r="E8">
        <v>93</v>
      </c>
      <c r="F8">
        <v>92</v>
      </c>
      <c r="G8">
        <v>0.989247311827957</v>
      </c>
      <c r="H8">
        <v>1.0752688172043001E-2</v>
      </c>
    </row>
    <row r="9" spans="1:9" x14ac:dyDescent="0.3">
      <c r="A9">
        <v>12</v>
      </c>
      <c r="B9">
        <v>2022</v>
      </c>
      <c r="C9" t="s">
        <v>19</v>
      </c>
      <c r="D9" t="s">
        <v>5</v>
      </c>
      <c r="E9">
        <v>70</v>
      </c>
      <c r="F9">
        <v>70</v>
      </c>
      <c r="G9">
        <v>1</v>
      </c>
      <c r="H9">
        <v>0</v>
      </c>
    </row>
    <row r="10" spans="1:9" x14ac:dyDescent="0.3">
      <c r="A10">
        <v>12</v>
      </c>
      <c r="B10">
        <v>2022</v>
      </c>
      <c r="C10" t="s">
        <v>19</v>
      </c>
      <c r="D10" t="s">
        <v>6</v>
      </c>
      <c r="E10">
        <v>0</v>
      </c>
      <c r="F10">
        <v>0</v>
      </c>
      <c r="I10" t="s">
        <v>35</v>
      </c>
    </row>
    <row r="11" spans="1:9" x14ac:dyDescent="0.3">
      <c r="A11">
        <v>12</v>
      </c>
      <c r="B11">
        <v>2022</v>
      </c>
      <c r="C11" t="s">
        <v>19</v>
      </c>
      <c r="D11" t="s">
        <v>7</v>
      </c>
      <c r="E11">
        <v>12262</v>
      </c>
      <c r="F11">
        <v>12214</v>
      </c>
      <c r="G11">
        <v>0.99608546729734138</v>
      </c>
      <c r="H11">
        <v>3.9145327026586241E-3</v>
      </c>
    </row>
    <row r="12" spans="1:9" x14ac:dyDescent="0.3">
      <c r="A12">
        <v>12</v>
      </c>
      <c r="B12">
        <v>2022</v>
      </c>
      <c r="C12" t="s">
        <v>19</v>
      </c>
      <c r="D12" t="s">
        <v>8</v>
      </c>
      <c r="E12">
        <v>1901</v>
      </c>
      <c r="F12">
        <v>1894</v>
      </c>
      <c r="G12">
        <v>0.99631772751183589</v>
      </c>
      <c r="H12">
        <v>3.6822724881641067E-3</v>
      </c>
    </row>
    <row r="13" spans="1:9" x14ac:dyDescent="0.3">
      <c r="A13">
        <v>12</v>
      </c>
      <c r="B13">
        <v>2022</v>
      </c>
      <c r="C13" t="s">
        <v>19</v>
      </c>
      <c r="D13" t="s">
        <v>9</v>
      </c>
      <c r="E13">
        <v>2363</v>
      </c>
      <c r="F13">
        <v>2361</v>
      </c>
      <c r="G13">
        <v>0.99915361828184512</v>
      </c>
      <c r="H13">
        <v>8.4638171815487606E-4</v>
      </c>
    </row>
    <row r="14" spans="1:9" x14ac:dyDescent="0.3">
      <c r="A14">
        <v>12</v>
      </c>
      <c r="B14">
        <v>2022</v>
      </c>
      <c r="C14" t="s">
        <v>20</v>
      </c>
      <c r="D14" t="s">
        <v>4</v>
      </c>
      <c r="E14">
        <v>0</v>
      </c>
      <c r="F14">
        <v>0</v>
      </c>
      <c r="I14" t="s">
        <v>35</v>
      </c>
    </row>
    <row r="15" spans="1:9" x14ac:dyDescent="0.3">
      <c r="A15">
        <v>12</v>
      </c>
      <c r="B15">
        <v>2022</v>
      </c>
      <c r="C15" t="s">
        <v>20</v>
      </c>
      <c r="D15" t="s">
        <v>5</v>
      </c>
      <c r="E15">
        <v>3180</v>
      </c>
      <c r="F15">
        <v>3138</v>
      </c>
      <c r="G15">
        <v>0.98679245283018868</v>
      </c>
      <c r="H15">
        <v>1.3207547169811318E-2</v>
      </c>
    </row>
    <row r="16" spans="1:9" x14ac:dyDescent="0.3">
      <c r="A16">
        <v>12</v>
      </c>
      <c r="B16">
        <v>2022</v>
      </c>
      <c r="C16" t="s">
        <v>20</v>
      </c>
      <c r="D16" t="s">
        <v>6</v>
      </c>
      <c r="E16">
        <v>0</v>
      </c>
      <c r="F16">
        <v>0</v>
      </c>
      <c r="I16" t="s">
        <v>35</v>
      </c>
    </row>
    <row r="17" spans="1:9" x14ac:dyDescent="0.3">
      <c r="A17">
        <v>12</v>
      </c>
      <c r="B17">
        <v>2022</v>
      </c>
      <c r="C17" t="s">
        <v>20</v>
      </c>
      <c r="D17" t="s">
        <v>7</v>
      </c>
      <c r="E17">
        <v>60352</v>
      </c>
      <c r="F17">
        <v>60136</v>
      </c>
      <c r="G17">
        <v>0.99642099681866381</v>
      </c>
      <c r="H17">
        <v>3.5790031813361933E-3</v>
      </c>
    </row>
    <row r="18" spans="1:9" x14ac:dyDescent="0.3">
      <c r="A18">
        <v>12</v>
      </c>
      <c r="B18">
        <v>2022</v>
      </c>
      <c r="C18" t="s">
        <v>20</v>
      </c>
      <c r="D18" t="s">
        <v>8</v>
      </c>
      <c r="E18">
        <v>3640</v>
      </c>
      <c r="F18">
        <v>3629</v>
      </c>
      <c r="G18">
        <v>0.99697802197802199</v>
      </c>
      <c r="H18">
        <v>3.0219780219780112E-3</v>
      </c>
    </row>
    <row r="19" spans="1:9" x14ac:dyDescent="0.3">
      <c r="A19">
        <v>12</v>
      </c>
      <c r="B19">
        <v>2022</v>
      </c>
      <c r="C19" t="s">
        <v>20</v>
      </c>
      <c r="D19" t="s">
        <v>9</v>
      </c>
      <c r="E19">
        <v>7807</v>
      </c>
      <c r="F19">
        <v>7794</v>
      </c>
      <c r="G19">
        <v>0.99833482771871396</v>
      </c>
      <c r="H19">
        <v>1.6651722812860426E-3</v>
      </c>
    </row>
    <row r="20" spans="1:9" x14ac:dyDescent="0.3">
      <c r="A20">
        <v>12</v>
      </c>
      <c r="B20">
        <v>2022</v>
      </c>
      <c r="C20" t="s">
        <v>13</v>
      </c>
      <c r="D20" t="s">
        <v>4</v>
      </c>
      <c r="E20">
        <v>103</v>
      </c>
      <c r="F20">
        <v>101</v>
      </c>
      <c r="G20">
        <v>0.98058252427184467</v>
      </c>
      <c r="H20">
        <v>1.9417475728155331E-2</v>
      </c>
    </row>
    <row r="21" spans="1:9" x14ac:dyDescent="0.3">
      <c r="A21">
        <v>12</v>
      </c>
      <c r="B21">
        <v>2022</v>
      </c>
      <c r="C21" t="s">
        <v>13</v>
      </c>
      <c r="D21" t="s">
        <v>5</v>
      </c>
      <c r="E21">
        <v>7746</v>
      </c>
      <c r="F21">
        <v>7688</v>
      </c>
      <c r="G21">
        <v>0.99251226439452622</v>
      </c>
      <c r="H21">
        <v>7.4877356054737776E-3</v>
      </c>
    </row>
    <row r="22" spans="1:9" x14ac:dyDescent="0.3">
      <c r="A22">
        <v>12</v>
      </c>
      <c r="B22">
        <v>2022</v>
      </c>
      <c r="C22" t="s">
        <v>13</v>
      </c>
      <c r="D22" t="s">
        <v>6</v>
      </c>
      <c r="E22">
        <v>0</v>
      </c>
      <c r="F22">
        <v>0</v>
      </c>
      <c r="I22" t="s">
        <v>35</v>
      </c>
    </row>
    <row r="23" spans="1:9" x14ac:dyDescent="0.3">
      <c r="A23">
        <v>12</v>
      </c>
      <c r="B23">
        <v>2022</v>
      </c>
      <c r="C23" t="s">
        <v>13</v>
      </c>
      <c r="D23" t="s">
        <v>7</v>
      </c>
      <c r="E23">
        <v>69835</v>
      </c>
      <c r="F23">
        <v>69506</v>
      </c>
      <c r="G23">
        <v>0.99528889525309661</v>
      </c>
      <c r="H23">
        <v>4.711104746903394E-3</v>
      </c>
    </row>
    <row r="24" spans="1:9" x14ac:dyDescent="0.3">
      <c r="A24">
        <v>12</v>
      </c>
      <c r="B24">
        <v>2022</v>
      </c>
      <c r="C24" t="s">
        <v>13</v>
      </c>
      <c r="D24" t="s">
        <v>8</v>
      </c>
      <c r="E24">
        <v>3823</v>
      </c>
      <c r="F24">
        <v>3809</v>
      </c>
      <c r="G24">
        <v>0.99633795448600571</v>
      </c>
      <c r="H24">
        <v>3.6620455139942942E-3</v>
      </c>
    </row>
    <row r="25" spans="1:9" x14ac:dyDescent="0.3">
      <c r="A25">
        <v>12</v>
      </c>
      <c r="B25">
        <v>2022</v>
      </c>
      <c r="C25" t="s">
        <v>13</v>
      </c>
      <c r="D25" t="s">
        <v>9</v>
      </c>
      <c r="E25">
        <v>11465</v>
      </c>
      <c r="F25">
        <v>11431</v>
      </c>
      <c r="G25">
        <v>0.99703445268207591</v>
      </c>
      <c r="H25">
        <v>2.9655473179240888E-3</v>
      </c>
    </row>
    <row r="26" spans="1:9" x14ac:dyDescent="0.3">
      <c r="A26">
        <v>12</v>
      </c>
      <c r="B26">
        <v>2022</v>
      </c>
      <c r="C26" t="s">
        <v>14</v>
      </c>
      <c r="D26" t="s">
        <v>4</v>
      </c>
      <c r="E26">
        <v>0</v>
      </c>
      <c r="F26">
        <v>0</v>
      </c>
      <c r="I26" t="s">
        <v>35</v>
      </c>
    </row>
    <row r="27" spans="1:9" x14ac:dyDescent="0.3">
      <c r="A27">
        <v>12</v>
      </c>
      <c r="B27">
        <v>2022</v>
      </c>
      <c r="C27" t="s">
        <v>14</v>
      </c>
      <c r="D27" t="s">
        <v>5</v>
      </c>
      <c r="E27">
        <v>13060</v>
      </c>
      <c r="F27">
        <v>13025</v>
      </c>
      <c r="G27">
        <v>0.99732006125574268</v>
      </c>
      <c r="H27">
        <v>2.6799387442573153E-3</v>
      </c>
    </row>
    <row r="28" spans="1:9" x14ac:dyDescent="0.3">
      <c r="A28">
        <v>12</v>
      </c>
      <c r="B28">
        <v>2022</v>
      </c>
      <c r="C28" t="s">
        <v>14</v>
      </c>
      <c r="D28" t="s">
        <v>6</v>
      </c>
      <c r="E28">
        <v>55</v>
      </c>
      <c r="F28">
        <v>55</v>
      </c>
      <c r="G28">
        <v>1</v>
      </c>
      <c r="H28">
        <v>0</v>
      </c>
    </row>
    <row r="29" spans="1:9" x14ac:dyDescent="0.3">
      <c r="A29">
        <v>12</v>
      </c>
      <c r="B29">
        <v>2022</v>
      </c>
      <c r="C29" t="s">
        <v>14</v>
      </c>
      <c r="D29" t="s">
        <v>7</v>
      </c>
      <c r="E29">
        <v>89637</v>
      </c>
      <c r="F29">
        <v>89317</v>
      </c>
      <c r="G29">
        <v>0.99643004562847937</v>
      </c>
      <c r="H29">
        <v>3.5699543715206339E-3</v>
      </c>
    </row>
    <row r="30" spans="1:9" x14ac:dyDescent="0.3">
      <c r="A30">
        <v>12</v>
      </c>
      <c r="B30">
        <v>2022</v>
      </c>
      <c r="C30" t="s">
        <v>14</v>
      </c>
      <c r="D30" t="s">
        <v>8</v>
      </c>
      <c r="E30">
        <v>2549</v>
      </c>
      <c r="F30">
        <v>2537</v>
      </c>
      <c r="G30">
        <v>0.99529227147901134</v>
      </c>
      <c r="H30">
        <v>4.7077285209886632E-3</v>
      </c>
    </row>
    <row r="31" spans="1:9" x14ac:dyDescent="0.3">
      <c r="A31">
        <v>12</v>
      </c>
      <c r="B31">
        <v>2022</v>
      </c>
      <c r="C31" t="s">
        <v>14</v>
      </c>
      <c r="D31" t="s">
        <v>9</v>
      </c>
      <c r="E31">
        <v>5861</v>
      </c>
      <c r="F31">
        <v>5844</v>
      </c>
      <c r="G31">
        <v>0.99709947108002051</v>
      </c>
      <c r="H31">
        <v>2.9005289199794948E-3</v>
      </c>
    </row>
    <row r="32" spans="1:9" x14ac:dyDescent="0.3">
      <c r="A32">
        <v>12</v>
      </c>
      <c r="B32">
        <v>2022</v>
      </c>
      <c r="C32" t="s">
        <v>21</v>
      </c>
      <c r="D32" t="s">
        <v>4</v>
      </c>
      <c r="E32">
        <v>0</v>
      </c>
      <c r="F32">
        <v>0</v>
      </c>
      <c r="I32" t="s">
        <v>35</v>
      </c>
    </row>
    <row r="33" spans="1:9" x14ac:dyDescent="0.3">
      <c r="A33">
        <v>12</v>
      </c>
      <c r="B33">
        <v>2022</v>
      </c>
      <c r="C33" t="s">
        <v>21</v>
      </c>
      <c r="D33" t="s">
        <v>5</v>
      </c>
      <c r="E33">
        <v>3565</v>
      </c>
      <c r="F33">
        <v>3552</v>
      </c>
      <c r="G33">
        <v>0.99635343618513328</v>
      </c>
      <c r="H33">
        <v>3.6465638148667212E-3</v>
      </c>
    </row>
    <row r="34" spans="1:9" x14ac:dyDescent="0.3">
      <c r="A34">
        <v>12</v>
      </c>
      <c r="B34">
        <v>2022</v>
      </c>
      <c r="C34" t="s">
        <v>21</v>
      </c>
      <c r="D34" t="s">
        <v>6</v>
      </c>
      <c r="E34">
        <v>0</v>
      </c>
      <c r="F34">
        <v>0</v>
      </c>
      <c r="I34" t="s">
        <v>35</v>
      </c>
    </row>
    <row r="35" spans="1:9" x14ac:dyDescent="0.3">
      <c r="A35">
        <v>12</v>
      </c>
      <c r="B35">
        <v>2022</v>
      </c>
      <c r="C35" t="s">
        <v>21</v>
      </c>
      <c r="D35" t="s">
        <v>7</v>
      </c>
      <c r="E35">
        <v>67799</v>
      </c>
      <c r="F35">
        <v>67700</v>
      </c>
      <c r="G35">
        <v>0.99853980147199817</v>
      </c>
      <c r="H35">
        <v>1.4601985280018326E-3</v>
      </c>
    </row>
    <row r="36" spans="1:9" x14ac:dyDescent="0.3">
      <c r="A36">
        <v>12</v>
      </c>
      <c r="B36">
        <v>2022</v>
      </c>
      <c r="C36" t="s">
        <v>21</v>
      </c>
      <c r="D36" t="s">
        <v>8</v>
      </c>
      <c r="E36">
        <v>1646</v>
      </c>
      <c r="F36">
        <v>1642</v>
      </c>
      <c r="G36">
        <v>0.99756986634264888</v>
      </c>
      <c r="H36">
        <v>2.430133657351119E-3</v>
      </c>
    </row>
    <row r="37" spans="1:9" x14ac:dyDescent="0.3">
      <c r="A37">
        <v>12</v>
      </c>
      <c r="B37">
        <v>2022</v>
      </c>
      <c r="C37" t="s">
        <v>21</v>
      </c>
      <c r="D37" t="s">
        <v>9</v>
      </c>
      <c r="E37">
        <v>6713</v>
      </c>
      <c r="F37">
        <v>6701</v>
      </c>
      <c r="G37">
        <v>0.99821242365559359</v>
      </c>
      <c r="H37">
        <v>1.7875763444064052E-3</v>
      </c>
    </row>
    <row r="38" spans="1:9" x14ac:dyDescent="0.3">
      <c r="A38">
        <v>12</v>
      </c>
      <c r="B38">
        <v>2022</v>
      </c>
      <c r="C38" t="s">
        <v>26</v>
      </c>
      <c r="D38" t="s">
        <v>4</v>
      </c>
      <c r="E38">
        <v>164</v>
      </c>
      <c r="F38">
        <v>162</v>
      </c>
      <c r="G38">
        <v>0.98780487804878048</v>
      </c>
      <c r="H38">
        <v>1.2195121951219523E-2</v>
      </c>
    </row>
    <row r="39" spans="1:9" x14ac:dyDescent="0.3">
      <c r="A39">
        <v>12</v>
      </c>
      <c r="B39">
        <v>2022</v>
      </c>
      <c r="C39" t="s">
        <v>26</v>
      </c>
      <c r="D39" t="s">
        <v>5</v>
      </c>
      <c r="E39">
        <v>1555</v>
      </c>
      <c r="F39">
        <v>1552</v>
      </c>
      <c r="G39">
        <v>0.99807073954983927</v>
      </c>
      <c r="H39">
        <v>1.9292604501607302E-3</v>
      </c>
    </row>
    <row r="40" spans="1:9" x14ac:dyDescent="0.3">
      <c r="A40">
        <v>12</v>
      </c>
      <c r="B40">
        <v>2022</v>
      </c>
      <c r="C40" t="s">
        <v>26</v>
      </c>
      <c r="D40" t="s">
        <v>6</v>
      </c>
      <c r="E40">
        <v>22</v>
      </c>
      <c r="F40">
        <v>22</v>
      </c>
      <c r="G40">
        <v>1</v>
      </c>
      <c r="H40">
        <v>0</v>
      </c>
    </row>
    <row r="41" spans="1:9" x14ac:dyDescent="0.3">
      <c r="A41">
        <v>12</v>
      </c>
      <c r="B41">
        <v>2022</v>
      </c>
      <c r="C41" t="s">
        <v>26</v>
      </c>
      <c r="D41" t="s">
        <v>7</v>
      </c>
      <c r="E41">
        <v>62473</v>
      </c>
      <c r="F41">
        <v>62094</v>
      </c>
      <c r="G41">
        <v>0.99393337921982294</v>
      </c>
      <c r="H41">
        <v>6.0666207801770566E-3</v>
      </c>
    </row>
    <row r="42" spans="1:9" x14ac:dyDescent="0.3">
      <c r="A42">
        <v>12</v>
      </c>
      <c r="B42">
        <v>2022</v>
      </c>
      <c r="C42" t="s">
        <v>26</v>
      </c>
      <c r="D42" t="s">
        <v>8</v>
      </c>
      <c r="E42">
        <v>1120</v>
      </c>
      <c r="F42">
        <v>1117</v>
      </c>
      <c r="G42">
        <v>0.99732142857142858</v>
      </c>
      <c r="H42">
        <v>2.6785714285714191E-3</v>
      </c>
    </row>
    <row r="43" spans="1:9" x14ac:dyDescent="0.3">
      <c r="A43">
        <v>12</v>
      </c>
      <c r="B43">
        <v>2022</v>
      </c>
      <c r="C43" t="s">
        <v>26</v>
      </c>
      <c r="D43" t="s">
        <v>9</v>
      </c>
      <c r="E43">
        <v>4312</v>
      </c>
      <c r="F43">
        <v>4307</v>
      </c>
      <c r="G43">
        <v>0.99884044526901672</v>
      </c>
      <c r="H43">
        <v>1.159554730983281E-3</v>
      </c>
    </row>
    <row r="44" spans="1:9" x14ac:dyDescent="0.3">
      <c r="A44">
        <v>12</v>
      </c>
      <c r="B44">
        <v>2022</v>
      </c>
      <c r="C44" t="s">
        <v>15</v>
      </c>
      <c r="D44" t="s">
        <v>4</v>
      </c>
      <c r="E44">
        <v>0</v>
      </c>
      <c r="F44">
        <v>0</v>
      </c>
      <c r="I44" t="s">
        <v>35</v>
      </c>
    </row>
    <row r="45" spans="1:9" x14ac:dyDescent="0.3">
      <c r="A45">
        <v>12</v>
      </c>
      <c r="B45">
        <v>2022</v>
      </c>
      <c r="C45" t="s">
        <v>15</v>
      </c>
      <c r="D45" t="s">
        <v>5</v>
      </c>
      <c r="E45">
        <v>100216</v>
      </c>
      <c r="F45">
        <v>99566</v>
      </c>
      <c r="G45">
        <v>0.99351400973896387</v>
      </c>
      <c r="H45">
        <v>6.4859902610361342E-3</v>
      </c>
    </row>
    <row r="46" spans="1:9" x14ac:dyDescent="0.3">
      <c r="A46">
        <v>12</v>
      </c>
      <c r="B46">
        <v>2022</v>
      </c>
      <c r="C46" t="s">
        <v>15</v>
      </c>
      <c r="D46" t="s">
        <v>6</v>
      </c>
      <c r="E46">
        <v>6420</v>
      </c>
      <c r="F46">
        <v>6393</v>
      </c>
      <c r="G46">
        <v>0.99579439252336444</v>
      </c>
      <c r="H46">
        <v>4.2056074766355644E-3</v>
      </c>
    </row>
    <row r="47" spans="1:9" x14ac:dyDescent="0.3">
      <c r="A47">
        <v>12</v>
      </c>
      <c r="B47">
        <v>2022</v>
      </c>
      <c r="C47" t="s">
        <v>15</v>
      </c>
      <c r="D47" t="s">
        <v>7</v>
      </c>
      <c r="E47">
        <v>64953</v>
      </c>
      <c r="F47">
        <v>64774</v>
      </c>
      <c r="G47">
        <v>0.99724416116268688</v>
      </c>
      <c r="H47">
        <v>2.7558388373131182E-3</v>
      </c>
    </row>
    <row r="48" spans="1:9" x14ac:dyDescent="0.3">
      <c r="A48">
        <v>12</v>
      </c>
      <c r="B48">
        <v>2022</v>
      </c>
      <c r="C48" t="s">
        <v>15</v>
      </c>
      <c r="D48" t="s">
        <v>8</v>
      </c>
      <c r="E48">
        <v>81</v>
      </c>
      <c r="F48">
        <v>81</v>
      </c>
      <c r="G48">
        <v>1</v>
      </c>
      <c r="H48">
        <v>0</v>
      </c>
    </row>
    <row r="49" spans="1:9" x14ac:dyDescent="0.3">
      <c r="A49">
        <v>12</v>
      </c>
      <c r="B49">
        <v>2022</v>
      </c>
      <c r="C49" t="s">
        <v>15</v>
      </c>
      <c r="D49" t="s">
        <v>9</v>
      </c>
      <c r="E49">
        <v>6669</v>
      </c>
      <c r="F49">
        <v>6661</v>
      </c>
      <c r="G49">
        <v>0.99880041985305146</v>
      </c>
      <c r="H49">
        <v>1.1995801469485423E-3</v>
      </c>
    </row>
    <row r="50" spans="1:9" x14ac:dyDescent="0.3">
      <c r="A50">
        <v>12</v>
      </c>
      <c r="B50">
        <v>2022</v>
      </c>
      <c r="C50" t="s">
        <v>27</v>
      </c>
      <c r="D50" t="s">
        <v>4</v>
      </c>
      <c r="E50">
        <v>0</v>
      </c>
      <c r="F50">
        <v>0</v>
      </c>
      <c r="I50" t="s">
        <v>35</v>
      </c>
    </row>
    <row r="51" spans="1:9" x14ac:dyDescent="0.3">
      <c r="A51">
        <v>12</v>
      </c>
      <c r="B51">
        <v>2022</v>
      </c>
      <c r="C51" t="s">
        <v>27</v>
      </c>
      <c r="D51" t="s">
        <v>5</v>
      </c>
      <c r="E51">
        <v>69504</v>
      </c>
      <c r="F51">
        <v>69109</v>
      </c>
      <c r="G51">
        <v>0.99431687384898715</v>
      </c>
      <c r="H51">
        <v>5.6831261510128517E-3</v>
      </c>
    </row>
    <row r="52" spans="1:9" x14ac:dyDescent="0.3">
      <c r="A52">
        <v>12</v>
      </c>
      <c r="B52">
        <v>2022</v>
      </c>
      <c r="C52" t="s">
        <v>27</v>
      </c>
      <c r="D52" t="s">
        <v>6</v>
      </c>
      <c r="E52">
        <v>7775</v>
      </c>
      <c r="F52">
        <v>7743</v>
      </c>
      <c r="G52">
        <v>0.99588424437299039</v>
      </c>
      <c r="H52">
        <v>4.1157556270096096E-3</v>
      </c>
    </row>
    <row r="53" spans="1:9" x14ac:dyDescent="0.3">
      <c r="A53">
        <v>12</v>
      </c>
      <c r="B53">
        <v>2022</v>
      </c>
      <c r="C53" t="s">
        <v>27</v>
      </c>
      <c r="D53" t="s">
        <v>7</v>
      </c>
      <c r="E53">
        <v>40461</v>
      </c>
      <c r="F53">
        <v>40291</v>
      </c>
      <c r="G53">
        <v>0.99579842317293199</v>
      </c>
      <c r="H53">
        <v>4.2015768270680098E-3</v>
      </c>
    </row>
    <row r="54" spans="1:9" x14ac:dyDescent="0.3">
      <c r="A54">
        <v>12</v>
      </c>
      <c r="B54">
        <v>2022</v>
      </c>
      <c r="C54" t="s">
        <v>27</v>
      </c>
      <c r="D54" t="s">
        <v>8</v>
      </c>
      <c r="E54">
        <v>65</v>
      </c>
      <c r="F54">
        <v>65</v>
      </c>
      <c r="G54">
        <v>1</v>
      </c>
      <c r="H54">
        <v>0</v>
      </c>
    </row>
    <row r="55" spans="1:9" x14ac:dyDescent="0.3">
      <c r="A55">
        <v>12</v>
      </c>
      <c r="B55">
        <v>2022</v>
      </c>
      <c r="C55" t="s">
        <v>27</v>
      </c>
      <c r="D55" t="s">
        <v>9</v>
      </c>
      <c r="E55">
        <v>2872</v>
      </c>
      <c r="F55">
        <v>2872</v>
      </c>
      <c r="G55">
        <v>1</v>
      </c>
      <c r="H55">
        <v>0</v>
      </c>
    </row>
    <row r="56" spans="1:9" x14ac:dyDescent="0.3">
      <c r="A56">
        <v>12</v>
      </c>
      <c r="B56">
        <v>2022</v>
      </c>
      <c r="C56" t="s">
        <v>17</v>
      </c>
      <c r="D56" t="s">
        <v>4</v>
      </c>
      <c r="E56">
        <v>0</v>
      </c>
      <c r="F56">
        <v>0</v>
      </c>
      <c r="I56" t="s">
        <v>35</v>
      </c>
    </row>
    <row r="57" spans="1:9" x14ac:dyDescent="0.3">
      <c r="A57">
        <v>12</v>
      </c>
      <c r="B57">
        <v>2022</v>
      </c>
      <c r="C57" t="s">
        <v>17</v>
      </c>
      <c r="D57" t="s">
        <v>5</v>
      </c>
      <c r="E57">
        <v>20672</v>
      </c>
      <c r="F57">
        <v>20518</v>
      </c>
      <c r="G57">
        <v>0.99255030959752322</v>
      </c>
      <c r="H57">
        <v>7.4496904024767829E-3</v>
      </c>
    </row>
    <row r="58" spans="1:9" x14ac:dyDescent="0.3">
      <c r="A58">
        <v>12</v>
      </c>
      <c r="B58">
        <v>2022</v>
      </c>
      <c r="C58" t="s">
        <v>17</v>
      </c>
      <c r="D58" t="s">
        <v>6</v>
      </c>
      <c r="E58">
        <v>102</v>
      </c>
      <c r="F58">
        <v>101</v>
      </c>
      <c r="G58">
        <v>0.99019607843137258</v>
      </c>
      <c r="H58">
        <v>9.8039215686274161E-3</v>
      </c>
    </row>
    <row r="59" spans="1:9" x14ac:dyDescent="0.3">
      <c r="A59">
        <v>12</v>
      </c>
      <c r="B59">
        <v>2022</v>
      </c>
      <c r="C59" t="s">
        <v>17</v>
      </c>
      <c r="D59" t="s">
        <v>7</v>
      </c>
      <c r="E59">
        <v>20768</v>
      </c>
      <c r="F59">
        <v>20601</v>
      </c>
      <c r="G59">
        <v>0.99195878274268101</v>
      </c>
      <c r="H59">
        <v>8.0412172573189888E-3</v>
      </c>
    </row>
    <row r="60" spans="1:9" x14ac:dyDescent="0.3">
      <c r="A60">
        <v>12</v>
      </c>
      <c r="B60">
        <v>2022</v>
      </c>
      <c r="C60" t="s">
        <v>17</v>
      </c>
      <c r="D60" t="s">
        <v>8</v>
      </c>
      <c r="E60">
        <v>4536</v>
      </c>
      <c r="F60">
        <v>4481</v>
      </c>
      <c r="G60">
        <v>0.9878747795414462</v>
      </c>
      <c r="H60">
        <v>1.2125220458553798E-2</v>
      </c>
    </row>
    <row r="61" spans="1:9" x14ac:dyDescent="0.3">
      <c r="A61">
        <v>12</v>
      </c>
      <c r="B61">
        <v>2022</v>
      </c>
      <c r="C61" t="s">
        <v>17</v>
      </c>
      <c r="D61" t="s">
        <v>9</v>
      </c>
      <c r="E61">
        <v>6071</v>
      </c>
      <c r="F61">
        <v>6047</v>
      </c>
      <c r="G61">
        <v>0.99604677977268985</v>
      </c>
      <c r="H61">
        <v>3.9532202273101502E-3</v>
      </c>
    </row>
    <row r="62" spans="1:9" x14ac:dyDescent="0.3">
      <c r="A62">
        <v>12</v>
      </c>
      <c r="B62">
        <v>2022</v>
      </c>
      <c r="C62" t="s">
        <v>22</v>
      </c>
      <c r="D62" t="s">
        <v>4</v>
      </c>
      <c r="E62">
        <v>0</v>
      </c>
      <c r="F62">
        <v>0</v>
      </c>
      <c r="I62" t="s">
        <v>35</v>
      </c>
    </row>
    <row r="63" spans="1:9" x14ac:dyDescent="0.3">
      <c r="A63">
        <v>12</v>
      </c>
      <c r="B63">
        <v>2022</v>
      </c>
      <c r="C63" t="s">
        <v>22</v>
      </c>
      <c r="D63" t="s">
        <v>5</v>
      </c>
      <c r="E63">
        <v>278</v>
      </c>
      <c r="F63">
        <v>272</v>
      </c>
      <c r="G63">
        <v>0.97841726618705038</v>
      </c>
      <c r="H63">
        <v>2.1582733812949617E-2</v>
      </c>
    </row>
    <row r="64" spans="1:9" x14ac:dyDescent="0.3">
      <c r="A64">
        <v>12</v>
      </c>
      <c r="B64">
        <v>2022</v>
      </c>
      <c r="C64" t="s">
        <v>22</v>
      </c>
      <c r="D64" t="s">
        <v>6</v>
      </c>
      <c r="E64">
        <v>921</v>
      </c>
      <c r="F64">
        <v>920</v>
      </c>
      <c r="G64">
        <v>0.998914223669924</v>
      </c>
      <c r="H64">
        <v>1.0857763300760048E-3</v>
      </c>
    </row>
    <row r="65" spans="1:9" x14ac:dyDescent="0.3">
      <c r="A65">
        <v>12</v>
      </c>
      <c r="B65">
        <v>2022</v>
      </c>
      <c r="C65" t="s">
        <v>22</v>
      </c>
      <c r="D65" t="s">
        <v>7</v>
      </c>
      <c r="E65">
        <v>100688</v>
      </c>
      <c r="F65">
        <v>99746</v>
      </c>
      <c r="G65">
        <v>0.99064436675671386</v>
      </c>
      <c r="H65">
        <v>9.3556332432861433E-3</v>
      </c>
    </row>
    <row r="66" spans="1:9" x14ac:dyDescent="0.3">
      <c r="A66">
        <v>12</v>
      </c>
      <c r="B66">
        <v>2022</v>
      </c>
      <c r="C66" t="s">
        <v>22</v>
      </c>
      <c r="D66" t="s">
        <v>8</v>
      </c>
      <c r="E66">
        <v>1069</v>
      </c>
      <c r="F66">
        <v>1060</v>
      </c>
      <c r="G66">
        <v>0.99158091674462112</v>
      </c>
      <c r="H66">
        <v>8.4190832553788786E-3</v>
      </c>
    </row>
    <row r="67" spans="1:9" x14ac:dyDescent="0.3">
      <c r="A67">
        <v>12</v>
      </c>
      <c r="B67">
        <v>2022</v>
      </c>
      <c r="C67" t="s">
        <v>22</v>
      </c>
      <c r="D67" t="s">
        <v>9</v>
      </c>
      <c r="E67">
        <v>4480</v>
      </c>
      <c r="F67">
        <v>4471</v>
      </c>
      <c r="G67">
        <v>0.99799107142857146</v>
      </c>
      <c r="H67">
        <v>2.0089285714285365E-3</v>
      </c>
    </row>
    <row r="68" spans="1:9" x14ac:dyDescent="0.3">
      <c r="A68">
        <v>12</v>
      </c>
      <c r="B68">
        <v>2022</v>
      </c>
      <c r="C68" t="s">
        <v>18</v>
      </c>
      <c r="D68" t="s">
        <v>4</v>
      </c>
      <c r="E68">
        <v>38</v>
      </c>
      <c r="F68">
        <v>38</v>
      </c>
      <c r="G68">
        <v>1</v>
      </c>
      <c r="H68">
        <v>0</v>
      </c>
    </row>
    <row r="69" spans="1:9" x14ac:dyDescent="0.3">
      <c r="A69">
        <v>12</v>
      </c>
      <c r="B69">
        <v>2022</v>
      </c>
      <c r="C69" t="s">
        <v>18</v>
      </c>
      <c r="D69" t="s">
        <v>5</v>
      </c>
      <c r="E69">
        <v>357</v>
      </c>
      <c r="F69">
        <v>357</v>
      </c>
      <c r="G69">
        <v>1</v>
      </c>
      <c r="H69">
        <v>0</v>
      </c>
    </row>
    <row r="70" spans="1:9" x14ac:dyDescent="0.3">
      <c r="A70">
        <v>12</v>
      </c>
      <c r="B70">
        <v>2022</v>
      </c>
      <c r="C70" t="s">
        <v>18</v>
      </c>
      <c r="D70" t="s">
        <v>6</v>
      </c>
      <c r="E70">
        <v>0</v>
      </c>
      <c r="F70">
        <v>0</v>
      </c>
      <c r="I70" t="s">
        <v>35</v>
      </c>
    </row>
    <row r="71" spans="1:9" x14ac:dyDescent="0.3">
      <c r="A71">
        <v>12</v>
      </c>
      <c r="B71">
        <v>2022</v>
      </c>
      <c r="C71" t="s">
        <v>18</v>
      </c>
      <c r="D71" t="s">
        <v>7</v>
      </c>
      <c r="E71">
        <v>118675</v>
      </c>
      <c r="F71">
        <v>118046</v>
      </c>
      <c r="G71">
        <v>0.99469981040657263</v>
      </c>
      <c r="H71">
        <v>5.3001895934273735E-3</v>
      </c>
    </row>
    <row r="72" spans="1:9" x14ac:dyDescent="0.3">
      <c r="A72">
        <v>12</v>
      </c>
      <c r="B72">
        <v>2022</v>
      </c>
      <c r="C72" t="s">
        <v>18</v>
      </c>
      <c r="D72" t="s">
        <v>8</v>
      </c>
      <c r="E72">
        <v>2231</v>
      </c>
      <c r="F72">
        <v>2225</v>
      </c>
      <c r="G72">
        <v>0.99731062303899598</v>
      </c>
      <c r="H72">
        <v>2.6893769610040197E-3</v>
      </c>
    </row>
    <row r="73" spans="1:9" x14ac:dyDescent="0.3">
      <c r="A73">
        <v>12</v>
      </c>
      <c r="B73">
        <v>2022</v>
      </c>
      <c r="C73" t="s">
        <v>18</v>
      </c>
      <c r="D73" t="s">
        <v>9</v>
      </c>
      <c r="E73">
        <v>3615</v>
      </c>
      <c r="F73">
        <v>3607</v>
      </c>
      <c r="G73">
        <v>0.99778699861687414</v>
      </c>
      <c r="H73">
        <v>2.2130013831258566E-3</v>
      </c>
    </row>
    <row r="74" spans="1:9" x14ac:dyDescent="0.3">
      <c r="A74">
        <v>12</v>
      </c>
      <c r="B74">
        <v>2022</v>
      </c>
      <c r="C74" t="s">
        <v>23</v>
      </c>
      <c r="D74" t="s">
        <v>4</v>
      </c>
      <c r="E74">
        <v>0</v>
      </c>
      <c r="F74">
        <v>0</v>
      </c>
      <c r="I74" t="s">
        <v>35</v>
      </c>
    </row>
    <row r="75" spans="1:9" x14ac:dyDescent="0.3">
      <c r="A75">
        <v>12</v>
      </c>
      <c r="B75">
        <v>2022</v>
      </c>
      <c r="C75" t="s">
        <v>23</v>
      </c>
      <c r="D75" t="s">
        <v>5</v>
      </c>
      <c r="E75">
        <v>84</v>
      </c>
      <c r="F75">
        <v>83</v>
      </c>
      <c r="G75">
        <v>0.98809523809523814</v>
      </c>
      <c r="H75">
        <v>1.1904761904761862E-2</v>
      </c>
    </row>
    <row r="76" spans="1:9" x14ac:dyDescent="0.3">
      <c r="A76">
        <v>12</v>
      </c>
      <c r="B76">
        <v>2022</v>
      </c>
      <c r="C76" t="s">
        <v>23</v>
      </c>
      <c r="D76" t="s">
        <v>6</v>
      </c>
      <c r="E76">
        <v>0</v>
      </c>
      <c r="F76">
        <v>0</v>
      </c>
      <c r="I76" t="s">
        <v>35</v>
      </c>
    </row>
    <row r="77" spans="1:9" x14ac:dyDescent="0.3">
      <c r="A77">
        <v>12</v>
      </c>
      <c r="B77">
        <v>2022</v>
      </c>
      <c r="C77" t="s">
        <v>23</v>
      </c>
      <c r="D77" t="s">
        <v>7</v>
      </c>
      <c r="E77">
        <v>84716</v>
      </c>
      <c r="F77">
        <v>83962</v>
      </c>
      <c r="G77">
        <v>0.99109967420558098</v>
      </c>
      <c r="H77">
        <v>8.9003257944190173E-3</v>
      </c>
    </row>
    <row r="78" spans="1:9" x14ac:dyDescent="0.3">
      <c r="A78">
        <v>12</v>
      </c>
      <c r="B78">
        <v>2022</v>
      </c>
      <c r="C78" t="s">
        <v>23</v>
      </c>
      <c r="D78" t="s">
        <v>8</v>
      </c>
      <c r="E78">
        <v>3714</v>
      </c>
      <c r="F78">
        <v>3669</v>
      </c>
      <c r="G78">
        <v>0.98788368336025845</v>
      </c>
      <c r="H78">
        <v>1.2116316639741553E-2</v>
      </c>
    </row>
    <row r="79" spans="1:9" x14ac:dyDescent="0.3">
      <c r="A79">
        <v>12</v>
      </c>
      <c r="B79">
        <v>2022</v>
      </c>
      <c r="C79" t="s">
        <v>23</v>
      </c>
      <c r="D79" t="s">
        <v>9</v>
      </c>
      <c r="E79">
        <v>5409</v>
      </c>
      <c r="F79">
        <v>5398</v>
      </c>
      <c r="G79">
        <v>0.99796635237567022</v>
      </c>
      <c r="H79">
        <v>2.0336476243297819E-3</v>
      </c>
    </row>
    <row r="80" spans="1:9" x14ac:dyDescent="0.3">
      <c r="A80">
        <v>12</v>
      </c>
      <c r="B80">
        <v>2022</v>
      </c>
      <c r="C80" t="s">
        <v>24</v>
      </c>
      <c r="D80" t="s">
        <v>4</v>
      </c>
      <c r="E80">
        <v>0</v>
      </c>
      <c r="F80">
        <v>0</v>
      </c>
      <c r="I80" t="s">
        <v>35</v>
      </c>
    </row>
    <row r="81" spans="1:9" x14ac:dyDescent="0.3">
      <c r="A81">
        <v>12</v>
      </c>
      <c r="B81">
        <v>2022</v>
      </c>
      <c r="C81" t="s">
        <v>24</v>
      </c>
      <c r="D81" t="s">
        <v>5</v>
      </c>
      <c r="E81">
        <v>1336</v>
      </c>
      <c r="F81">
        <v>1272</v>
      </c>
      <c r="G81">
        <v>0.95209580838323349</v>
      </c>
      <c r="H81">
        <v>4.7904191616766512E-2</v>
      </c>
    </row>
    <row r="82" spans="1:9" x14ac:dyDescent="0.3">
      <c r="A82">
        <v>12</v>
      </c>
      <c r="B82">
        <v>2022</v>
      </c>
      <c r="C82" t="s">
        <v>24</v>
      </c>
      <c r="D82" t="s">
        <v>6</v>
      </c>
      <c r="E82">
        <v>0</v>
      </c>
      <c r="F82">
        <v>0</v>
      </c>
      <c r="I82" t="s">
        <v>35</v>
      </c>
    </row>
    <row r="83" spans="1:9" x14ac:dyDescent="0.3">
      <c r="A83">
        <v>12</v>
      </c>
      <c r="B83">
        <v>2022</v>
      </c>
      <c r="C83" t="s">
        <v>24</v>
      </c>
      <c r="D83" t="s">
        <v>7</v>
      </c>
      <c r="E83">
        <v>131729</v>
      </c>
      <c r="F83">
        <v>130263</v>
      </c>
      <c r="G83">
        <v>0.98887109140735907</v>
      </c>
      <c r="H83">
        <v>1.1128908592640929E-2</v>
      </c>
    </row>
    <row r="84" spans="1:9" x14ac:dyDescent="0.3">
      <c r="A84">
        <v>12</v>
      </c>
      <c r="B84">
        <v>2022</v>
      </c>
      <c r="C84" t="s">
        <v>24</v>
      </c>
      <c r="D84" t="s">
        <v>8</v>
      </c>
      <c r="E84">
        <v>3184</v>
      </c>
      <c r="F84">
        <v>3152</v>
      </c>
      <c r="G84">
        <v>0.98994974874371855</v>
      </c>
      <c r="H84">
        <v>1.0050251256281451E-2</v>
      </c>
    </row>
    <row r="85" spans="1:9" x14ac:dyDescent="0.3">
      <c r="A85">
        <v>12</v>
      </c>
      <c r="B85">
        <v>2022</v>
      </c>
      <c r="C85" t="s">
        <v>24</v>
      </c>
      <c r="D85" t="s">
        <v>9</v>
      </c>
      <c r="E85">
        <v>8680</v>
      </c>
      <c r="F85">
        <v>8666</v>
      </c>
      <c r="G85">
        <v>0.99838709677419357</v>
      </c>
      <c r="H85">
        <v>1.612903225806428E-3</v>
      </c>
    </row>
    <row r="86" spans="1:9" x14ac:dyDescent="0.3">
      <c r="A86">
        <v>12</v>
      </c>
      <c r="B86">
        <v>2022</v>
      </c>
      <c r="C86" t="s">
        <v>16</v>
      </c>
      <c r="D86" t="s">
        <v>4</v>
      </c>
      <c r="E86">
        <v>0</v>
      </c>
      <c r="F86">
        <v>0</v>
      </c>
      <c r="I86" t="s">
        <v>35</v>
      </c>
    </row>
    <row r="87" spans="1:9" x14ac:dyDescent="0.3">
      <c r="A87">
        <v>12</v>
      </c>
      <c r="B87">
        <v>2022</v>
      </c>
      <c r="C87" t="s">
        <v>16</v>
      </c>
      <c r="D87" t="s">
        <v>5</v>
      </c>
      <c r="E87">
        <v>1535</v>
      </c>
      <c r="F87">
        <v>1534</v>
      </c>
      <c r="G87">
        <v>0.99934853420195435</v>
      </c>
      <c r="H87">
        <v>6.514657980456473E-4</v>
      </c>
    </row>
    <row r="88" spans="1:9" x14ac:dyDescent="0.3">
      <c r="A88">
        <v>12</v>
      </c>
      <c r="B88">
        <v>2022</v>
      </c>
      <c r="C88" t="s">
        <v>16</v>
      </c>
      <c r="D88" t="s">
        <v>6</v>
      </c>
      <c r="E88">
        <v>0</v>
      </c>
      <c r="F88">
        <v>0</v>
      </c>
      <c r="I88" t="s">
        <v>35</v>
      </c>
    </row>
    <row r="89" spans="1:9" x14ac:dyDescent="0.3">
      <c r="A89">
        <v>12</v>
      </c>
      <c r="B89">
        <v>2022</v>
      </c>
      <c r="C89" t="s">
        <v>16</v>
      </c>
      <c r="D89" t="s">
        <v>7</v>
      </c>
      <c r="E89">
        <v>22801</v>
      </c>
      <c r="F89">
        <v>22742</v>
      </c>
      <c r="G89">
        <v>0.99741239419323713</v>
      </c>
      <c r="H89">
        <v>2.5876058067628716E-3</v>
      </c>
    </row>
    <row r="90" spans="1:9" x14ac:dyDescent="0.3">
      <c r="A90">
        <v>12</v>
      </c>
      <c r="B90">
        <v>2022</v>
      </c>
      <c r="C90" t="s">
        <v>16</v>
      </c>
      <c r="D90" t="s">
        <v>8</v>
      </c>
      <c r="E90">
        <v>1673</v>
      </c>
      <c r="F90">
        <v>1662</v>
      </c>
      <c r="G90">
        <v>0.99342498505678423</v>
      </c>
      <c r="H90">
        <v>6.5750149432157734E-3</v>
      </c>
    </row>
    <row r="91" spans="1:9" x14ac:dyDescent="0.3">
      <c r="A91">
        <v>12</v>
      </c>
      <c r="B91">
        <v>2022</v>
      </c>
      <c r="C91" t="s">
        <v>16</v>
      </c>
      <c r="D91" t="s">
        <v>9</v>
      </c>
      <c r="E91">
        <v>4859</v>
      </c>
      <c r="F91">
        <v>4849</v>
      </c>
      <c r="G91">
        <v>0.99794196336694796</v>
      </c>
      <c r="H91">
        <v>2.0580366330520405E-3</v>
      </c>
    </row>
    <row r="92" spans="1:9" x14ac:dyDescent="0.3">
      <c r="A92">
        <v>12</v>
      </c>
      <c r="B92">
        <v>2022</v>
      </c>
      <c r="C92" t="s">
        <v>25</v>
      </c>
      <c r="D92" t="s">
        <v>4</v>
      </c>
      <c r="E92">
        <v>0</v>
      </c>
      <c r="F92">
        <v>0</v>
      </c>
      <c r="I92" t="s">
        <v>35</v>
      </c>
    </row>
    <row r="93" spans="1:9" x14ac:dyDescent="0.3">
      <c r="A93">
        <v>12</v>
      </c>
      <c r="B93">
        <v>2022</v>
      </c>
      <c r="C93" t="s">
        <v>25</v>
      </c>
      <c r="D93" t="s">
        <v>5</v>
      </c>
      <c r="E93">
        <v>82</v>
      </c>
      <c r="F93">
        <v>82</v>
      </c>
      <c r="G93">
        <v>1</v>
      </c>
      <c r="H93">
        <v>0</v>
      </c>
    </row>
    <row r="94" spans="1:9" x14ac:dyDescent="0.3">
      <c r="A94">
        <v>12</v>
      </c>
      <c r="B94">
        <v>2022</v>
      </c>
      <c r="C94" t="s">
        <v>25</v>
      </c>
      <c r="D94" t="s">
        <v>6</v>
      </c>
      <c r="E94">
        <v>0</v>
      </c>
      <c r="F94">
        <v>0</v>
      </c>
      <c r="I94" t="s">
        <v>35</v>
      </c>
    </row>
    <row r="95" spans="1:9" x14ac:dyDescent="0.3">
      <c r="A95">
        <v>12</v>
      </c>
      <c r="B95">
        <v>2022</v>
      </c>
      <c r="C95" t="s">
        <v>25</v>
      </c>
      <c r="D95" t="s">
        <v>7</v>
      </c>
      <c r="E95">
        <v>33500</v>
      </c>
      <c r="F95">
        <v>33462</v>
      </c>
      <c r="G95">
        <v>0.99886567164179108</v>
      </c>
      <c r="H95">
        <v>1.1343283582089247E-3</v>
      </c>
    </row>
    <row r="96" spans="1:9" x14ac:dyDescent="0.3">
      <c r="A96">
        <v>12</v>
      </c>
      <c r="B96">
        <v>2022</v>
      </c>
      <c r="C96" t="s">
        <v>25</v>
      </c>
      <c r="D96" t="s">
        <v>8</v>
      </c>
      <c r="E96">
        <v>973</v>
      </c>
      <c r="F96">
        <v>972</v>
      </c>
      <c r="G96">
        <v>0.99897225077081198</v>
      </c>
      <c r="H96">
        <v>1.0277492291880241E-3</v>
      </c>
    </row>
    <row r="97" spans="1:8" x14ac:dyDescent="0.3">
      <c r="A97">
        <v>12</v>
      </c>
      <c r="B97">
        <v>2022</v>
      </c>
      <c r="C97" t="s">
        <v>25</v>
      </c>
      <c r="D97" t="s">
        <v>9</v>
      </c>
      <c r="E97">
        <v>3666</v>
      </c>
      <c r="F97">
        <v>3661</v>
      </c>
      <c r="G97">
        <v>0.9986361156573923</v>
      </c>
      <c r="H97">
        <v>1.3638843426077019E-3</v>
      </c>
    </row>
  </sheetData>
  <phoneticPr fontId="18"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B7DC07-AA37-47FE-8C13-9738D1037304}">
  <dimension ref="A1:O289"/>
  <sheetViews>
    <sheetView topLeftCell="A2" workbookViewId="0">
      <selection activeCell="G15" sqref="G15"/>
    </sheetView>
  </sheetViews>
  <sheetFormatPr defaultRowHeight="14.4" x14ac:dyDescent="0.3"/>
  <cols>
    <col min="1" max="1" width="7.77734375" bestFit="1" customWidth="1"/>
    <col min="2" max="2" width="6.88671875" bestFit="1" customWidth="1"/>
    <col min="3" max="3" width="12" bestFit="1" customWidth="1"/>
    <col min="4" max="4" width="13.109375" bestFit="1" customWidth="1"/>
    <col min="5" max="5" width="12.109375" bestFit="1" customWidth="1"/>
    <col min="6" max="6" width="11.33203125" bestFit="1" customWidth="1"/>
    <col min="7" max="7" width="17.44140625" bestFit="1" customWidth="1"/>
    <col min="8" max="8" width="14.5546875" bestFit="1" customWidth="1"/>
    <col min="9" max="9" width="14.109375" bestFit="1" customWidth="1"/>
    <col min="10" max="10" width="12.88671875" bestFit="1" customWidth="1"/>
    <col min="11" max="11" width="12.44140625" bestFit="1" customWidth="1"/>
    <col min="12" max="12" width="22.5546875" bestFit="1" customWidth="1"/>
    <col min="13" max="13" width="16.109375" bestFit="1" customWidth="1"/>
    <col min="14" max="14" width="22.109375" bestFit="1" customWidth="1"/>
    <col min="15" max="15" width="21.5546875" bestFit="1" customWidth="1"/>
  </cols>
  <sheetData>
    <row r="1" spans="1:15" x14ac:dyDescent="0.3">
      <c r="A1" t="s">
        <v>0</v>
      </c>
      <c r="B1" t="s">
        <v>1</v>
      </c>
      <c r="C1" t="s">
        <v>28</v>
      </c>
      <c r="D1" t="s">
        <v>29</v>
      </c>
      <c r="E1" t="s">
        <v>30</v>
      </c>
      <c r="F1" t="s">
        <v>31</v>
      </c>
      <c r="G1" t="s">
        <v>32</v>
      </c>
      <c r="H1" t="s">
        <v>33</v>
      </c>
      <c r="I1" t="s">
        <v>34</v>
      </c>
      <c r="J1" t="s">
        <v>39</v>
      </c>
      <c r="K1" t="s">
        <v>48</v>
      </c>
      <c r="L1" t="s">
        <v>65</v>
      </c>
      <c r="M1" t="s">
        <v>66</v>
      </c>
      <c r="N1" t="s">
        <v>77</v>
      </c>
      <c r="O1" t="s">
        <v>78</v>
      </c>
    </row>
    <row r="2" spans="1:15" x14ac:dyDescent="0.3">
      <c r="A2">
        <v>12</v>
      </c>
      <c r="B2">
        <v>2022</v>
      </c>
      <c r="C2" t="s">
        <v>10</v>
      </c>
      <c r="D2" t="s">
        <v>4</v>
      </c>
      <c r="E2">
        <v>0</v>
      </c>
      <c r="F2">
        <v>0</v>
      </c>
      <c r="I2" t="s">
        <v>35</v>
      </c>
      <c r="J2" t="s">
        <v>35</v>
      </c>
      <c r="K2" t="s">
        <v>79</v>
      </c>
      <c r="L2" t="s">
        <v>35</v>
      </c>
      <c r="M2">
        <v>0</v>
      </c>
      <c r="N2" t="s">
        <v>72</v>
      </c>
      <c r="O2" t="s">
        <v>75</v>
      </c>
    </row>
    <row r="3" spans="1:15" x14ac:dyDescent="0.3">
      <c r="A3">
        <v>12</v>
      </c>
      <c r="B3">
        <v>2022</v>
      </c>
      <c r="C3" t="s">
        <v>10</v>
      </c>
      <c r="D3" t="s">
        <v>4</v>
      </c>
      <c r="E3">
        <v>0</v>
      </c>
      <c r="F3">
        <v>0</v>
      </c>
      <c r="I3" t="s">
        <v>35</v>
      </c>
      <c r="J3" t="s">
        <v>35</v>
      </c>
      <c r="K3" t="s">
        <v>79</v>
      </c>
      <c r="L3" t="s">
        <v>35</v>
      </c>
      <c r="M3">
        <v>0</v>
      </c>
      <c r="N3" t="s">
        <v>73</v>
      </c>
      <c r="O3" t="s">
        <v>75</v>
      </c>
    </row>
    <row r="4" spans="1:15" x14ac:dyDescent="0.3">
      <c r="A4">
        <v>12</v>
      </c>
      <c r="B4">
        <v>2022</v>
      </c>
      <c r="C4" t="s">
        <v>10</v>
      </c>
      <c r="D4" t="s">
        <v>4</v>
      </c>
      <c r="E4">
        <v>0</v>
      </c>
      <c r="F4">
        <v>0</v>
      </c>
      <c r="I4" t="s">
        <v>35</v>
      </c>
      <c r="J4" t="s">
        <v>35</v>
      </c>
      <c r="K4" t="s">
        <v>79</v>
      </c>
      <c r="L4" t="s">
        <v>35</v>
      </c>
      <c r="M4">
        <v>0</v>
      </c>
      <c r="N4" t="s">
        <v>74</v>
      </c>
      <c r="O4" t="s">
        <v>76</v>
      </c>
    </row>
    <row r="5" spans="1:15" x14ac:dyDescent="0.3">
      <c r="A5">
        <v>12</v>
      </c>
      <c r="B5">
        <v>2022</v>
      </c>
      <c r="C5" t="s">
        <v>10</v>
      </c>
      <c r="D5" t="s">
        <v>5</v>
      </c>
      <c r="E5">
        <v>4533</v>
      </c>
      <c r="F5">
        <v>4524</v>
      </c>
      <c r="G5">
        <v>0.99801455989410981</v>
      </c>
      <c r="H5">
        <v>1.9854401058901905E-3</v>
      </c>
      <c r="J5" t="s">
        <v>40</v>
      </c>
      <c r="K5" t="s">
        <v>80</v>
      </c>
      <c r="L5" t="s">
        <v>81</v>
      </c>
      <c r="M5">
        <v>3.1505048939510722E-3</v>
      </c>
      <c r="N5" t="s">
        <v>72</v>
      </c>
      <c r="O5" t="s">
        <v>75</v>
      </c>
    </row>
    <row r="6" spans="1:15" x14ac:dyDescent="0.3">
      <c r="A6">
        <v>12</v>
      </c>
      <c r="B6">
        <v>2022</v>
      </c>
      <c r="C6" t="s">
        <v>10</v>
      </c>
      <c r="D6" t="s">
        <v>5</v>
      </c>
      <c r="E6">
        <v>4533</v>
      </c>
      <c r="F6">
        <v>4524</v>
      </c>
      <c r="G6">
        <v>0.99801455989410981</v>
      </c>
      <c r="H6">
        <v>1.9854401058901905E-3</v>
      </c>
      <c r="J6" t="s">
        <v>40</v>
      </c>
      <c r="K6" t="s">
        <v>80</v>
      </c>
      <c r="L6" t="s">
        <v>81</v>
      </c>
      <c r="M6">
        <v>3.1505048939510722E-3</v>
      </c>
      <c r="N6" t="s">
        <v>73</v>
      </c>
      <c r="O6" t="s">
        <v>75</v>
      </c>
    </row>
    <row r="7" spans="1:15" x14ac:dyDescent="0.3">
      <c r="A7">
        <v>12</v>
      </c>
      <c r="B7">
        <v>2022</v>
      </c>
      <c r="C7" t="s">
        <v>10</v>
      </c>
      <c r="D7" t="s">
        <v>5</v>
      </c>
      <c r="E7">
        <v>4533</v>
      </c>
      <c r="F7">
        <v>4524</v>
      </c>
      <c r="G7">
        <v>0.99801455989410981</v>
      </c>
      <c r="H7">
        <v>1.9854401058901905E-3</v>
      </c>
      <c r="J7" t="s">
        <v>40</v>
      </c>
      <c r="K7" t="s">
        <v>80</v>
      </c>
      <c r="L7" t="s">
        <v>81</v>
      </c>
      <c r="M7">
        <v>3.1505048939510722E-3</v>
      </c>
      <c r="N7" t="s">
        <v>74</v>
      </c>
      <c r="O7" t="s">
        <v>75</v>
      </c>
    </row>
    <row r="8" spans="1:15" x14ac:dyDescent="0.3">
      <c r="A8">
        <v>12</v>
      </c>
      <c r="B8">
        <v>2022</v>
      </c>
      <c r="C8" t="s">
        <v>10</v>
      </c>
      <c r="D8" t="s">
        <v>6</v>
      </c>
      <c r="E8">
        <v>0</v>
      </c>
      <c r="F8">
        <v>0</v>
      </c>
      <c r="I8" t="s">
        <v>35</v>
      </c>
      <c r="J8" t="s">
        <v>35</v>
      </c>
      <c r="K8" t="s">
        <v>79</v>
      </c>
      <c r="L8" t="s">
        <v>35</v>
      </c>
      <c r="M8">
        <v>0</v>
      </c>
      <c r="N8" t="s">
        <v>72</v>
      </c>
      <c r="O8" t="s">
        <v>75</v>
      </c>
    </row>
    <row r="9" spans="1:15" x14ac:dyDescent="0.3">
      <c r="A9">
        <v>12</v>
      </c>
      <c r="B9">
        <v>2022</v>
      </c>
      <c r="C9" t="s">
        <v>10</v>
      </c>
      <c r="D9" t="s">
        <v>6</v>
      </c>
      <c r="E9">
        <v>0</v>
      </c>
      <c r="F9">
        <v>0</v>
      </c>
      <c r="I9" t="s">
        <v>35</v>
      </c>
      <c r="J9" t="s">
        <v>35</v>
      </c>
      <c r="K9" t="s">
        <v>79</v>
      </c>
      <c r="L9" t="s">
        <v>35</v>
      </c>
      <c r="M9">
        <v>0</v>
      </c>
      <c r="N9" t="s">
        <v>73</v>
      </c>
      <c r="O9" t="s">
        <v>75</v>
      </c>
    </row>
    <row r="10" spans="1:15" x14ac:dyDescent="0.3">
      <c r="A10">
        <v>12</v>
      </c>
      <c r="B10">
        <v>2022</v>
      </c>
      <c r="C10" t="s">
        <v>10</v>
      </c>
      <c r="D10" t="s">
        <v>6</v>
      </c>
      <c r="E10">
        <v>0</v>
      </c>
      <c r="F10">
        <v>0</v>
      </c>
      <c r="I10" t="s">
        <v>35</v>
      </c>
      <c r="J10" t="s">
        <v>35</v>
      </c>
      <c r="K10" t="s">
        <v>79</v>
      </c>
      <c r="L10" t="s">
        <v>35</v>
      </c>
      <c r="M10">
        <v>0</v>
      </c>
      <c r="N10" t="s">
        <v>74</v>
      </c>
      <c r="O10" t="s">
        <v>76</v>
      </c>
    </row>
    <row r="11" spans="1:15" x14ac:dyDescent="0.3">
      <c r="A11">
        <v>12</v>
      </c>
      <c r="B11">
        <v>2022</v>
      </c>
      <c r="C11" t="s">
        <v>10</v>
      </c>
      <c r="D11" t="s">
        <v>7</v>
      </c>
      <c r="E11">
        <v>86178</v>
      </c>
      <c r="F11">
        <v>85839</v>
      </c>
      <c r="G11">
        <v>0.99606628141753117</v>
      </c>
      <c r="H11">
        <v>3.9337185824688259E-3</v>
      </c>
      <c r="J11" t="s">
        <v>40</v>
      </c>
      <c r="K11" t="s">
        <v>80</v>
      </c>
      <c r="L11" t="s">
        <v>81</v>
      </c>
      <c r="M11">
        <v>5.9895038771435143E-2</v>
      </c>
      <c r="N11" t="s">
        <v>72</v>
      </c>
      <c r="O11" t="s">
        <v>75</v>
      </c>
    </row>
    <row r="12" spans="1:15" x14ac:dyDescent="0.3">
      <c r="A12">
        <v>12</v>
      </c>
      <c r="B12">
        <v>2022</v>
      </c>
      <c r="C12" t="s">
        <v>10</v>
      </c>
      <c r="D12" t="s">
        <v>7</v>
      </c>
      <c r="E12">
        <v>86178</v>
      </c>
      <c r="F12">
        <v>85839</v>
      </c>
      <c r="G12">
        <v>0.99606628141753117</v>
      </c>
      <c r="H12">
        <v>3.9337185824688259E-3</v>
      </c>
      <c r="J12" t="s">
        <v>40</v>
      </c>
      <c r="K12" t="s">
        <v>80</v>
      </c>
      <c r="L12" t="s">
        <v>81</v>
      </c>
      <c r="M12">
        <v>5.9895038771435143E-2</v>
      </c>
      <c r="N12" t="s">
        <v>73</v>
      </c>
      <c r="O12" t="s">
        <v>75</v>
      </c>
    </row>
    <row r="13" spans="1:15" x14ac:dyDescent="0.3">
      <c r="A13">
        <v>12</v>
      </c>
      <c r="B13">
        <v>2022</v>
      </c>
      <c r="C13" t="s">
        <v>10</v>
      </c>
      <c r="D13" t="s">
        <v>7</v>
      </c>
      <c r="E13">
        <v>86178</v>
      </c>
      <c r="F13">
        <v>85839</v>
      </c>
      <c r="G13">
        <v>0.99606628141753117</v>
      </c>
      <c r="H13">
        <v>3.9337185824688259E-3</v>
      </c>
      <c r="J13" t="s">
        <v>40</v>
      </c>
      <c r="K13" t="s">
        <v>80</v>
      </c>
      <c r="L13" t="s">
        <v>81</v>
      </c>
      <c r="M13">
        <v>5.9895038771435143E-2</v>
      </c>
      <c r="N13" t="s">
        <v>74</v>
      </c>
      <c r="O13" t="s">
        <v>75</v>
      </c>
    </row>
    <row r="14" spans="1:15" x14ac:dyDescent="0.3">
      <c r="A14">
        <v>12</v>
      </c>
      <c r="B14">
        <v>2022</v>
      </c>
      <c r="C14" t="s">
        <v>10</v>
      </c>
      <c r="D14" t="s">
        <v>8</v>
      </c>
      <c r="E14">
        <v>3741</v>
      </c>
      <c r="F14">
        <v>3730</v>
      </c>
      <c r="G14">
        <v>0.99705960973001873</v>
      </c>
      <c r="H14">
        <v>2.9403902699812745E-3</v>
      </c>
      <c r="J14" t="s">
        <v>40</v>
      </c>
      <c r="K14" t="s">
        <v>80</v>
      </c>
      <c r="L14" t="s">
        <v>81</v>
      </c>
      <c r="M14">
        <v>2.600052682168754E-3</v>
      </c>
      <c r="N14" t="s">
        <v>72</v>
      </c>
      <c r="O14" t="s">
        <v>75</v>
      </c>
    </row>
    <row r="15" spans="1:15" x14ac:dyDescent="0.3">
      <c r="A15">
        <v>12</v>
      </c>
      <c r="B15">
        <v>2022</v>
      </c>
      <c r="C15" t="s">
        <v>10</v>
      </c>
      <c r="D15" t="s">
        <v>8</v>
      </c>
      <c r="E15">
        <v>3741</v>
      </c>
      <c r="F15">
        <v>3730</v>
      </c>
      <c r="G15">
        <v>0.99705960973001873</v>
      </c>
      <c r="H15">
        <v>2.9403902699812745E-3</v>
      </c>
      <c r="J15" t="s">
        <v>40</v>
      </c>
      <c r="K15" t="s">
        <v>80</v>
      </c>
      <c r="L15" t="s">
        <v>81</v>
      </c>
      <c r="M15">
        <v>2.600052682168754E-3</v>
      </c>
      <c r="N15" t="s">
        <v>73</v>
      </c>
      <c r="O15" t="s">
        <v>75</v>
      </c>
    </row>
    <row r="16" spans="1:15" x14ac:dyDescent="0.3">
      <c r="A16">
        <v>12</v>
      </c>
      <c r="B16">
        <v>2022</v>
      </c>
      <c r="C16" t="s">
        <v>10</v>
      </c>
      <c r="D16" t="s">
        <v>8</v>
      </c>
      <c r="E16">
        <v>3741</v>
      </c>
      <c r="F16">
        <v>3730</v>
      </c>
      <c r="G16">
        <v>0.99705960973001873</v>
      </c>
      <c r="H16">
        <v>2.9403902699812745E-3</v>
      </c>
      <c r="J16" t="s">
        <v>40</v>
      </c>
      <c r="K16" t="s">
        <v>80</v>
      </c>
      <c r="L16" t="s">
        <v>81</v>
      </c>
      <c r="M16">
        <v>2.600052682168754E-3</v>
      </c>
      <c r="N16" t="s">
        <v>74</v>
      </c>
      <c r="O16" t="s">
        <v>75</v>
      </c>
    </row>
    <row r="17" spans="1:15" x14ac:dyDescent="0.3">
      <c r="A17">
        <v>12</v>
      </c>
      <c r="B17">
        <v>2022</v>
      </c>
      <c r="C17" t="s">
        <v>10</v>
      </c>
      <c r="D17" t="s">
        <v>9</v>
      </c>
      <c r="E17">
        <v>7736</v>
      </c>
      <c r="F17">
        <v>7725</v>
      </c>
      <c r="G17">
        <v>0.99857807652533614</v>
      </c>
      <c r="H17">
        <v>1.4219234746638554E-3</v>
      </c>
      <c r="J17" t="s">
        <v>40</v>
      </c>
      <c r="K17" t="s">
        <v>80</v>
      </c>
      <c r="L17" t="s">
        <v>81</v>
      </c>
      <c r="M17">
        <v>5.3766392807424431E-3</v>
      </c>
      <c r="N17" t="s">
        <v>72</v>
      </c>
      <c r="O17" t="s">
        <v>75</v>
      </c>
    </row>
    <row r="18" spans="1:15" x14ac:dyDescent="0.3">
      <c r="A18">
        <v>12</v>
      </c>
      <c r="B18">
        <v>2022</v>
      </c>
      <c r="C18" t="s">
        <v>10</v>
      </c>
      <c r="D18" t="s">
        <v>9</v>
      </c>
      <c r="E18">
        <v>7736</v>
      </c>
      <c r="F18">
        <v>7725</v>
      </c>
      <c r="G18">
        <v>0.99857807652533614</v>
      </c>
      <c r="H18">
        <v>1.4219234746638554E-3</v>
      </c>
      <c r="J18" t="s">
        <v>40</v>
      </c>
      <c r="K18" t="s">
        <v>80</v>
      </c>
      <c r="L18" t="s">
        <v>81</v>
      </c>
      <c r="M18">
        <v>5.3766392807424431E-3</v>
      </c>
      <c r="N18" t="s">
        <v>73</v>
      </c>
      <c r="O18" t="s">
        <v>75</v>
      </c>
    </row>
    <row r="19" spans="1:15" x14ac:dyDescent="0.3">
      <c r="A19">
        <v>12</v>
      </c>
      <c r="B19">
        <v>2022</v>
      </c>
      <c r="C19" t="s">
        <v>10</v>
      </c>
      <c r="D19" t="s">
        <v>9</v>
      </c>
      <c r="E19">
        <v>7736</v>
      </c>
      <c r="F19">
        <v>7725</v>
      </c>
      <c r="G19">
        <v>0.99857807652533614</v>
      </c>
      <c r="H19">
        <v>1.4219234746638554E-3</v>
      </c>
      <c r="J19" t="s">
        <v>40</v>
      </c>
      <c r="K19" t="s">
        <v>80</v>
      </c>
      <c r="L19" t="s">
        <v>81</v>
      </c>
      <c r="M19">
        <v>5.3766392807424431E-3</v>
      </c>
      <c r="N19" t="s">
        <v>74</v>
      </c>
      <c r="O19" t="s">
        <v>75</v>
      </c>
    </row>
    <row r="20" spans="1:15" x14ac:dyDescent="0.3">
      <c r="A20">
        <v>12</v>
      </c>
      <c r="B20">
        <v>2022</v>
      </c>
      <c r="C20" t="s">
        <v>19</v>
      </c>
      <c r="D20" t="s">
        <v>4</v>
      </c>
      <c r="E20">
        <v>93</v>
      </c>
      <c r="F20">
        <v>92</v>
      </c>
      <c r="G20">
        <v>0.989247311827957</v>
      </c>
      <c r="H20">
        <v>1.0752688172043001E-2</v>
      </c>
      <c r="J20" t="s">
        <v>40</v>
      </c>
      <c r="K20" t="s">
        <v>82</v>
      </c>
      <c r="L20" t="s">
        <v>81</v>
      </c>
      <c r="M20">
        <v>6.4636433959287392E-5</v>
      </c>
      <c r="N20" t="s">
        <v>72</v>
      </c>
      <c r="O20" t="s">
        <v>75</v>
      </c>
    </row>
    <row r="21" spans="1:15" x14ac:dyDescent="0.3">
      <c r="A21">
        <v>12</v>
      </c>
      <c r="B21">
        <v>2022</v>
      </c>
      <c r="C21" t="s">
        <v>19</v>
      </c>
      <c r="D21" t="s">
        <v>4</v>
      </c>
      <c r="E21">
        <v>93</v>
      </c>
      <c r="F21">
        <v>92</v>
      </c>
      <c r="G21">
        <v>0.989247311827957</v>
      </c>
      <c r="H21">
        <v>1.0752688172043001E-2</v>
      </c>
      <c r="J21" t="s">
        <v>40</v>
      </c>
      <c r="K21" t="s">
        <v>82</v>
      </c>
      <c r="L21" t="s">
        <v>81</v>
      </c>
      <c r="M21">
        <v>6.4636433959287392E-5</v>
      </c>
      <c r="N21" t="s">
        <v>73</v>
      </c>
      <c r="O21" t="s">
        <v>75</v>
      </c>
    </row>
    <row r="22" spans="1:15" x14ac:dyDescent="0.3">
      <c r="A22">
        <v>12</v>
      </c>
      <c r="B22">
        <v>2022</v>
      </c>
      <c r="C22" t="s">
        <v>19</v>
      </c>
      <c r="D22" t="s">
        <v>4</v>
      </c>
      <c r="E22">
        <v>93</v>
      </c>
      <c r="F22">
        <v>92</v>
      </c>
      <c r="G22">
        <v>0.989247311827957</v>
      </c>
      <c r="H22">
        <v>1.0752688172043001E-2</v>
      </c>
      <c r="J22" t="s">
        <v>40</v>
      </c>
      <c r="K22" t="s">
        <v>82</v>
      </c>
      <c r="L22" t="s">
        <v>81</v>
      </c>
      <c r="M22">
        <v>6.4636433959287392E-5</v>
      </c>
      <c r="N22" t="s">
        <v>74</v>
      </c>
      <c r="O22" t="s">
        <v>75</v>
      </c>
    </row>
    <row r="23" spans="1:15" x14ac:dyDescent="0.3">
      <c r="A23">
        <v>12</v>
      </c>
      <c r="B23">
        <v>2022</v>
      </c>
      <c r="C23" t="s">
        <v>19</v>
      </c>
      <c r="D23" t="s">
        <v>5</v>
      </c>
      <c r="E23">
        <v>70</v>
      </c>
      <c r="F23">
        <v>70</v>
      </c>
      <c r="G23">
        <v>1</v>
      </c>
      <c r="H23">
        <v>0</v>
      </c>
      <c r="J23" t="s">
        <v>40</v>
      </c>
      <c r="K23" t="s">
        <v>82</v>
      </c>
      <c r="L23" t="s">
        <v>83</v>
      </c>
      <c r="M23">
        <v>4.8651079324194808E-5</v>
      </c>
      <c r="N23" t="s">
        <v>72</v>
      </c>
      <c r="O23" t="s">
        <v>75</v>
      </c>
    </row>
    <row r="24" spans="1:15" x14ac:dyDescent="0.3">
      <c r="A24">
        <v>12</v>
      </c>
      <c r="B24">
        <v>2022</v>
      </c>
      <c r="C24" t="s">
        <v>19</v>
      </c>
      <c r="D24" t="s">
        <v>5</v>
      </c>
      <c r="E24">
        <v>70</v>
      </c>
      <c r="F24">
        <v>70</v>
      </c>
      <c r="G24">
        <v>1</v>
      </c>
      <c r="H24">
        <v>0</v>
      </c>
      <c r="J24" t="s">
        <v>40</v>
      </c>
      <c r="K24" t="s">
        <v>82</v>
      </c>
      <c r="L24" t="s">
        <v>83</v>
      </c>
      <c r="M24">
        <v>4.8651079324194808E-5</v>
      </c>
      <c r="N24" t="s">
        <v>73</v>
      </c>
      <c r="O24" t="s">
        <v>75</v>
      </c>
    </row>
    <row r="25" spans="1:15" x14ac:dyDescent="0.3">
      <c r="A25">
        <v>12</v>
      </c>
      <c r="B25">
        <v>2022</v>
      </c>
      <c r="C25" t="s">
        <v>19</v>
      </c>
      <c r="D25" t="s">
        <v>5</v>
      </c>
      <c r="E25">
        <v>70</v>
      </c>
      <c r="F25">
        <v>70</v>
      </c>
      <c r="G25">
        <v>1</v>
      </c>
      <c r="H25">
        <v>0</v>
      </c>
      <c r="J25" t="s">
        <v>40</v>
      </c>
      <c r="K25" t="s">
        <v>82</v>
      </c>
      <c r="L25" t="s">
        <v>83</v>
      </c>
      <c r="M25">
        <v>4.8651079324194808E-5</v>
      </c>
      <c r="N25" t="s">
        <v>74</v>
      </c>
      <c r="O25" t="s">
        <v>75</v>
      </c>
    </row>
    <row r="26" spans="1:15" x14ac:dyDescent="0.3">
      <c r="A26">
        <v>12</v>
      </c>
      <c r="B26">
        <v>2022</v>
      </c>
      <c r="C26" t="s">
        <v>19</v>
      </c>
      <c r="D26" t="s">
        <v>6</v>
      </c>
      <c r="E26">
        <v>0</v>
      </c>
      <c r="F26">
        <v>0</v>
      </c>
      <c r="I26" t="s">
        <v>35</v>
      </c>
      <c r="J26" t="s">
        <v>35</v>
      </c>
      <c r="K26" t="s">
        <v>79</v>
      </c>
      <c r="L26" t="s">
        <v>35</v>
      </c>
      <c r="M26">
        <v>0</v>
      </c>
      <c r="N26" t="s">
        <v>72</v>
      </c>
      <c r="O26" t="s">
        <v>75</v>
      </c>
    </row>
    <row r="27" spans="1:15" x14ac:dyDescent="0.3">
      <c r="A27">
        <v>12</v>
      </c>
      <c r="B27">
        <v>2022</v>
      </c>
      <c r="C27" t="s">
        <v>19</v>
      </c>
      <c r="D27" t="s">
        <v>6</v>
      </c>
      <c r="E27">
        <v>0</v>
      </c>
      <c r="F27">
        <v>0</v>
      </c>
      <c r="I27" t="s">
        <v>35</v>
      </c>
      <c r="J27" t="s">
        <v>35</v>
      </c>
      <c r="K27" t="s">
        <v>79</v>
      </c>
      <c r="L27" t="s">
        <v>35</v>
      </c>
      <c r="M27">
        <v>0</v>
      </c>
      <c r="N27" t="s">
        <v>73</v>
      </c>
      <c r="O27" t="s">
        <v>75</v>
      </c>
    </row>
    <row r="28" spans="1:15" x14ac:dyDescent="0.3">
      <c r="A28">
        <v>12</v>
      </c>
      <c r="B28">
        <v>2022</v>
      </c>
      <c r="C28" t="s">
        <v>19</v>
      </c>
      <c r="D28" t="s">
        <v>6</v>
      </c>
      <c r="E28">
        <v>0</v>
      </c>
      <c r="F28">
        <v>0</v>
      </c>
      <c r="I28" t="s">
        <v>35</v>
      </c>
      <c r="J28" t="s">
        <v>35</v>
      </c>
      <c r="K28" t="s">
        <v>79</v>
      </c>
      <c r="L28" t="s">
        <v>35</v>
      </c>
      <c r="M28">
        <v>0</v>
      </c>
      <c r="N28" t="s">
        <v>74</v>
      </c>
      <c r="O28" t="s">
        <v>76</v>
      </c>
    </row>
    <row r="29" spans="1:15" x14ac:dyDescent="0.3">
      <c r="A29">
        <v>12</v>
      </c>
      <c r="B29">
        <v>2022</v>
      </c>
      <c r="C29" t="s">
        <v>19</v>
      </c>
      <c r="D29" t="s">
        <v>7</v>
      </c>
      <c r="E29">
        <v>12262</v>
      </c>
      <c r="F29">
        <v>12214</v>
      </c>
      <c r="G29">
        <v>0.99608546729734138</v>
      </c>
      <c r="H29">
        <v>3.9145327026586241E-3</v>
      </c>
      <c r="J29" t="s">
        <v>40</v>
      </c>
      <c r="K29" t="s">
        <v>80</v>
      </c>
      <c r="L29" t="s">
        <v>81</v>
      </c>
      <c r="M29">
        <v>8.5222790667610956E-3</v>
      </c>
      <c r="N29" t="s">
        <v>72</v>
      </c>
      <c r="O29" t="s">
        <v>75</v>
      </c>
    </row>
    <row r="30" spans="1:15" x14ac:dyDescent="0.3">
      <c r="A30">
        <v>12</v>
      </c>
      <c r="B30">
        <v>2022</v>
      </c>
      <c r="C30" t="s">
        <v>19</v>
      </c>
      <c r="D30" t="s">
        <v>7</v>
      </c>
      <c r="E30">
        <v>12262</v>
      </c>
      <c r="F30">
        <v>12214</v>
      </c>
      <c r="G30">
        <v>0.99608546729734138</v>
      </c>
      <c r="H30">
        <v>3.9145327026586241E-3</v>
      </c>
      <c r="J30" t="s">
        <v>40</v>
      </c>
      <c r="K30" t="s">
        <v>80</v>
      </c>
      <c r="L30" t="s">
        <v>81</v>
      </c>
      <c r="M30">
        <v>8.5222790667610956E-3</v>
      </c>
      <c r="N30" t="s">
        <v>73</v>
      </c>
      <c r="O30" t="s">
        <v>75</v>
      </c>
    </row>
    <row r="31" spans="1:15" x14ac:dyDescent="0.3">
      <c r="A31">
        <v>12</v>
      </c>
      <c r="B31">
        <v>2022</v>
      </c>
      <c r="C31" t="s">
        <v>19</v>
      </c>
      <c r="D31" t="s">
        <v>7</v>
      </c>
      <c r="E31">
        <v>12262</v>
      </c>
      <c r="F31">
        <v>12214</v>
      </c>
      <c r="G31">
        <v>0.99608546729734138</v>
      </c>
      <c r="H31">
        <v>3.9145327026586241E-3</v>
      </c>
      <c r="J31" t="s">
        <v>40</v>
      </c>
      <c r="K31" t="s">
        <v>80</v>
      </c>
      <c r="L31" t="s">
        <v>81</v>
      </c>
      <c r="M31">
        <v>8.5222790667610956E-3</v>
      </c>
      <c r="N31" t="s">
        <v>74</v>
      </c>
      <c r="O31" t="s">
        <v>75</v>
      </c>
    </row>
    <row r="32" spans="1:15" x14ac:dyDescent="0.3">
      <c r="A32">
        <v>12</v>
      </c>
      <c r="B32">
        <v>2022</v>
      </c>
      <c r="C32" t="s">
        <v>19</v>
      </c>
      <c r="D32" t="s">
        <v>8</v>
      </c>
      <c r="E32">
        <v>1901</v>
      </c>
      <c r="F32">
        <v>1894</v>
      </c>
      <c r="G32">
        <v>0.99631772751183589</v>
      </c>
      <c r="H32">
        <v>3.6822724881641067E-3</v>
      </c>
      <c r="J32" t="s">
        <v>40</v>
      </c>
      <c r="K32" t="s">
        <v>80</v>
      </c>
      <c r="L32" t="s">
        <v>81</v>
      </c>
      <c r="M32">
        <v>1.3212243113613475E-3</v>
      </c>
      <c r="N32" t="s">
        <v>72</v>
      </c>
      <c r="O32" t="s">
        <v>75</v>
      </c>
    </row>
    <row r="33" spans="1:15" x14ac:dyDescent="0.3">
      <c r="A33">
        <v>12</v>
      </c>
      <c r="B33">
        <v>2022</v>
      </c>
      <c r="C33" t="s">
        <v>19</v>
      </c>
      <c r="D33" t="s">
        <v>8</v>
      </c>
      <c r="E33">
        <v>1901</v>
      </c>
      <c r="F33">
        <v>1894</v>
      </c>
      <c r="G33">
        <v>0.99631772751183589</v>
      </c>
      <c r="H33">
        <v>3.6822724881641067E-3</v>
      </c>
      <c r="J33" t="s">
        <v>40</v>
      </c>
      <c r="K33" t="s">
        <v>80</v>
      </c>
      <c r="L33" t="s">
        <v>81</v>
      </c>
      <c r="M33">
        <v>1.3212243113613475E-3</v>
      </c>
      <c r="N33" t="s">
        <v>73</v>
      </c>
      <c r="O33" t="s">
        <v>75</v>
      </c>
    </row>
    <row r="34" spans="1:15" x14ac:dyDescent="0.3">
      <c r="A34">
        <v>12</v>
      </c>
      <c r="B34">
        <v>2022</v>
      </c>
      <c r="C34" t="s">
        <v>19</v>
      </c>
      <c r="D34" t="s">
        <v>8</v>
      </c>
      <c r="E34">
        <v>1901</v>
      </c>
      <c r="F34">
        <v>1894</v>
      </c>
      <c r="G34">
        <v>0.99631772751183589</v>
      </c>
      <c r="H34">
        <v>3.6822724881641067E-3</v>
      </c>
      <c r="J34" t="s">
        <v>40</v>
      </c>
      <c r="K34" t="s">
        <v>80</v>
      </c>
      <c r="L34" t="s">
        <v>81</v>
      </c>
      <c r="M34">
        <v>1.3212243113613475E-3</v>
      </c>
      <c r="N34" t="s">
        <v>74</v>
      </c>
      <c r="O34" t="s">
        <v>75</v>
      </c>
    </row>
    <row r="35" spans="1:15" x14ac:dyDescent="0.3">
      <c r="A35">
        <v>12</v>
      </c>
      <c r="B35">
        <v>2022</v>
      </c>
      <c r="C35" t="s">
        <v>19</v>
      </c>
      <c r="D35" t="s">
        <v>9</v>
      </c>
      <c r="E35">
        <v>2363</v>
      </c>
      <c r="F35">
        <v>2361</v>
      </c>
      <c r="G35">
        <v>0.99915361828184512</v>
      </c>
      <c r="H35">
        <v>8.4638171815487606E-4</v>
      </c>
      <c r="J35" t="s">
        <v>40</v>
      </c>
      <c r="K35" t="s">
        <v>80</v>
      </c>
      <c r="L35" t="s">
        <v>81</v>
      </c>
      <c r="M35">
        <v>1.6423214349010333E-3</v>
      </c>
      <c r="N35" t="s">
        <v>72</v>
      </c>
      <c r="O35" t="s">
        <v>75</v>
      </c>
    </row>
    <row r="36" spans="1:15" x14ac:dyDescent="0.3">
      <c r="A36">
        <v>12</v>
      </c>
      <c r="B36">
        <v>2022</v>
      </c>
      <c r="C36" t="s">
        <v>19</v>
      </c>
      <c r="D36" t="s">
        <v>9</v>
      </c>
      <c r="E36">
        <v>2363</v>
      </c>
      <c r="F36">
        <v>2361</v>
      </c>
      <c r="G36">
        <v>0.99915361828184512</v>
      </c>
      <c r="H36">
        <v>8.4638171815487606E-4</v>
      </c>
      <c r="J36" t="s">
        <v>40</v>
      </c>
      <c r="K36" t="s">
        <v>80</v>
      </c>
      <c r="L36" t="s">
        <v>81</v>
      </c>
      <c r="M36">
        <v>1.6423214349010333E-3</v>
      </c>
      <c r="N36" t="s">
        <v>73</v>
      </c>
      <c r="O36" t="s">
        <v>75</v>
      </c>
    </row>
    <row r="37" spans="1:15" x14ac:dyDescent="0.3">
      <c r="A37">
        <v>12</v>
      </c>
      <c r="B37">
        <v>2022</v>
      </c>
      <c r="C37" t="s">
        <v>19</v>
      </c>
      <c r="D37" t="s">
        <v>9</v>
      </c>
      <c r="E37">
        <v>2363</v>
      </c>
      <c r="F37">
        <v>2361</v>
      </c>
      <c r="G37">
        <v>0.99915361828184512</v>
      </c>
      <c r="H37">
        <v>8.4638171815487606E-4</v>
      </c>
      <c r="J37" t="s">
        <v>40</v>
      </c>
      <c r="K37" t="s">
        <v>80</v>
      </c>
      <c r="L37" t="s">
        <v>81</v>
      </c>
      <c r="M37">
        <v>1.6423214349010333E-3</v>
      </c>
      <c r="N37" t="s">
        <v>74</v>
      </c>
      <c r="O37" t="s">
        <v>75</v>
      </c>
    </row>
    <row r="38" spans="1:15" x14ac:dyDescent="0.3">
      <c r="A38">
        <v>12</v>
      </c>
      <c r="B38">
        <v>2022</v>
      </c>
      <c r="C38" t="s">
        <v>20</v>
      </c>
      <c r="D38" t="s">
        <v>4</v>
      </c>
      <c r="E38">
        <v>0</v>
      </c>
      <c r="F38">
        <v>0</v>
      </c>
      <c r="I38" t="s">
        <v>35</v>
      </c>
      <c r="J38" t="s">
        <v>35</v>
      </c>
      <c r="K38" t="s">
        <v>79</v>
      </c>
      <c r="L38" t="s">
        <v>35</v>
      </c>
      <c r="M38">
        <v>0</v>
      </c>
      <c r="N38" t="s">
        <v>72</v>
      </c>
      <c r="O38" t="s">
        <v>75</v>
      </c>
    </row>
    <row r="39" spans="1:15" x14ac:dyDescent="0.3">
      <c r="A39">
        <v>12</v>
      </c>
      <c r="B39">
        <v>2022</v>
      </c>
      <c r="C39" t="s">
        <v>20</v>
      </c>
      <c r="D39" t="s">
        <v>4</v>
      </c>
      <c r="E39">
        <v>0</v>
      </c>
      <c r="F39">
        <v>0</v>
      </c>
      <c r="I39" t="s">
        <v>35</v>
      </c>
      <c r="J39" t="s">
        <v>35</v>
      </c>
      <c r="K39" t="s">
        <v>79</v>
      </c>
      <c r="L39" t="s">
        <v>35</v>
      </c>
      <c r="M39">
        <v>0</v>
      </c>
      <c r="N39" t="s">
        <v>73</v>
      </c>
      <c r="O39" t="s">
        <v>75</v>
      </c>
    </row>
    <row r="40" spans="1:15" x14ac:dyDescent="0.3">
      <c r="A40">
        <v>12</v>
      </c>
      <c r="B40">
        <v>2022</v>
      </c>
      <c r="C40" t="s">
        <v>20</v>
      </c>
      <c r="D40" t="s">
        <v>4</v>
      </c>
      <c r="E40">
        <v>0</v>
      </c>
      <c r="F40">
        <v>0</v>
      </c>
      <c r="I40" t="s">
        <v>35</v>
      </c>
      <c r="J40" t="s">
        <v>35</v>
      </c>
      <c r="K40" t="s">
        <v>79</v>
      </c>
      <c r="L40" t="s">
        <v>35</v>
      </c>
      <c r="M40">
        <v>0</v>
      </c>
      <c r="N40" t="s">
        <v>74</v>
      </c>
      <c r="O40" t="s">
        <v>76</v>
      </c>
    </row>
    <row r="41" spans="1:15" x14ac:dyDescent="0.3">
      <c r="A41">
        <v>12</v>
      </c>
      <c r="B41">
        <v>2022</v>
      </c>
      <c r="C41" t="s">
        <v>20</v>
      </c>
      <c r="D41" t="s">
        <v>5</v>
      </c>
      <c r="E41">
        <v>3180</v>
      </c>
      <c r="F41">
        <v>3138</v>
      </c>
      <c r="G41">
        <v>0.98679245283018868</v>
      </c>
      <c r="H41">
        <v>1.3207547169811318E-2</v>
      </c>
      <c r="J41" t="s">
        <v>40</v>
      </c>
      <c r="K41" t="s">
        <v>80</v>
      </c>
      <c r="L41" t="s">
        <v>81</v>
      </c>
      <c r="M41">
        <v>2.2101490321562783E-3</v>
      </c>
      <c r="N41" t="s">
        <v>72</v>
      </c>
      <c r="O41" t="s">
        <v>75</v>
      </c>
    </row>
    <row r="42" spans="1:15" x14ac:dyDescent="0.3">
      <c r="A42">
        <v>12</v>
      </c>
      <c r="B42">
        <v>2022</v>
      </c>
      <c r="C42" t="s">
        <v>20</v>
      </c>
      <c r="D42" t="s">
        <v>5</v>
      </c>
      <c r="E42">
        <v>3180</v>
      </c>
      <c r="F42">
        <v>3138</v>
      </c>
      <c r="G42">
        <v>0.98679245283018868</v>
      </c>
      <c r="H42">
        <v>1.3207547169811318E-2</v>
      </c>
      <c r="J42" t="s">
        <v>40</v>
      </c>
      <c r="K42" t="s">
        <v>80</v>
      </c>
      <c r="L42" t="s">
        <v>81</v>
      </c>
      <c r="M42">
        <v>2.2101490321562783E-3</v>
      </c>
      <c r="N42" t="s">
        <v>73</v>
      </c>
      <c r="O42" t="s">
        <v>75</v>
      </c>
    </row>
    <row r="43" spans="1:15" x14ac:dyDescent="0.3">
      <c r="A43">
        <v>12</v>
      </c>
      <c r="B43">
        <v>2022</v>
      </c>
      <c r="C43" t="s">
        <v>20</v>
      </c>
      <c r="D43" t="s">
        <v>5</v>
      </c>
      <c r="E43">
        <v>3180</v>
      </c>
      <c r="F43">
        <v>3138</v>
      </c>
      <c r="G43">
        <v>0.98679245283018868</v>
      </c>
      <c r="H43">
        <v>1.3207547169811318E-2</v>
      </c>
      <c r="J43" t="s">
        <v>40</v>
      </c>
      <c r="K43" t="s">
        <v>80</v>
      </c>
      <c r="L43" t="s">
        <v>81</v>
      </c>
      <c r="M43">
        <v>2.2101490321562783E-3</v>
      </c>
      <c r="N43" t="s">
        <v>74</v>
      </c>
      <c r="O43" t="s">
        <v>75</v>
      </c>
    </row>
    <row r="44" spans="1:15" x14ac:dyDescent="0.3">
      <c r="A44">
        <v>12</v>
      </c>
      <c r="B44">
        <v>2022</v>
      </c>
      <c r="C44" t="s">
        <v>20</v>
      </c>
      <c r="D44" t="s">
        <v>6</v>
      </c>
      <c r="E44">
        <v>0</v>
      </c>
      <c r="F44">
        <v>0</v>
      </c>
      <c r="I44" t="s">
        <v>35</v>
      </c>
      <c r="J44" t="s">
        <v>35</v>
      </c>
      <c r="K44" t="s">
        <v>79</v>
      </c>
      <c r="L44" t="s">
        <v>35</v>
      </c>
      <c r="M44">
        <v>0</v>
      </c>
      <c r="N44" t="s">
        <v>72</v>
      </c>
      <c r="O44" t="s">
        <v>75</v>
      </c>
    </row>
    <row r="45" spans="1:15" x14ac:dyDescent="0.3">
      <c r="A45">
        <v>12</v>
      </c>
      <c r="B45">
        <v>2022</v>
      </c>
      <c r="C45" t="s">
        <v>20</v>
      </c>
      <c r="D45" t="s">
        <v>6</v>
      </c>
      <c r="E45">
        <v>0</v>
      </c>
      <c r="F45">
        <v>0</v>
      </c>
      <c r="I45" t="s">
        <v>35</v>
      </c>
      <c r="J45" t="s">
        <v>35</v>
      </c>
      <c r="K45" t="s">
        <v>79</v>
      </c>
      <c r="L45" t="s">
        <v>35</v>
      </c>
      <c r="M45">
        <v>0</v>
      </c>
      <c r="N45" t="s">
        <v>73</v>
      </c>
      <c r="O45" t="s">
        <v>75</v>
      </c>
    </row>
    <row r="46" spans="1:15" x14ac:dyDescent="0.3">
      <c r="A46">
        <v>12</v>
      </c>
      <c r="B46">
        <v>2022</v>
      </c>
      <c r="C46" t="s">
        <v>20</v>
      </c>
      <c r="D46" t="s">
        <v>6</v>
      </c>
      <c r="E46">
        <v>0</v>
      </c>
      <c r="F46">
        <v>0</v>
      </c>
      <c r="I46" t="s">
        <v>35</v>
      </c>
      <c r="J46" t="s">
        <v>35</v>
      </c>
      <c r="K46" t="s">
        <v>79</v>
      </c>
      <c r="L46" t="s">
        <v>35</v>
      </c>
      <c r="M46">
        <v>0</v>
      </c>
      <c r="N46" t="s">
        <v>74</v>
      </c>
      <c r="O46" t="s">
        <v>76</v>
      </c>
    </row>
    <row r="47" spans="1:15" x14ac:dyDescent="0.3">
      <c r="A47">
        <v>12</v>
      </c>
      <c r="B47">
        <v>2022</v>
      </c>
      <c r="C47" t="s">
        <v>20</v>
      </c>
      <c r="D47" t="s">
        <v>7</v>
      </c>
      <c r="E47">
        <v>60352</v>
      </c>
      <c r="F47">
        <v>60136</v>
      </c>
      <c r="G47">
        <v>0.99642099681866381</v>
      </c>
      <c r="H47">
        <v>3.5790031813361933E-3</v>
      </c>
      <c r="J47" t="s">
        <v>40</v>
      </c>
      <c r="K47" t="s">
        <v>80</v>
      </c>
      <c r="L47" t="s">
        <v>81</v>
      </c>
      <c r="M47">
        <v>4.194557056248293E-2</v>
      </c>
      <c r="N47" t="s">
        <v>72</v>
      </c>
      <c r="O47" t="s">
        <v>75</v>
      </c>
    </row>
    <row r="48" spans="1:15" x14ac:dyDescent="0.3">
      <c r="A48">
        <v>12</v>
      </c>
      <c r="B48">
        <v>2022</v>
      </c>
      <c r="C48" t="s">
        <v>20</v>
      </c>
      <c r="D48" t="s">
        <v>7</v>
      </c>
      <c r="E48">
        <v>60352</v>
      </c>
      <c r="F48">
        <v>60136</v>
      </c>
      <c r="G48">
        <v>0.99642099681866381</v>
      </c>
      <c r="H48">
        <v>3.5790031813361933E-3</v>
      </c>
      <c r="J48" t="s">
        <v>40</v>
      </c>
      <c r="K48" t="s">
        <v>80</v>
      </c>
      <c r="L48" t="s">
        <v>81</v>
      </c>
      <c r="M48">
        <v>4.194557056248293E-2</v>
      </c>
      <c r="N48" t="s">
        <v>73</v>
      </c>
      <c r="O48" t="s">
        <v>75</v>
      </c>
    </row>
    <row r="49" spans="1:15" x14ac:dyDescent="0.3">
      <c r="A49">
        <v>12</v>
      </c>
      <c r="B49">
        <v>2022</v>
      </c>
      <c r="C49" t="s">
        <v>20</v>
      </c>
      <c r="D49" t="s">
        <v>7</v>
      </c>
      <c r="E49">
        <v>60352</v>
      </c>
      <c r="F49">
        <v>60136</v>
      </c>
      <c r="G49">
        <v>0.99642099681866381</v>
      </c>
      <c r="H49">
        <v>3.5790031813361933E-3</v>
      </c>
      <c r="J49" t="s">
        <v>40</v>
      </c>
      <c r="K49" t="s">
        <v>80</v>
      </c>
      <c r="L49" t="s">
        <v>81</v>
      </c>
      <c r="M49">
        <v>4.194557056248293E-2</v>
      </c>
      <c r="N49" t="s">
        <v>74</v>
      </c>
      <c r="O49" t="s">
        <v>75</v>
      </c>
    </row>
    <row r="50" spans="1:15" x14ac:dyDescent="0.3">
      <c r="A50">
        <v>12</v>
      </c>
      <c r="B50">
        <v>2022</v>
      </c>
      <c r="C50" t="s">
        <v>20</v>
      </c>
      <c r="D50" t="s">
        <v>8</v>
      </c>
      <c r="E50">
        <v>3640</v>
      </c>
      <c r="F50">
        <v>3629</v>
      </c>
      <c r="G50">
        <v>0.99697802197802199</v>
      </c>
      <c r="H50">
        <v>3.0219780219780112E-3</v>
      </c>
      <c r="J50" t="s">
        <v>40</v>
      </c>
      <c r="K50" t="s">
        <v>80</v>
      </c>
      <c r="L50" t="s">
        <v>81</v>
      </c>
      <c r="M50">
        <v>2.5298561248581299E-3</v>
      </c>
      <c r="N50" t="s">
        <v>72</v>
      </c>
      <c r="O50" t="s">
        <v>75</v>
      </c>
    </row>
    <row r="51" spans="1:15" x14ac:dyDescent="0.3">
      <c r="A51">
        <v>12</v>
      </c>
      <c r="B51">
        <v>2022</v>
      </c>
      <c r="C51" t="s">
        <v>20</v>
      </c>
      <c r="D51" t="s">
        <v>8</v>
      </c>
      <c r="E51">
        <v>3640</v>
      </c>
      <c r="F51">
        <v>3629</v>
      </c>
      <c r="G51">
        <v>0.99697802197802199</v>
      </c>
      <c r="H51">
        <v>3.0219780219780112E-3</v>
      </c>
      <c r="J51" t="s">
        <v>40</v>
      </c>
      <c r="K51" t="s">
        <v>80</v>
      </c>
      <c r="L51" t="s">
        <v>81</v>
      </c>
      <c r="M51">
        <v>2.5298561248581299E-3</v>
      </c>
      <c r="N51" t="s">
        <v>73</v>
      </c>
      <c r="O51" t="s">
        <v>75</v>
      </c>
    </row>
    <row r="52" spans="1:15" x14ac:dyDescent="0.3">
      <c r="A52">
        <v>12</v>
      </c>
      <c r="B52">
        <v>2022</v>
      </c>
      <c r="C52" t="s">
        <v>20</v>
      </c>
      <c r="D52" t="s">
        <v>8</v>
      </c>
      <c r="E52">
        <v>3640</v>
      </c>
      <c r="F52">
        <v>3629</v>
      </c>
      <c r="G52">
        <v>0.99697802197802199</v>
      </c>
      <c r="H52">
        <v>3.0219780219780112E-3</v>
      </c>
      <c r="J52" t="s">
        <v>40</v>
      </c>
      <c r="K52" t="s">
        <v>80</v>
      </c>
      <c r="L52" t="s">
        <v>81</v>
      </c>
      <c r="M52">
        <v>2.5298561248581299E-3</v>
      </c>
      <c r="N52" t="s">
        <v>74</v>
      </c>
      <c r="O52" t="s">
        <v>75</v>
      </c>
    </row>
    <row r="53" spans="1:15" x14ac:dyDescent="0.3">
      <c r="A53">
        <v>12</v>
      </c>
      <c r="B53">
        <v>2022</v>
      </c>
      <c r="C53" t="s">
        <v>20</v>
      </c>
      <c r="D53" t="s">
        <v>9</v>
      </c>
      <c r="E53">
        <v>7807</v>
      </c>
      <c r="F53">
        <v>7794</v>
      </c>
      <c r="G53">
        <v>0.99833482771871396</v>
      </c>
      <c r="H53">
        <v>1.6651722812860426E-3</v>
      </c>
      <c r="J53" t="s">
        <v>40</v>
      </c>
      <c r="K53" t="s">
        <v>80</v>
      </c>
      <c r="L53" t="s">
        <v>81</v>
      </c>
      <c r="M53">
        <v>5.4259853754855553E-3</v>
      </c>
      <c r="N53" t="s">
        <v>72</v>
      </c>
      <c r="O53" t="s">
        <v>75</v>
      </c>
    </row>
    <row r="54" spans="1:15" x14ac:dyDescent="0.3">
      <c r="A54">
        <v>12</v>
      </c>
      <c r="B54">
        <v>2022</v>
      </c>
      <c r="C54" t="s">
        <v>20</v>
      </c>
      <c r="D54" t="s">
        <v>9</v>
      </c>
      <c r="E54">
        <v>7807</v>
      </c>
      <c r="F54">
        <v>7794</v>
      </c>
      <c r="G54">
        <v>0.99833482771871396</v>
      </c>
      <c r="H54">
        <v>1.6651722812860426E-3</v>
      </c>
      <c r="J54" t="s">
        <v>40</v>
      </c>
      <c r="K54" t="s">
        <v>80</v>
      </c>
      <c r="L54" t="s">
        <v>81</v>
      </c>
      <c r="M54">
        <v>5.4259853754855553E-3</v>
      </c>
      <c r="N54" t="s">
        <v>73</v>
      </c>
      <c r="O54" t="s">
        <v>75</v>
      </c>
    </row>
    <row r="55" spans="1:15" x14ac:dyDescent="0.3">
      <c r="A55">
        <v>12</v>
      </c>
      <c r="B55">
        <v>2022</v>
      </c>
      <c r="C55" t="s">
        <v>20</v>
      </c>
      <c r="D55" t="s">
        <v>9</v>
      </c>
      <c r="E55">
        <v>7807</v>
      </c>
      <c r="F55">
        <v>7794</v>
      </c>
      <c r="G55">
        <v>0.99833482771871396</v>
      </c>
      <c r="H55">
        <v>1.6651722812860426E-3</v>
      </c>
      <c r="J55" t="s">
        <v>40</v>
      </c>
      <c r="K55" t="s">
        <v>80</v>
      </c>
      <c r="L55" t="s">
        <v>81</v>
      </c>
      <c r="M55">
        <v>5.4259853754855553E-3</v>
      </c>
      <c r="N55" t="s">
        <v>74</v>
      </c>
      <c r="O55" t="s">
        <v>75</v>
      </c>
    </row>
    <row r="56" spans="1:15" x14ac:dyDescent="0.3">
      <c r="A56">
        <v>12</v>
      </c>
      <c r="B56">
        <v>2022</v>
      </c>
      <c r="C56" t="s">
        <v>13</v>
      </c>
      <c r="D56" t="s">
        <v>4</v>
      </c>
      <c r="E56">
        <v>103</v>
      </c>
      <c r="F56">
        <v>101</v>
      </c>
      <c r="G56">
        <v>0.98058252427184467</v>
      </c>
      <c r="H56">
        <v>1.9417475728155331E-2</v>
      </c>
      <c r="J56" t="s">
        <v>40</v>
      </c>
      <c r="K56" t="s">
        <v>80</v>
      </c>
      <c r="L56" t="s">
        <v>81</v>
      </c>
      <c r="M56">
        <v>7.1586588148458079E-5</v>
      </c>
      <c r="N56" t="s">
        <v>72</v>
      </c>
      <c r="O56" t="s">
        <v>75</v>
      </c>
    </row>
    <row r="57" spans="1:15" x14ac:dyDescent="0.3">
      <c r="A57">
        <v>12</v>
      </c>
      <c r="B57">
        <v>2022</v>
      </c>
      <c r="C57" t="s">
        <v>13</v>
      </c>
      <c r="D57" t="s">
        <v>4</v>
      </c>
      <c r="E57">
        <v>103</v>
      </c>
      <c r="F57">
        <v>101</v>
      </c>
      <c r="G57">
        <v>0.98058252427184467</v>
      </c>
      <c r="H57">
        <v>1.9417475728155331E-2</v>
      </c>
      <c r="J57" t="s">
        <v>40</v>
      </c>
      <c r="K57" t="s">
        <v>80</v>
      </c>
      <c r="L57" t="s">
        <v>81</v>
      </c>
      <c r="M57">
        <v>7.1586588148458079E-5</v>
      </c>
      <c r="N57" t="s">
        <v>73</v>
      </c>
      <c r="O57" t="s">
        <v>75</v>
      </c>
    </row>
    <row r="58" spans="1:15" x14ac:dyDescent="0.3">
      <c r="A58">
        <v>12</v>
      </c>
      <c r="B58">
        <v>2022</v>
      </c>
      <c r="C58" t="s">
        <v>13</v>
      </c>
      <c r="D58" t="s">
        <v>4</v>
      </c>
      <c r="E58">
        <v>103</v>
      </c>
      <c r="F58">
        <v>101</v>
      </c>
      <c r="G58">
        <v>0.98058252427184467</v>
      </c>
      <c r="H58">
        <v>1.9417475728155331E-2</v>
      </c>
      <c r="J58" t="s">
        <v>40</v>
      </c>
      <c r="K58" t="s">
        <v>80</v>
      </c>
      <c r="L58" t="s">
        <v>81</v>
      </c>
      <c r="M58">
        <v>7.1586588148458079E-5</v>
      </c>
      <c r="N58" t="s">
        <v>74</v>
      </c>
      <c r="O58" t="s">
        <v>75</v>
      </c>
    </row>
    <row r="59" spans="1:15" x14ac:dyDescent="0.3">
      <c r="A59">
        <v>12</v>
      </c>
      <c r="B59">
        <v>2022</v>
      </c>
      <c r="C59" t="s">
        <v>13</v>
      </c>
      <c r="D59" t="s">
        <v>5</v>
      </c>
      <c r="E59">
        <v>7746</v>
      </c>
      <c r="F59">
        <v>7688</v>
      </c>
      <c r="G59">
        <v>0.99251226439452622</v>
      </c>
      <c r="H59">
        <v>7.4877356054737776E-3</v>
      </c>
      <c r="J59" t="s">
        <v>40</v>
      </c>
      <c r="K59" t="s">
        <v>80</v>
      </c>
      <c r="L59" t="s">
        <v>81</v>
      </c>
      <c r="M59">
        <v>5.3835894349316136E-3</v>
      </c>
      <c r="N59" t="s">
        <v>72</v>
      </c>
      <c r="O59" t="s">
        <v>75</v>
      </c>
    </row>
    <row r="60" spans="1:15" x14ac:dyDescent="0.3">
      <c r="A60">
        <v>12</v>
      </c>
      <c r="B60">
        <v>2022</v>
      </c>
      <c r="C60" t="s">
        <v>13</v>
      </c>
      <c r="D60" t="s">
        <v>5</v>
      </c>
      <c r="E60">
        <v>7746</v>
      </c>
      <c r="F60">
        <v>7688</v>
      </c>
      <c r="G60">
        <v>0.99251226439452622</v>
      </c>
      <c r="H60">
        <v>7.4877356054737776E-3</v>
      </c>
      <c r="J60" t="s">
        <v>40</v>
      </c>
      <c r="K60" t="s">
        <v>80</v>
      </c>
      <c r="L60" t="s">
        <v>81</v>
      </c>
      <c r="M60">
        <v>5.3835894349316136E-3</v>
      </c>
      <c r="N60" t="s">
        <v>73</v>
      </c>
      <c r="O60" t="s">
        <v>75</v>
      </c>
    </row>
    <row r="61" spans="1:15" x14ac:dyDescent="0.3">
      <c r="A61">
        <v>12</v>
      </c>
      <c r="B61">
        <v>2022</v>
      </c>
      <c r="C61" t="s">
        <v>13</v>
      </c>
      <c r="D61" t="s">
        <v>5</v>
      </c>
      <c r="E61">
        <v>7746</v>
      </c>
      <c r="F61">
        <v>7688</v>
      </c>
      <c r="G61">
        <v>0.99251226439452622</v>
      </c>
      <c r="H61">
        <v>7.4877356054737776E-3</v>
      </c>
      <c r="J61" t="s">
        <v>40</v>
      </c>
      <c r="K61" t="s">
        <v>80</v>
      </c>
      <c r="L61" t="s">
        <v>81</v>
      </c>
      <c r="M61">
        <v>5.3835894349316136E-3</v>
      </c>
      <c r="N61" t="s">
        <v>74</v>
      </c>
      <c r="O61" t="s">
        <v>75</v>
      </c>
    </row>
    <row r="62" spans="1:15" x14ac:dyDescent="0.3">
      <c r="A62">
        <v>12</v>
      </c>
      <c r="B62">
        <v>2022</v>
      </c>
      <c r="C62" t="s">
        <v>13</v>
      </c>
      <c r="D62" t="s">
        <v>6</v>
      </c>
      <c r="E62">
        <v>0</v>
      </c>
      <c r="F62">
        <v>0</v>
      </c>
      <c r="I62" t="s">
        <v>35</v>
      </c>
      <c r="J62" t="s">
        <v>35</v>
      </c>
      <c r="K62" t="s">
        <v>79</v>
      </c>
      <c r="L62" t="s">
        <v>35</v>
      </c>
      <c r="M62">
        <v>0</v>
      </c>
      <c r="N62" t="s">
        <v>72</v>
      </c>
      <c r="O62" t="s">
        <v>75</v>
      </c>
    </row>
    <row r="63" spans="1:15" x14ac:dyDescent="0.3">
      <c r="A63">
        <v>12</v>
      </c>
      <c r="B63">
        <v>2022</v>
      </c>
      <c r="C63" t="s">
        <v>13</v>
      </c>
      <c r="D63" t="s">
        <v>6</v>
      </c>
      <c r="E63">
        <v>0</v>
      </c>
      <c r="F63">
        <v>0</v>
      </c>
      <c r="I63" t="s">
        <v>35</v>
      </c>
      <c r="J63" t="s">
        <v>35</v>
      </c>
      <c r="K63" t="s">
        <v>79</v>
      </c>
      <c r="L63" t="s">
        <v>35</v>
      </c>
      <c r="M63">
        <v>0</v>
      </c>
      <c r="N63" t="s">
        <v>73</v>
      </c>
      <c r="O63" t="s">
        <v>75</v>
      </c>
    </row>
    <row r="64" spans="1:15" x14ac:dyDescent="0.3">
      <c r="A64">
        <v>12</v>
      </c>
      <c r="B64">
        <v>2022</v>
      </c>
      <c r="C64" t="s">
        <v>13</v>
      </c>
      <c r="D64" t="s">
        <v>6</v>
      </c>
      <c r="E64">
        <v>0</v>
      </c>
      <c r="F64">
        <v>0</v>
      </c>
      <c r="I64" t="s">
        <v>35</v>
      </c>
      <c r="J64" t="s">
        <v>35</v>
      </c>
      <c r="K64" t="s">
        <v>79</v>
      </c>
      <c r="L64" t="s">
        <v>35</v>
      </c>
      <c r="M64">
        <v>0</v>
      </c>
      <c r="N64" t="s">
        <v>74</v>
      </c>
      <c r="O64" t="s">
        <v>76</v>
      </c>
    </row>
    <row r="65" spans="1:15" x14ac:dyDescent="0.3">
      <c r="A65">
        <v>12</v>
      </c>
      <c r="B65">
        <v>2022</v>
      </c>
      <c r="C65" t="s">
        <v>13</v>
      </c>
      <c r="D65" t="s">
        <v>7</v>
      </c>
      <c r="E65">
        <v>69835</v>
      </c>
      <c r="F65">
        <v>69506</v>
      </c>
      <c r="G65">
        <v>0.99528889525309661</v>
      </c>
      <c r="H65">
        <v>4.711104746903394E-3</v>
      </c>
      <c r="J65" t="s">
        <v>40</v>
      </c>
      <c r="K65" t="s">
        <v>80</v>
      </c>
      <c r="L65" t="s">
        <v>81</v>
      </c>
      <c r="M65">
        <v>4.8536401780073492E-2</v>
      </c>
      <c r="N65" t="s">
        <v>72</v>
      </c>
      <c r="O65" t="s">
        <v>75</v>
      </c>
    </row>
    <row r="66" spans="1:15" x14ac:dyDescent="0.3">
      <c r="A66">
        <v>12</v>
      </c>
      <c r="B66">
        <v>2022</v>
      </c>
      <c r="C66" t="s">
        <v>13</v>
      </c>
      <c r="D66" t="s">
        <v>7</v>
      </c>
      <c r="E66">
        <v>69835</v>
      </c>
      <c r="F66">
        <v>69506</v>
      </c>
      <c r="G66">
        <v>0.99528889525309661</v>
      </c>
      <c r="H66">
        <v>4.711104746903394E-3</v>
      </c>
      <c r="J66" t="s">
        <v>40</v>
      </c>
      <c r="K66" t="s">
        <v>80</v>
      </c>
      <c r="L66" t="s">
        <v>81</v>
      </c>
      <c r="M66">
        <v>4.8536401780073492E-2</v>
      </c>
      <c r="N66" t="s">
        <v>73</v>
      </c>
      <c r="O66" t="s">
        <v>75</v>
      </c>
    </row>
    <row r="67" spans="1:15" x14ac:dyDescent="0.3">
      <c r="A67">
        <v>12</v>
      </c>
      <c r="B67">
        <v>2022</v>
      </c>
      <c r="C67" t="s">
        <v>13</v>
      </c>
      <c r="D67" t="s">
        <v>7</v>
      </c>
      <c r="E67">
        <v>69835</v>
      </c>
      <c r="F67">
        <v>69506</v>
      </c>
      <c r="G67">
        <v>0.99528889525309661</v>
      </c>
      <c r="H67">
        <v>4.711104746903394E-3</v>
      </c>
      <c r="J67" t="s">
        <v>40</v>
      </c>
      <c r="K67" t="s">
        <v>80</v>
      </c>
      <c r="L67" t="s">
        <v>81</v>
      </c>
      <c r="M67">
        <v>4.8536401780073492E-2</v>
      </c>
      <c r="N67" t="s">
        <v>74</v>
      </c>
      <c r="O67" t="s">
        <v>75</v>
      </c>
    </row>
    <row r="68" spans="1:15" x14ac:dyDescent="0.3">
      <c r="A68">
        <v>12</v>
      </c>
      <c r="B68">
        <v>2022</v>
      </c>
      <c r="C68" t="s">
        <v>13</v>
      </c>
      <c r="D68" t="s">
        <v>8</v>
      </c>
      <c r="E68">
        <v>3823</v>
      </c>
      <c r="F68">
        <v>3809</v>
      </c>
      <c r="G68">
        <v>0.99633795448600571</v>
      </c>
      <c r="H68">
        <v>3.6620455139942942E-3</v>
      </c>
      <c r="J68" t="s">
        <v>40</v>
      </c>
      <c r="K68" t="s">
        <v>80</v>
      </c>
      <c r="L68" t="s">
        <v>81</v>
      </c>
      <c r="M68">
        <v>2.6570439465199536E-3</v>
      </c>
      <c r="N68" t="s">
        <v>72</v>
      </c>
      <c r="O68" t="s">
        <v>75</v>
      </c>
    </row>
    <row r="69" spans="1:15" x14ac:dyDescent="0.3">
      <c r="A69">
        <v>12</v>
      </c>
      <c r="B69">
        <v>2022</v>
      </c>
      <c r="C69" t="s">
        <v>13</v>
      </c>
      <c r="D69" t="s">
        <v>8</v>
      </c>
      <c r="E69">
        <v>3823</v>
      </c>
      <c r="F69">
        <v>3809</v>
      </c>
      <c r="G69">
        <v>0.99633795448600571</v>
      </c>
      <c r="H69">
        <v>3.6620455139942942E-3</v>
      </c>
      <c r="J69" t="s">
        <v>40</v>
      </c>
      <c r="K69" t="s">
        <v>80</v>
      </c>
      <c r="L69" t="s">
        <v>81</v>
      </c>
      <c r="M69">
        <v>2.6570439465199536E-3</v>
      </c>
      <c r="N69" t="s">
        <v>73</v>
      </c>
      <c r="O69" t="s">
        <v>75</v>
      </c>
    </row>
    <row r="70" spans="1:15" x14ac:dyDescent="0.3">
      <c r="A70">
        <v>12</v>
      </c>
      <c r="B70">
        <v>2022</v>
      </c>
      <c r="C70" t="s">
        <v>13</v>
      </c>
      <c r="D70" t="s">
        <v>8</v>
      </c>
      <c r="E70">
        <v>3823</v>
      </c>
      <c r="F70">
        <v>3809</v>
      </c>
      <c r="G70">
        <v>0.99633795448600571</v>
      </c>
      <c r="H70">
        <v>3.6620455139942942E-3</v>
      </c>
      <c r="J70" t="s">
        <v>40</v>
      </c>
      <c r="K70" t="s">
        <v>80</v>
      </c>
      <c r="L70" t="s">
        <v>81</v>
      </c>
      <c r="M70">
        <v>2.6570439465199536E-3</v>
      </c>
      <c r="N70" t="s">
        <v>74</v>
      </c>
      <c r="O70" t="s">
        <v>75</v>
      </c>
    </row>
    <row r="71" spans="1:15" x14ac:dyDescent="0.3">
      <c r="A71">
        <v>12</v>
      </c>
      <c r="B71">
        <v>2022</v>
      </c>
      <c r="C71" t="s">
        <v>13</v>
      </c>
      <c r="D71" t="s">
        <v>9</v>
      </c>
      <c r="E71">
        <v>11465</v>
      </c>
      <c r="F71">
        <v>11431</v>
      </c>
      <c r="G71">
        <v>0.99703445268207591</v>
      </c>
      <c r="H71">
        <v>2.9655473179240888E-3</v>
      </c>
      <c r="J71" t="s">
        <v>40</v>
      </c>
      <c r="K71" t="s">
        <v>80</v>
      </c>
      <c r="L71" t="s">
        <v>81</v>
      </c>
      <c r="M71">
        <v>7.9683517778841931E-3</v>
      </c>
      <c r="N71" t="s">
        <v>72</v>
      </c>
      <c r="O71" t="s">
        <v>75</v>
      </c>
    </row>
    <row r="72" spans="1:15" x14ac:dyDescent="0.3">
      <c r="A72">
        <v>12</v>
      </c>
      <c r="B72">
        <v>2022</v>
      </c>
      <c r="C72" t="s">
        <v>13</v>
      </c>
      <c r="D72" t="s">
        <v>9</v>
      </c>
      <c r="E72">
        <v>11465</v>
      </c>
      <c r="F72">
        <v>11431</v>
      </c>
      <c r="G72">
        <v>0.99703445268207591</v>
      </c>
      <c r="H72">
        <v>2.9655473179240888E-3</v>
      </c>
      <c r="J72" t="s">
        <v>40</v>
      </c>
      <c r="K72" t="s">
        <v>80</v>
      </c>
      <c r="L72" t="s">
        <v>81</v>
      </c>
      <c r="M72">
        <v>7.9683517778841931E-3</v>
      </c>
      <c r="N72" t="s">
        <v>73</v>
      </c>
      <c r="O72" t="s">
        <v>75</v>
      </c>
    </row>
    <row r="73" spans="1:15" x14ac:dyDescent="0.3">
      <c r="A73">
        <v>12</v>
      </c>
      <c r="B73">
        <v>2022</v>
      </c>
      <c r="C73" t="s">
        <v>13</v>
      </c>
      <c r="D73" t="s">
        <v>9</v>
      </c>
      <c r="E73">
        <v>11465</v>
      </c>
      <c r="F73">
        <v>11431</v>
      </c>
      <c r="G73">
        <v>0.99703445268207591</v>
      </c>
      <c r="H73">
        <v>2.9655473179240888E-3</v>
      </c>
      <c r="J73" t="s">
        <v>40</v>
      </c>
      <c r="K73" t="s">
        <v>80</v>
      </c>
      <c r="L73" t="s">
        <v>81</v>
      </c>
      <c r="M73">
        <v>7.9683517778841931E-3</v>
      </c>
      <c r="N73" t="s">
        <v>74</v>
      </c>
      <c r="O73" t="s">
        <v>75</v>
      </c>
    </row>
    <row r="74" spans="1:15" x14ac:dyDescent="0.3">
      <c r="A74">
        <v>12</v>
      </c>
      <c r="B74">
        <v>2022</v>
      </c>
      <c r="C74" t="s">
        <v>14</v>
      </c>
      <c r="D74" t="s">
        <v>4</v>
      </c>
      <c r="E74">
        <v>0</v>
      </c>
      <c r="F74">
        <v>0</v>
      </c>
      <c r="I74" t="s">
        <v>35</v>
      </c>
      <c r="J74" t="s">
        <v>35</v>
      </c>
      <c r="K74" t="s">
        <v>79</v>
      </c>
      <c r="L74" t="s">
        <v>35</v>
      </c>
      <c r="M74">
        <v>0</v>
      </c>
      <c r="N74" t="s">
        <v>72</v>
      </c>
      <c r="O74" t="s">
        <v>75</v>
      </c>
    </row>
    <row r="75" spans="1:15" x14ac:dyDescent="0.3">
      <c r="A75">
        <v>12</v>
      </c>
      <c r="B75">
        <v>2022</v>
      </c>
      <c r="C75" t="s">
        <v>14</v>
      </c>
      <c r="D75" t="s">
        <v>4</v>
      </c>
      <c r="E75">
        <v>0</v>
      </c>
      <c r="F75">
        <v>0</v>
      </c>
      <c r="I75" t="s">
        <v>35</v>
      </c>
      <c r="J75" t="s">
        <v>35</v>
      </c>
      <c r="K75" t="s">
        <v>79</v>
      </c>
      <c r="L75" t="s">
        <v>35</v>
      </c>
      <c r="M75">
        <v>0</v>
      </c>
      <c r="N75" t="s">
        <v>73</v>
      </c>
      <c r="O75" t="s">
        <v>75</v>
      </c>
    </row>
    <row r="76" spans="1:15" x14ac:dyDescent="0.3">
      <c r="A76">
        <v>12</v>
      </c>
      <c r="B76">
        <v>2022</v>
      </c>
      <c r="C76" t="s">
        <v>14</v>
      </c>
      <c r="D76" t="s">
        <v>4</v>
      </c>
      <c r="E76">
        <v>0</v>
      </c>
      <c r="F76">
        <v>0</v>
      </c>
      <c r="I76" t="s">
        <v>35</v>
      </c>
      <c r="J76" t="s">
        <v>35</v>
      </c>
      <c r="K76" t="s">
        <v>79</v>
      </c>
      <c r="L76" t="s">
        <v>35</v>
      </c>
      <c r="M76">
        <v>0</v>
      </c>
      <c r="N76" t="s">
        <v>74</v>
      </c>
      <c r="O76" t="s">
        <v>76</v>
      </c>
    </row>
    <row r="77" spans="1:15" x14ac:dyDescent="0.3">
      <c r="A77">
        <v>12</v>
      </c>
      <c r="B77">
        <v>2022</v>
      </c>
      <c r="C77" t="s">
        <v>14</v>
      </c>
      <c r="D77" t="s">
        <v>5</v>
      </c>
      <c r="E77">
        <v>13060</v>
      </c>
      <c r="F77">
        <v>13025</v>
      </c>
      <c r="G77">
        <v>0.99732006125574268</v>
      </c>
      <c r="H77">
        <v>2.6799387442573153E-3</v>
      </c>
      <c r="J77" t="s">
        <v>40</v>
      </c>
      <c r="K77" t="s">
        <v>80</v>
      </c>
      <c r="L77" t="s">
        <v>81</v>
      </c>
      <c r="M77">
        <v>9.0769013710569162E-3</v>
      </c>
      <c r="N77" t="s">
        <v>72</v>
      </c>
      <c r="O77" t="s">
        <v>75</v>
      </c>
    </row>
    <row r="78" spans="1:15" x14ac:dyDescent="0.3">
      <c r="A78">
        <v>12</v>
      </c>
      <c r="B78">
        <v>2022</v>
      </c>
      <c r="C78" t="s">
        <v>14</v>
      </c>
      <c r="D78" t="s">
        <v>5</v>
      </c>
      <c r="E78">
        <v>13060</v>
      </c>
      <c r="F78">
        <v>13025</v>
      </c>
      <c r="G78">
        <v>0.99732006125574268</v>
      </c>
      <c r="H78">
        <v>2.6799387442573153E-3</v>
      </c>
      <c r="J78" t="s">
        <v>40</v>
      </c>
      <c r="K78" t="s">
        <v>80</v>
      </c>
      <c r="L78" t="s">
        <v>81</v>
      </c>
      <c r="M78">
        <v>9.0769013710569162E-3</v>
      </c>
      <c r="N78" t="s">
        <v>73</v>
      </c>
      <c r="O78" t="s">
        <v>75</v>
      </c>
    </row>
    <row r="79" spans="1:15" x14ac:dyDescent="0.3">
      <c r="A79">
        <v>12</v>
      </c>
      <c r="B79">
        <v>2022</v>
      </c>
      <c r="C79" t="s">
        <v>14</v>
      </c>
      <c r="D79" t="s">
        <v>5</v>
      </c>
      <c r="E79">
        <v>13060</v>
      </c>
      <c r="F79">
        <v>13025</v>
      </c>
      <c r="G79">
        <v>0.99732006125574268</v>
      </c>
      <c r="H79">
        <v>2.6799387442573153E-3</v>
      </c>
      <c r="J79" t="s">
        <v>40</v>
      </c>
      <c r="K79" t="s">
        <v>80</v>
      </c>
      <c r="L79" t="s">
        <v>81</v>
      </c>
      <c r="M79">
        <v>9.0769013710569162E-3</v>
      </c>
      <c r="N79" t="s">
        <v>74</v>
      </c>
      <c r="O79" t="s">
        <v>75</v>
      </c>
    </row>
    <row r="80" spans="1:15" x14ac:dyDescent="0.3">
      <c r="A80">
        <v>12</v>
      </c>
      <c r="B80">
        <v>2022</v>
      </c>
      <c r="C80" t="s">
        <v>14</v>
      </c>
      <c r="D80" t="s">
        <v>6</v>
      </c>
      <c r="E80">
        <v>55</v>
      </c>
      <c r="F80">
        <v>55</v>
      </c>
      <c r="G80">
        <v>1</v>
      </c>
      <c r="H80">
        <v>0</v>
      </c>
      <c r="J80" t="s">
        <v>40</v>
      </c>
      <c r="K80" t="s">
        <v>82</v>
      </c>
      <c r="L80" t="s">
        <v>83</v>
      </c>
      <c r="M80">
        <v>3.8225848040438776E-5</v>
      </c>
      <c r="N80" t="s">
        <v>72</v>
      </c>
      <c r="O80" t="s">
        <v>75</v>
      </c>
    </row>
    <row r="81" spans="1:15" x14ac:dyDescent="0.3">
      <c r="A81">
        <v>12</v>
      </c>
      <c r="B81">
        <v>2022</v>
      </c>
      <c r="C81" t="s">
        <v>14</v>
      </c>
      <c r="D81" t="s">
        <v>6</v>
      </c>
      <c r="E81">
        <v>55</v>
      </c>
      <c r="F81">
        <v>55</v>
      </c>
      <c r="G81">
        <v>1</v>
      </c>
      <c r="H81">
        <v>0</v>
      </c>
      <c r="J81" t="s">
        <v>40</v>
      </c>
      <c r="K81" t="s">
        <v>82</v>
      </c>
      <c r="L81" t="s">
        <v>83</v>
      </c>
      <c r="M81">
        <v>3.8225848040438776E-5</v>
      </c>
      <c r="N81" t="s">
        <v>73</v>
      </c>
      <c r="O81" t="s">
        <v>75</v>
      </c>
    </row>
    <row r="82" spans="1:15" x14ac:dyDescent="0.3">
      <c r="A82">
        <v>12</v>
      </c>
      <c r="B82">
        <v>2022</v>
      </c>
      <c r="C82" t="s">
        <v>14</v>
      </c>
      <c r="D82" t="s">
        <v>6</v>
      </c>
      <c r="E82">
        <v>55</v>
      </c>
      <c r="F82">
        <v>55</v>
      </c>
      <c r="G82">
        <v>1</v>
      </c>
      <c r="H82">
        <v>0</v>
      </c>
      <c r="J82" t="s">
        <v>40</v>
      </c>
      <c r="K82" t="s">
        <v>82</v>
      </c>
      <c r="L82" t="s">
        <v>83</v>
      </c>
      <c r="M82">
        <v>3.8225848040438776E-5</v>
      </c>
      <c r="N82" t="s">
        <v>74</v>
      </c>
      <c r="O82" t="s">
        <v>75</v>
      </c>
    </row>
    <row r="83" spans="1:15" x14ac:dyDescent="0.3">
      <c r="A83">
        <v>12</v>
      </c>
      <c r="B83">
        <v>2022</v>
      </c>
      <c r="C83" t="s">
        <v>14</v>
      </c>
      <c r="D83" t="s">
        <v>7</v>
      </c>
      <c r="E83">
        <v>89637</v>
      </c>
      <c r="F83">
        <v>89317</v>
      </c>
      <c r="G83">
        <v>0.99643004562847937</v>
      </c>
      <c r="H83">
        <v>3.5699543715206339E-3</v>
      </c>
      <c r="J83" t="s">
        <v>40</v>
      </c>
      <c r="K83" t="s">
        <v>80</v>
      </c>
      <c r="L83" t="s">
        <v>81</v>
      </c>
      <c r="M83">
        <v>6.2299097105469284E-2</v>
      </c>
      <c r="N83" t="s">
        <v>72</v>
      </c>
      <c r="O83" t="s">
        <v>75</v>
      </c>
    </row>
    <row r="84" spans="1:15" x14ac:dyDescent="0.3">
      <c r="A84">
        <v>12</v>
      </c>
      <c r="B84">
        <v>2022</v>
      </c>
      <c r="C84" t="s">
        <v>14</v>
      </c>
      <c r="D84" t="s">
        <v>7</v>
      </c>
      <c r="E84">
        <v>89637</v>
      </c>
      <c r="F84">
        <v>89317</v>
      </c>
      <c r="G84">
        <v>0.99643004562847937</v>
      </c>
      <c r="H84">
        <v>3.5699543715206339E-3</v>
      </c>
      <c r="J84" t="s">
        <v>40</v>
      </c>
      <c r="K84" t="s">
        <v>80</v>
      </c>
      <c r="L84" t="s">
        <v>81</v>
      </c>
      <c r="M84">
        <v>6.2299097105469284E-2</v>
      </c>
      <c r="N84" t="s">
        <v>73</v>
      </c>
      <c r="O84" t="s">
        <v>75</v>
      </c>
    </row>
    <row r="85" spans="1:15" x14ac:dyDescent="0.3">
      <c r="A85">
        <v>12</v>
      </c>
      <c r="B85">
        <v>2022</v>
      </c>
      <c r="C85" t="s">
        <v>14</v>
      </c>
      <c r="D85" t="s">
        <v>7</v>
      </c>
      <c r="E85">
        <v>89637</v>
      </c>
      <c r="F85">
        <v>89317</v>
      </c>
      <c r="G85">
        <v>0.99643004562847937</v>
      </c>
      <c r="H85">
        <v>3.5699543715206339E-3</v>
      </c>
      <c r="J85" t="s">
        <v>40</v>
      </c>
      <c r="K85" t="s">
        <v>80</v>
      </c>
      <c r="L85" t="s">
        <v>81</v>
      </c>
      <c r="M85">
        <v>6.2299097105469284E-2</v>
      </c>
      <c r="N85" t="s">
        <v>74</v>
      </c>
      <c r="O85" t="s">
        <v>75</v>
      </c>
    </row>
    <row r="86" spans="1:15" x14ac:dyDescent="0.3">
      <c r="A86">
        <v>12</v>
      </c>
      <c r="B86">
        <v>2022</v>
      </c>
      <c r="C86" t="s">
        <v>14</v>
      </c>
      <c r="D86" t="s">
        <v>8</v>
      </c>
      <c r="E86">
        <v>2549</v>
      </c>
      <c r="F86">
        <v>2537</v>
      </c>
      <c r="G86">
        <v>0.99529227147901134</v>
      </c>
      <c r="H86">
        <v>4.7077285209886632E-3</v>
      </c>
      <c r="J86" t="s">
        <v>40</v>
      </c>
      <c r="K86" t="s">
        <v>80</v>
      </c>
      <c r="L86" t="s">
        <v>81</v>
      </c>
      <c r="M86">
        <v>1.771594302819608E-3</v>
      </c>
      <c r="N86" t="s">
        <v>72</v>
      </c>
      <c r="O86" t="s">
        <v>75</v>
      </c>
    </row>
    <row r="87" spans="1:15" x14ac:dyDescent="0.3">
      <c r="A87">
        <v>12</v>
      </c>
      <c r="B87">
        <v>2022</v>
      </c>
      <c r="C87" t="s">
        <v>14</v>
      </c>
      <c r="D87" t="s">
        <v>8</v>
      </c>
      <c r="E87">
        <v>2549</v>
      </c>
      <c r="F87">
        <v>2537</v>
      </c>
      <c r="G87">
        <v>0.99529227147901134</v>
      </c>
      <c r="H87">
        <v>4.7077285209886632E-3</v>
      </c>
      <c r="J87" t="s">
        <v>40</v>
      </c>
      <c r="K87" t="s">
        <v>80</v>
      </c>
      <c r="L87" t="s">
        <v>81</v>
      </c>
      <c r="M87">
        <v>1.771594302819608E-3</v>
      </c>
      <c r="N87" t="s">
        <v>73</v>
      </c>
      <c r="O87" t="s">
        <v>75</v>
      </c>
    </row>
    <row r="88" spans="1:15" x14ac:dyDescent="0.3">
      <c r="A88">
        <v>12</v>
      </c>
      <c r="B88">
        <v>2022</v>
      </c>
      <c r="C88" t="s">
        <v>14</v>
      </c>
      <c r="D88" t="s">
        <v>8</v>
      </c>
      <c r="E88">
        <v>2549</v>
      </c>
      <c r="F88">
        <v>2537</v>
      </c>
      <c r="G88">
        <v>0.99529227147901134</v>
      </c>
      <c r="H88">
        <v>4.7077285209886632E-3</v>
      </c>
      <c r="J88" t="s">
        <v>40</v>
      </c>
      <c r="K88" t="s">
        <v>80</v>
      </c>
      <c r="L88" t="s">
        <v>81</v>
      </c>
      <c r="M88">
        <v>1.771594302819608E-3</v>
      </c>
      <c r="N88" t="s">
        <v>74</v>
      </c>
      <c r="O88" t="s">
        <v>75</v>
      </c>
    </row>
    <row r="89" spans="1:15" x14ac:dyDescent="0.3">
      <c r="A89">
        <v>12</v>
      </c>
      <c r="B89">
        <v>2022</v>
      </c>
      <c r="C89" t="s">
        <v>14</v>
      </c>
      <c r="D89" t="s">
        <v>9</v>
      </c>
      <c r="E89">
        <v>5861</v>
      </c>
      <c r="F89">
        <v>5844</v>
      </c>
      <c r="G89">
        <v>0.99709947108002051</v>
      </c>
      <c r="H89">
        <v>2.9005289199794948E-3</v>
      </c>
      <c r="J89" t="s">
        <v>40</v>
      </c>
      <c r="K89" t="s">
        <v>80</v>
      </c>
      <c r="L89" t="s">
        <v>81</v>
      </c>
      <c r="M89">
        <v>4.0734853702729399E-3</v>
      </c>
      <c r="N89" t="s">
        <v>72</v>
      </c>
      <c r="O89" t="s">
        <v>75</v>
      </c>
    </row>
    <row r="90" spans="1:15" x14ac:dyDescent="0.3">
      <c r="A90">
        <v>12</v>
      </c>
      <c r="B90">
        <v>2022</v>
      </c>
      <c r="C90" t="s">
        <v>14</v>
      </c>
      <c r="D90" t="s">
        <v>9</v>
      </c>
      <c r="E90">
        <v>5861</v>
      </c>
      <c r="F90">
        <v>5844</v>
      </c>
      <c r="G90">
        <v>0.99709947108002051</v>
      </c>
      <c r="H90">
        <v>2.9005289199794948E-3</v>
      </c>
      <c r="J90" t="s">
        <v>40</v>
      </c>
      <c r="K90" t="s">
        <v>80</v>
      </c>
      <c r="L90" t="s">
        <v>81</v>
      </c>
      <c r="M90">
        <v>4.0734853702729399E-3</v>
      </c>
      <c r="N90" t="s">
        <v>73</v>
      </c>
      <c r="O90" t="s">
        <v>75</v>
      </c>
    </row>
    <row r="91" spans="1:15" x14ac:dyDescent="0.3">
      <c r="A91">
        <v>12</v>
      </c>
      <c r="B91">
        <v>2022</v>
      </c>
      <c r="C91" t="s">
        <v>14</v>
      </c>
      <c r="D91" t="s">
        <v>9</v>
      </c>
      <c r="E91">
        <v>5861</v>
      </c>
      <c r="F91">
        <v>5844</v>
      </c>
      <c r="G91">
        <v>0.99709947108002051</v>
      </c>
      <c r="H91">
        <v>2.9005289199794948E-3</v>
      </c>
      <c r="J91" t="s">
        <v>40</v>
      </c>
      <c r="K91" t="s">
        <v>80</v>
      </c>
      <c r="L91" t="s">
        <v>81</v>
      </c>
      <c r="M91">
        <v>4.0734853702729399E-3</v>
      </c>
      <c r="N91" t="s">
        <v>74</v>
      </c>
      <c r="O91" t="s">
        <v>75</v>
      </c>
    </row>
    <row r="92" spans="1:15" x14ac:dyDescent="0.3">
      <c r="A92">
        <v>12</v>
      </c>
      <c r="B92">
        <v>2022</v>
      </c>
      <c r="C92" t="s">
        <v>21</v>
      </c>
      <c r="D92" t="s">
        <v>4</v>
      </c>
      <c r="E92">
        <v>0</v>
      </c>
      <c r="F92">
        <v>0</v>
      </c>
      <c r="I92" t="s">
        <v>35</v>
      </c>
      <c r="J92" t="s">
        <v>35</v>
      </c>
      <c r="K92" t="s">
        <v>79</v>
      </c>
      <c r="L92" t="s">
        <v>35</v>
      </c>
      <c r="M92">
        <v>0</v>
      </c>
      <c r="N92" t="s">
        <v>72</v>
      </c>
      <c r="O92" t="s">
        <v>75</v>
      </c>
    </row>
    <row r="93" spans="1:15" x14ac:dyDescent="0.3">
      <c r="A93">
        <v>12</v>
      </c>
      <c r="B93">
        <v>2022</v>
      </c>
      <c r="C93" t="s">
        <v>21</v>
      </c>
      <c r="D93" t="s">
        <v>4</v>
      </c>
      <c r="E93">
        <v>0</v>
      </c>
      <c r="F93">
        <v>0</v>
      </c>
      <c r="I93" t="s">
        <v>35</v>
      </c>
      <c r="J93" t="s">
        <v>35</v>
      </c>
      <c r="K93" t="s">
        <v>79</v>
      </c>
      <c r="L93" t="s">
        <v>35</v>
      </c>
      <c r="M93">
        <v>0</v>
      </c>
      <c r="N93" t="s">
        <v>73</v>
      </c>
      <c r="O93" t="s">
        <v>75</v>
      </c>
    </row>
    <row r="94" spans="1:15" x14ac:dyDescent="0.3">
      <c r="A94">
        <v>12</v>
      </c>
      <c r="B94">
        <v>2022</v>
      </c>
      <c r="C94" t="s">
        <v>21</v>
      </c>
      <c r="D94" t="s">
        <v>4</v>
      </c>
      <c r="E94">
        <v>0</v>
      </c>
      <c r="F94">
        <v>0</v>
      </c>
      <c r="I94" t="s">
        <v>35</v>
      </c>
      <c r="J94" t="s">
        <v>35</v>
      </c>
      <c r="K94" t="s">
        <v>79</v>
      </c>
      <c r="L94" t="s">
        <v>35</v>
      </c>
      <c r="M94">
        <v>0</v>
      </c>
      <c r="N94" t="s">
        <v>74</v>
      </c>
      <c r="O94" t="s">
        <v>76</v>
      </c>
    </row>
    <row r="95" spans="1:15" x14ac:dyDescent="0.3">
      <c r="A95">
        <v>12</v>
      </c>
      <c r="B95">
        <v>2022</v>
      </c>
      <c r="C95" t="s">
        <v>21</v>
      </c>
      <c r="D95" t="s">
        <v>5</v>
      </c>
      <c r="E95">
        <v>3565</v>
      </c>
      <c r="F95">
        <v>3552</v>
      </c>
      <c r="G95">
        <v>0.99635343618513328</v>
      </c>
      <c r="H95">
        <v>3.6465638148667212E-3</v>
      </c>
      <c r="J95" t="s">
        <v>40</v>
      </c>
      <c r="K95" t="s">
        <v>80</v>
      </c>
      <c r="L95" t="s">
        <v>81</v>
      </c>
      <c r="M95">
        <v>2.4777299684393497E-3</v>
      </c>
      <c r="N95" t="s">
        <v>72</v>
      </c>
      <c r="O95" t="s">
        <v>75</v>
      </c>
    </row>
    <row r="96" spans="1:15" x14ac:dyDescent="0.3">
      <c r="A96">
        <v>12</v>
      </c>
      <c r="B96">
        <v>2022</v>
      </c>
      <c r="C96" t="s">
        <v>21</v>
      </c>
      <c r="D96" t="s">
        <v>5</v>
      </c>
      <c r="E96">
        <v>3565</v>
      </c>
      <c r="F96">
        <v>3552</v>
      </c>
      <c r="G96">
        <v>0.99635343618513328</v>
      </c>
      <c r="H96">
        <v>3.6465638148667212E-3</v>
      </c>
      <c r="J96" t="s">
        <v>40</v>
      </c>
      <c r="K96" t="s">
        <v>80</v>
      </c>
      <c r="L96" t="s">
        <v>81</v>
      </c>
      <c r="M96">
        <v>2.4777299684393497E-3</v>
      </c>
      <c r="N96" t="s">
        <v>73</v>
      </c>
      <c r="O96" t="s">
        <v>75</v>
      </c>
    </row>
    <row r="97" spans="1:15" x14ac:dyDescent="0.3">
      <c r="A97">
        <v>12</v>
      </c>
      <c r="B97">
        <v>2022</v>
      </c>
      <c r="C97" t="s">
        <v>21</v>
      </c>
      <c r="D97" t="s">
        <v>5</v>
      </c>
      <c r="E97">
        <v>3565</v>
      </c>
      <c r="F97">
        <v>3552</v>
      </c>
      <c r="G97">
        <v>0.99635343618513328</v>
      </c>
      <c r="H97">
        <v>3.6465638148667212E-3</v>
      </c>
      <c r="J97" t="s">
        <v>40</v>
      </c>
      <c r="K97" t="s">
        <v>80</v>
      </c>
      <c r="L97" t="s">
        <v>81</v>
      </c>
      <c r="M97">
        <v>2.4777299684393497E-3</v>
      </c>
      <c r="N97" t="s">
        <v>74</v>
      </c>
      <c r="O97" t="s">
        <v>75</v>
      </c>
    </row>
    <row r="98" spans="1:15" x14ac:dyDescent="0.3">
      <c r="A98">
        <v>12</v>
      </c>
      <c r="B98">
        <v>2022</v>
      </c>
      <c r="C98" t="s">
        <v>21</v>
      </c>
      <c r="D98" t="s">
        <v>6</v>
      </c>
      <c r="E98">
        <v>0</v>
      </c>
      <c r="F98">
        <v>0</v>
      </c>
      <c r="I98" t="s">
        <v>35</v>
      </c>
      <c r="J98" t="s">
        <v>35</v>
      </c>
      <c r="K98" t="s">
        <v>79</v>
      </c>
      <c r="L98" t="s">
        <v>35</v>
      </c>
      <c r="M98">
        <v>0</v>
      </c>
      <c r="N98" t="s">
        <v>72</v>
      </c>
      <c r="O98" t="s">
        <v>75</v>
      </c>
    </row>
    <row r="99" spans="1:15" x14ac:dyDescent="0.3">
      <c r="A99">
        <v>12</v>
      </c>
      <c r="B99">
        <v>2022</v>
      </c>
      <c r="C99" t="s">
        <v>21</v>
      </c>
      <c r="D99" t="s">
        <v>6</v>
      </c>
      <c r="E99">
        <v>0</v>
      </c>
      <c r="F99">
        <v>0</v>
      </c>
      <c r="I99" t="s">
        <v>35</v>
      </c>
      <c r="J99" t="s">
        <v>35</v>
      </c>
      <c r="K99" t="s">
        <v>79</v>
      </c>
      <c r="L99" t="s">
        <v>35</v>
      </c>
      <c r="M99">
        <v>0</v>
      </c>
      <c r="N99" t="s">
        <v>73</v>
      </c>
      <c r="O99" t="s">
        <v>75</v>
      </c>
    </row>
    <row r="100" spans="1:15" x14ac:dyDescent="0.3">
      <c r="A100">
        <v>12</v>
      </c>
      <c r="B100">
        <v>2022</v>
      </c>
      <c r="C100" t="s">
        <v>21</v>
      </c>
      <c r="D100" t="s">
        <v>6</v>
      </c>
      <c r="E100">
        <v>0</v>
      </c>
      <c r="F100">
        <v>0</v>
      </c>
      <c r="I100" t="s">
        <v>35</v>
      </c>
      <c r="J100" t="s">
        <v>35</v>
      </c>
      <c r="K100" t="s">
        <v>79</v>
      </c>
      <c r="L100" t="s">
        <v>35</v>
      </c>
      <c r="M100">
        <v>0</v>
      </c>
      <c r="N100" t="s">
        <v>74</v>
      </c>
      <c r="O100" t="s">
        <v>76</v>
      </c>
    </row>
    <row r="101" spans="1:15" x14ac:dyDescent="0.3">
      <c r="A101">
        <v>12</v>
      </c>
      <c r="B101">
        <v>2022</v>
      </c>
      <c r="C101" t="s">
        <v>21</v>
      </c>
      <c r="D101" t="s">
        <v>7</v>
      </c>
      <c r="E101">
        <v>67799</v>
      </c>
      <c r="F101">
        <v>67700</v>
      </c>
      <c r="G101">
        <v>0.99853980147199817</v>
      </c>
      <c r="H101">
        <v>1.4601985280018326E-3</v>
      </c>
      <c r="J101" t="s">
        <v>40</v>
      </c>
      <c r="K101" t="s">
        <v>80</v>
      </c>
      <c r="L101" t="s">
        <v>81</v>
      </c>
      <c r="M101">
        <v>4.7121350387158339E-2</v>
      </c>
      <c r="N101" t="s">
        <v>72</v>
      </c>
      <c r="O101" t="s">
        <v>75</v>
      </c>
    </row>
    <row r="102" spans="1:15" x14ac:dyDescent="0.3">
      <c r="A102">
        <v>12</v>
      </c>
      <c r="B102">
        <v>2022</v>
      </c>
      <c r="C102" t="s">
        <v>21</v>
      </c>
      <c r="D102" t="s">
        <v>7</v>
      </c>
      <c r="E102">
        <v>67799</v>
      </c>
      <c r="F102">
        <v>67700</v>
      </c>
      <c r="G102">
        <v>0.99853980147199817</v>
      </c>
      <c r="H102">
        <v>1.4601985280018326E-3</v>
      </c>
      <c r="J102" t="s">
        <v>40</v>
      </c>
      <c r="K102" t="s">
        <v>80</v>
      </c>
      <c r="L102" t="s">
        <v>81</v>
      </c>
      <c r="M102">
        <v>4.7121350387158339E-2</v>
      </c>
      <c r="N102" t="s">
        <v>73</v>
      </c>
      <c r="O102" t="s">
        <v>75</v>
      </c>
    </row>
    <row r="103" spans="1:15" x14ac:dyDescent="0.3">
      <c r="A103">
        <v>12</v>
      </c>
      <c r="B103">
        <v>2022</v>
      </c>
      <c r="C103" t="s">
        <v>21</v>
      </c>
      <c r="D103" t="s">
        <v>7</v>
      </c>
      <c r="E103">
        <v>67799</v>
      </c>
      <c r="F103">
        <v>67700</v>
      </c>
      <c r="G103">
        <v>0.99853980147199817</v>
      </c>
      <c r="H103">
        <v>1.4601985280018326E-3</v>
      </c>
      <c r="J103" t="s">
        <v>40</v>
      </c>
      <c r="K103" t="s">
        <v>80</v>
      </c>
      <c r="L103" t="s">
        <v>81</v>
      </c>
      <c r="M103">
        <v>4.7121350387158339E-2</v>
      </c>
      <c r="N103" t="s">
        <v>74</v>
      </c>
      <c r="O103" t="s">
        <v>75</v>
      </c>
    </row>
    <row r="104" spans="1:15" x14ac:dyDescent="0.3">
      <c r="A104">
        <v>12</v>
      </c>
      <c r="B104">
        <v>2022</v>
      </c>
      <c r="C104" t="s">
        <v>21</v>
      </c>
      <c r="D104" t="s">
        <v>8</v>
      </c>
      <c r="E104">
        <v>1646</v>
      </c>
      <c r="F104">
        <v>1642</v>
      </c>
      <c r="G104">
        <v>0.99756986634264888</v>
      </c>
      <c r="H104">
        <v>2.430133657351119E-3</v>
      </c>
      <c r="J104" t="s">
        <v>40</v>
      </c>
      <c r="K104" t="s">
        <v>80</v>
      </c>
      <c r="L104" t="s">
        <v>81</v>
      </c>
      <c r="M104">
        <v>1.143995379537495E-3</v>
      </c>
      <c r="N104" t="s">
        <v>72</v>
      </c>
      <c r="O104" t="s">
        <v>75</v>
      </c>
    </row>
    <row r="105" spans="1:15" x14ac:dyDescent="0.3">
      <c r="A105">
        <v>12</v>
      </c>
      <c r="B105">
        <v>2022</v>
      </c>
      <c r="C105" t="s">
        <v>21</v>
      </c>
      <c r="D105" t="s">
        <v>8</v>
      </c>
      <c r="E105">
        <v>1646</v>
      </c>
      <c r="F105">
        <v>1642</v>
      </c>
      <c r="G105">
        <v>0.99756986634264888</v>
      </c>
      <c r="H105">
        <v>2.430133657351119E-3</v>
      </c>
      <c r="J105" t="s">
        <v>40</v>
      </c>
      <c r="K105" t="s">
        <v>80</v>
      </c>
      <c r="L105" t="s">
        <v>81</v>
      </c>
      <c r="M105">
        <v>1.143995379537495E-3</v>
      </c>
      <c r="N105" t="s">
        <v>73</v>
      </c>
      <c r="O105" t="s">
        <v>75</v>
      </c>
    </row>
    <row r="106" spans="1:15" x14ac:dyDescent="0.3">
      <c r="A106">
        <v>12</v>
      </c>
      <c r="B106">
        <v>2022</v>
      </c>
      <c r="C106" t="s">
        <v>21</v>
      </c>
      <c r="D106" t="s">
        <v>8</v>
      </c>
      <c r="E106">
        <v>1646</v>
      </c>
      <c r="F106">
        <v>1642</v>
      </c>
      <c r="G106">
        <v>0.99756986634264888</v>
      </c>
      <c r="H106">
        <v>2.430133657351119E-3</v>
      </c>
      <c r="J106" t="s">
        <v>40</v>
      </c>
      <c r="K106" t="s">
        <v>80</v>
      </c>
      <c r="L106" t="s">
        <v>81</v>
      </c>
      <c r="M106">
        <v>1.143995379537495E-3</v>
      </c>
      <c r="N106" t="s">
        <v>74</v>
      </c>
      <c r="O106" t="s">
        <v>75</v>
      </c>
    </row>
    <row r="107" spans="1:15" x14ac:dyDescent="0.3">
      <c r="A107">
        <v>12</v>
      </c>
      <c r="B107">
        <v>2022</v>
      </c>
      <c r="C107" t="s">
        <v>21</v>
      </c>
      <c r="D107" t="s">
        <v>9</v>
      </c>
      <c r="E107">
        <v>6713</v>
      </c>
      <c r="F107">
        <v>6701</v>
      </c>
      <c r="G107">
        <v>0.99821242365559359</v>
      </c>
      <c r="H107">
        <v>1.7875763444064052E-3</v>
      </c>
      <c r="J107" t="s">
        <v>40</v>
      </c>
      <c r="K107" t="s">
        <v>80</v>
      </c>
      <c r="L107" t="s">
        <v>81</v>
      </c>
      <c r="M107">
        <v>4.6656385071902817E-3</v>
      </c>
      <c r="N107" t="s">
        <v>72</v>
      </c>
      <c r="O107" t="s">
        <v>75</v>
      </c>
    </row>
    <row r="108" spans="1:15" x14ac:dyDescent="0.3">
      <c r="A108">
        <v>12</v>
      </c>
      <c r="B108">
        <v>2022</v>
      </c>
      <c r="C108" t="s">
        <v>21</v>
      </c>
      <c r="D108" t="s">
        <v>9</v>
      </c>
      <c r="E108">
        <v>6713</v>
      </c>
      <c r="F108">
        <v>6701</v>
      </c>
      <c r="G108">
        <v>0.99821242365559359</v>
      </c>
      <c r="H108">
        <v>1.7875763444064052E-3</v>
      </c>
      <c r="J108" t="s">
        <v>40</v>
      </c>
      <c r="K108" t="s">
        <v>80</v>
      </c>
      <c r="L108" t="s">
        <v>81</v>
      </c>
      <c r="M108">
        <v>4.6656385071902817E-3</v>
      </c>
      <c r="N108" t="s">
        <v>73</v>
      </c>
      <c r="O108" t="s">
        <v>75</v>
      </c>
    </row>
    <row r="109" spans="1:15" x14ac:dyDescent="0.3">
      <c r="A109">
        <v>12</v>
      </c>
      <c r="B109">
        <v>2022</v>
      </c>
      <c r="C109" t="s">
        <v>21</v>
      </c>
      <c r="D109" t="s">
        <v>9</v>
      </c>
      <c r="E109">
        <v>6713</v>
      </c>
      <c r="F109">
        <v>6701</v>
      </c>
      <c r="G109">
        <v>0.99821242365559359</v>
      </c>
      <c r="H109">
        <v>1.7875763444064052E-3</v>
      </c>
      <c r="J109" t="s">
        <v>40</v>
      </c>
      <c r="K109" t="s">
        <v>80</v>
      </c>
      <c r="L109" t="s">
        <v>81</v>
      </c>
      <c r="M109">
        <v>4.6656385071902817E-3</v>
      </c>
      <c r="N109" t="s">
        <v>74</v>
      </c>
      <c r="O109" t="s">
        <v>75</v>
      </c>
    </row>
    <row r="110" spans="1:15" x14ac:dyDescent="0.3">
      <c r="A110">
        <v>12</v>
      </c>
      <c r="B110">
        <v>2022</v>
      </c>
      <c r="C110" t="s">
        <v>26</v>
      </c>
      <c r="D110" t="s">
        <v>4</v>
      </c>
      <c r="E110">
        <v>164</v>
      </c>
      <c r="F110">
        <v>162</v>
      </c>
      <c r="G110">
        <v>0.98780487804878048</v>
      </c>
      <c r="H110">
        <v>1.2195121951219523E-2</v>
      </c>
      <c r="J110" t="s">
        <v>40</v>
      </c>
      <c r="K110" t="s">
        <v>80</v>
      </c>
      <c r="L110" t="s">
        <v>81</v>
      </c>
      <c r="M110">
        <v>1.1398252870239926E-4</v>
      </c>
      <c r="N110" t="s">
        <v>72</v>
      </c>
      <c r="O110" t="s">
        <v>75</v>
      </c>
    </row>
    <row r="111" spans="1:15" x14ac:dyDescent="0.3">
      <c r="A111">
        <v>12</v>
      </c>
      <c r="B111">
        <v>2022</v>
      </c>
      <c r="C111" t="s">
        <v>26</v>
      </c>
      <c r="D111" t="s">
        <v>4</v>
      </c>
      <c r="E111">
        <v>164</v>
      </c>
      <c r="F111">
        <v>162</v>
      </c>
      <c r="G111">
        <v>0.98780487804878048</v>
      </c>
      <c r="H111">
        <v>1.2195121951219523E-2</v>
      </c>
      <c r="J111" t="s">
        <v>40</v>
      </c>
      <c r="K111" t="s">
        <v>80</v>
      </c>
      <c r="L111" t="s">
        <v>81</v>
      </c>
      <c r="M111">
        <v>1.1398252870239926E-4</v>
      </c>
      <c r="N111" t="s">
        <v>73</v>
      </c>
      <c r="O111" t="s">
        <v>75</v>
      </c>
    </row>
    <row r="112" spans="1:15" x14ac:dyDescent="0.3">
      <c r="A112">
        <v>12</v>
      </c>
      <c r="B112">
        <v>2022</v>
      </c>
      <c r="C112" t="s">
        <v>26</v>
      </c>
      <c r="D112" t="s">
        <v>4</v>
      </c>
      <c r="E112">
        <v>164</v>
      </c>
      <c r="F112">
        <v>162</v>
      </c>
      <c r="G112">
        <v>0.98780487804878048</v>
      </c>
      <c r="H112">
        <v>1.2195121951219523E-2</v>
      </c>
      <c r="J112" t="s">
        <v>40</v>
      </c>
      <c r="K112" t="s">
        <v>80</v>
      </c>
      <c r="L112" t="s">
        <v>81</v>
      </c>
      <c r="M112">
        <v>1.1398252870239926E-4</v>
      </c>
      <c r="N112" t="s">
        <v>74</v>
      </c>
      <c r="O112" t="s">
        <v>75</v>
      </c>
    </row>
    <row r="113" spans="1:15" x14ac:dyDescent="0.3">
      <c r="A113">
        <v>12</v>
      </c>
      <c r="B113">
        <v>2022</v>
      </c>
      <c r="C113" t="s">
        <v>26</v>
      </c>
      <c r="D113" t="s">
        <v>5</v>
      </c>
      <c r="E113">
        <v>1555</v>
      </c>
      <c r="F113">
        <v>1552</v>
      </c>
      <c r="G113">
        <v>0.99807073954983927</v>
      </c>
      <c r="H113">
        <v>1.9292604501607302E-3</v>
      </c>
      <c r="J113" t="s">
        <v>40</v>
      </c>
      <c r="K113" t="s">
        <v>80</v>
      </c>
      <c r="L113" t="s">
        <v>81</v>
      </c>
      <c r="M113">
        <v>1.0807489764160419E-3</v>
      </c>
      <c r="N113" t="s">
        <v>72</v>
      </c>
      <c r="O113" t="s">
        <v>75</v>
      </c>
    </row>
    <row r="114" spans="1:15" x14ac:dyDescent="0.3">
      <c r="A114">
        <v>12</v>
      </c>
      <c r="B114">
        <v>2022</v>
      </c>
      <c r="C114" t="s">
        <v>26</v>
      </c>
      <c r="D114" t="s">
        <v>5</v>
      </c>
      <c r="E114">
        <v>1555</v>
      </c>
      <c r="F114">
        <v>1552</v>
      </c>
      <c r="G114">
        <v>0.99807073954983927</v>
      </c>
      <c r="H114">
        <v>1.9292604501607302E-3</v>
      </c>
      <c r="J114" t="s">
        <v>40</v>
      </c>
      <c r="K114" t="s">
        <v>80</v>
      </c>
      <c r="L114" t="s">
        <v>81</v>
      </c>
      <c r="M114">
        <v>1.0807489764160419E-3</v>
      </c>
      <c r="N114" t="s">
        <v>73</v>
      </c>
      <c r="O114" t="s">
        <v>75</v>
      </c>
    </row>
    <row r="115" spans="1:15" x14ac:dyDescent="0.3">
      <c r="A115">
        <v>12</v>
      </c>
      <c r="B115">
        <v>2022</v>
      </c>
      <c r="C115" t="s">
        <v>26</v>
      </c>
      <c r="D115" t="s">
        <v>5</v>
      </c>
      <c r="E115">
        <v>1555</v>
      </c>
      <c r="F115">
        <v>1552</v>
      </c>
      <c r="G115">
        <v>0.99807073954983927</v>
      </c>
      <c r="H115">
        <v>1.9292604501607302E-3</v>
      </c>
      <c r="J115" t="s">
        <v>40</v>
      </c>
      <c r="K115" t="s">
        <v>80</v>
      </c>
      <c r="L115" t="s">
        <v>81</v>
      </c>
      <c r="M115">
        <v>1.0807489764160419E-3</v>
      </c>
      <c r="N115" t="s">
        <v>74</v>
      </c>
      <c r="O115" t="s">
        <v>75</v>
      </c>
    </row>
    <row r="116" spans="1:15" x14ac:dyDescent="0.3">
      <c r="A116">
        <v>12</v>
      </c>
      <c r="B116">
        <v>2022</v>
      </c>
      <c r="C116" t="s">
        <v>26</v>
      </c>
      <c r="D116" t="s">
        <v>6</v>
      </c>
      <c r="E116">
        <v>22</v>
      </c>
      <c r="F116">
        <v>22</v>
      </c>
      <c r="G116">
        <v>1</v>
      </c>
      <c r="H116">
        <v>0</v>
      </c>
      <c r="J116" t="s">
        <v>40</v>
      </c>
      <c r="K116" t="s">
        <v>82</v>
      </c>
      <c r="L116" t="s">
        <v>83</v>
      </c>
      <c r="M116">
        <v>1.5290339216175512E-5</v>
      </c>
      <c r="N116" t="s">
        <v>72</v>
      </c>
      <c r="O116" t="s">
        <v>75</v>
      </c>
    </row>
    <row r="117" spans="1:15" x14ac:dyDescent="0.3">
      <c r="A117">
        <v>12</v>
      </c>
      <c r="B117">
        <v>2022</v>
      </c>
      <c r="C117" t="s">
        <v>26</v>
      </c>
      <c r="D117" t="s">
        <v>6</v>
      </c>
      <c r="E117">
        <v>22</v>
      </c>
      <c r="F117">
        <v>22</v>
      </c>
      <c r="G117">
        <v>1</v>
      </c>
      <c r="H117">
        <v>0</v>
      </c>
      <c r="J117" t="s">
        <v>40</v>
      </c>
      <c r="K117" t="s">
        <v>82</v>
      </c>
      <c r="L117" t="s">
        <v>83</v>
      </c>
      <c r="M117">
        <v>1.5290339216175512E-5</v>
      </c>
      <c r="N117" t="s">
        <v>73</v>
      </c>
      <c r="O117" t="s">
        <v>75</v>
      </c>
    </row>
    <row r="118" spans="1:15" x14ac:dyDescent="0.3">
      <c r="A118">
        <v>12</v>
      </c>
      <c r="B118">
        <v>2022</v>
      </c>
      <c r="C118" t="s">
        <v>26</v>
      </c>
      <c r="D118" t="s">
        <v>6</v>
      </c>
      <c r="E118">
        <v>22</v>
      </c>
      <c r="F118">
        <v>22</v>
      </c>
      <c r="G118">
        <v>1</v>
      </c>
      <c r="H118">
        <v>0</v>
      </c>
      <c r="J118" t="s">
        <v>40</v>
      </c>
      <c r="K118" t="s">
        <v>82</v>
      </c>
      <c r="L118" t="s">
        <v>83</v>
      </c>
      <c r="M118">
        <v>1.5290339216175512E-5</v>
      </c>
      <c r="N118" t="s">
        <v>74</v>
      </c>
      <c r="O118" t="s">
        <v>75</v>
      </c>
    </row>
    <row r="119" spans="1:15" x14ac:dyDescent="0.3">
      <c r="A119">
        <v>12</v>
      </c>
      <c r="B119">
        <v>2022</v>
      </c>
      <c r="C119" t="s">
        <v>26</v>
      </c>
      <c r="D119" t="s">
        <v>7</v>
      </c>
      <c r="E119">
        <v>62473</v>
      </c>
      <c r="F119">
        <v>62094</v>
      </c>
      <c r="G119">
        <v>0.99393337921982294</v>
      </c>
      <c r="H119">
        <v>6.0666207801770566E-3</v>
      </c>
      <c r="J119" t="s">
        <v>40</v>
      </c>
      <c r="K119" t="s">
        <v>80</v>
      </c>
      <c r="L119" t="s">
        <v>81</v>
      </c>
      <c r="M119">
        <v>4.3419698266006029E-2</v>
      </c>
      <c r="N119" t="s">
        <v>72</v>
      </c>
      <c r="O119" t="s">
        <v>75</v>
      </c>
    </row>
    <row r="120" spans="1:15" x14ac:dyDescent="0.3">
      <c r="A120">
        <v>12</v>
      </c>
      <c r="B120">
        <v>2022</v>
      </c>
      <c r="C120" t="s">
        <v>26</v>
      </c>
      <c r="D120" t="s">
        <v>7</v>
      </c>
      <c r="E120">
        <v>62473</v>
      </c>
      <c r="F120">
        <v>62094</v>
      </c>
      <c r="G120">
        <v>0.99393337921982294</v>
      </c>
      <c r="H120">
        <v>6.0666207801770566E-3</v>
      </c>
      <c r="J120" t="s">
        <v>40</v>
      </c>
      <c r="K120" t="s">
        <v>80</v>
      </c>
      <c r="L120" t="s">
        <v>81</v>
      </c>
      <c r="M120">
        <v>4.3419698266006029E-2</v>
      </c>
      <c r="N120" t="s">
        <v>73</v>
      </c>
      <c r="O120" t="s">
        <v>75</v>
      </c>
    </row>
    <row r="121" spans="1:15" x14ac:dyDescent="0.3">
      <c r="A121">
        <v>12</v>
      </c>
      <c r="B121">
        <v>2022</v>
      </c>
      <c r="C121" t="s">
        <v>26</v>
      </c>
      <c r="D121" t="s">
        <v>7</v>
      </c>
      <c r="E121">
        <v>62473</v>
      </c>
      <c r="F121">
        <v>62094</v>
      </c>
      <c r="G121">
        <v>0.99393337921982294</v>
      </c>
      <c r="H121">
        <v>6.0666207801770566E-3</v>
      </c>
      <c r="J121" t="s">
        <v>40</v>
      </c>
      <c r="K121" t="s">
        <v>80</v>
      </c>
      <c r="L121" t="s">
        <v>81</v>
      </c>
      <c r="M121">
        <v>4.3419698266006029E-2</v>
      </c>
      <c r="N121" t="s">
        <v>74</v>
      </c>
      <c r="O121" t="s">
        <v>75</v>
      </c>
    </row>
    <row r="122" spans="1:15" x14ac:dyDescent="0.3">
      <c r="A122">
        <v>12</v>
      </c>
      <c r="B122">
        <v>2022</v>
      </c>
      <c r="C122" t="s">
        <v>26</v>
      </c>
      <c r="D122" t="s">
        <v>8</v>
      </c>
      <c r="E122">
        <v>1120</v>
      </c>
      <c r="F122">
        <v>1117</v>
      </c>
      <c r="G122">
        <v>0.99732142857142858</v>
      </c>
      <c r="H122">
        <v>2.6785714285714191E-3</v>
      </c>
      <c r="J122" t="s">
        <v>40</v>
      </c>
      <c r="K122" t="s">
        <v>80</v>
      </c>
      <c r="L122" t="s">
        <v>81</v>
      </c>
      <c r="M122">
        <v>7.7841726918711693E-4</v>
      </c>
      <c r="N122" t="s">
        <v>72</v>
      </c>
      <c r="O122" t="s">
        <v>75</v>
      </c>
    </row>
    <row r="123" spans="1:15" x14ac:dyDescent="0.3">
      <c r="A123">
        <v>12</v>
      </c>
      <c r="B123">
        <v>2022</v>
      </c>
      <c r="C123" t="s">
        <v>26</v>
      </c>
      <c r="D123" t="s">
        <v>8</v>
      </c>
      <c r="E123">
        <v>1120</v>
      </c>
      <c r="F123">
        <v>1117</v>
      </c>
      <c r="G123">
        <v>0.99732142857142858</v>
      </c>
      <c r="H123">
        <v>2.6785714285714191E-3</v>
      </c>
      <c r="J123" t="s">
        <v>40</v>
      </c>
      <c r="K123" t="s">
        <v>80</v>
      </c>
      <c r="L123" t="s">
        <v>81</v>
      </c>
      <c r="M123">
        <v>7.7841726918711693E-4</v>
      </c>
      <c r="N123" t="s">
        <v>73</v>
      </c>
      <c r="O123" t="s">
        <v>75</v>
      </c>
    </row>
    <row r="124" spans="1:15" x14ac:dyDescent="0.3">
      <c r="A124">
        <v>12</v>
      </c>
      <c r="B124">
        <v>2022</v>
      </c>
      <c r="C124" t="s">
        <v>26</v>
      </c>
      <c r="D124" t="s">
        <v>8</v>
      </c>
      <c r="E124">
        <v>1120</v>
      </c>
      <c r="F124">
        <v>1117</v>
      </c>
      <c r="G124">
        <v>0.99732142857142858</v>
      </c>
      <c r="H124">
        <v>2.6785714285714191E-3</v>
      </c>
      <c r="J124" t="s">
        <v>40</v>
      </c>
      <c r="K124" t="s">
        <v>80</v>
      </c>
      <c r="L124" t="s">
        <v>81</v>
      </c>
      <c r="M124">
        <v>7.7841726918711693E-4</v>
      </c>
      <c r="N124" t="s">
        <v>74</v>
      </c>
      <c r="O124" t="s">
        <v>75</v>
      </c>
    </row>
    <row r="125" spans="1:15" x14ac:dyDescent="0.3">
      <c r="A125">
        <v>12</v>
      </c>
      <c r="B125">
        <v>2022</v>
      </c>
      <c r="C125" t="s">
        <v>26</v>
      </c>
      <c r="D125" t="s">
        <v>9</v>
      </c>
      <c r="E125">
        <v>4312</v>
      </c>
      <c r="F125">
        <v>4307</v>
      </c>
      <c r="G125">
        <v>0.99884044526901672</v>
      </c>
      <c r="H125">
        <v>1.159554730983281E-3</v>
      </c>
      <c r="J125" t="s">
        <v>40</v>
      </c>
      <c r="K125" t="s">
        <v>80</v>
      </c>
      <c r="L125" t="s">
        <v>81</v>
      </c>
      <c r="M125">
        <v>2.9969064863704003E-3</v>
      </c>
      <c r="N125" t="s">
        <v>72</v>
      </c>
      <c r="O125" t="s">
        <v>75</v>
      </c>
    </row>
    <row r="126" spans="1:15" x14ac:dyDescent="0.3">
      <c r="A126">
        <v>12</v>
      </c>
      <c r="B126">
        <v>2022</v>
      </c>
      <c r="C126" t="s">
        <v>26</v>
      </c>
      <c r="D126" t="s">
        <v>9</v>
      </c>
      <c r="E126">
        <v>4312</v>
      </c>
      <c r="F126">
        <v>4307</v>
      </c>
      <c r="G126">
        <v>0.99884044526901672</v>
      </c>
      <c r="H126">
        <v>1.159554730983281E-3</v>
      </c>
      <c r="J126" t="s">
        <v>40</v>
      </c>
      <c r="K126" t="s">
        <v>80</v>
      </c>
      <c r="L126" t="s">
        <v>81</v>
      </c>
      <c r="M126">
        <v>2.9969064863704003E-3</v>
      </c>
      <c r="N126" t="s">
        <v>73</v>
      </c>
      <c r="O126" t="s">
        <v>75</v>
      </c>
    </row>
    <row r="127" spans="1:15" x14ac:dyDescent="0.3">
      <c r="A127">
        <v>12</v>
      </c>
      <c r="B127">
        <v>2022</v>
      </c>
      <c r="C127" t="s">
        <v>26</v>
      </c>
      <c r="D127" t="s">
        <v>9</v>
      </c>
      <c r="E127">
        <v>4312</v>
      </c>
      <c r="F127">
        <v>4307</v>
      </c>
      <c r="G127">
        <v>0.99884044526901672</v>
      </c>
      <c r="H127">
        <v>1.159554730983281E-3</v>
      </c>
      <c r="J127" t="s">
        <v>40</v>
      </c>
      <c r="K127" t="s">
        <v>80</v>
      </c>
      <c r="L127" t="s">
        <v>81</v>
      </c>
      <c r="M127">
        <v>2.9969064863704003E-3</v>
      </c>
      <c r="N127" t="s">
        <v>74</v>
      </c>
      <c r="O127" t="s">
        <v>75</v>
      </c>
    </row>
    <row r="128" spans="1:15" x14ac:dyDescent="0.3">
      <c r="A128">
        <v>12</v>
      </c>
      <c r="B128">
        <v>2022</v>
      </c>
      <c r="C128" t="s">
        <v>15</v>
      </c>
      <c r="D128" t="s">
        <v>4</v>
      </c>
      <c r="E128">
        <v>0</v>
      </c>
      <c r="F128">
        <v>0</v>
      </c>
      <c r="I128" t="s">
        <v>35</v>
      </c>
      <c r="J128" t="s">
        <v>35</v>
      </c>
      <c r="K128" t="s">
        <v>79</v>
      </c>
      <c r="L128" t="s">
        <v>35</v>
      </c>
      <c r="M128">
        <v>0</v>
      </c>
      <c r="N128" t="s">
        <v>72</v>
      </c>
      <c r="O128" t="s">
        <v>75</v>
      </c>
    </row>
    <row r="129" spans="1:15" x14ac:dyDescent="0.3">
      <c r="A129">
        <v>12</v>
      </c>
      <c r="B129">
        <v>2022</v>
      </c>
      <c r="C129" t="s">
        <v>15</v>
      </c>
      <c r="D129" t="s">
        <v>4</v>
      </c>
      <c r="E129">
        <v>0</v>
      </c>
      <c r="F129">
        <v>0</v>
      </c>
      <c r="I129" t="s">
        <v>35</v>
      </c>
      <c r="J129" t="s">
        <v>35</v>
      </c>
      <c r="K129" t="s">
        <v>79</v>
      </c>
      <c r="L129" t="s">
        <v>35</v>
      </c>
      <c r="M129">
        <v>0</v>
      </c>
      <c r="N129" t="s">
        <v>73</v>
      </c>
      <c r="O129" t="s">
        <v>75</v>
      </c>
    </row>
    <row r="130" spans="1:15" x14ac:dyDescent="0.3">
      <c r="A130">
        <v>12</v>
      </c>
      <c r="B130">
        <v>2022</v>
      </c>
      <c r="C130" t="s">
        <v>15</v>
      </c>
      <c r="D130" t="s">
        <v>4</v>
      </c>
      <c r="E130">
        <v>0</v>
      </c>
      <c r="F130">
        <v>0</v>
      </c>
      <c r="I130" t="s">
        <v>35</v>
      </c>
      <c r="J130" t="s">
        <v>35</v>
      </c>
      <c r="K130" t="s">
        <v>79</v>
      </c>
      <c r="L130" t="s">
        <v>35</v>
      </c>
      <c r="M130">
        <v>0</v>
      </c>
      <c r="N130" t="s">
        <v>74</v>
      </c>
      <c r="O130" t="s">
        <v>76</v>
      </c>
    </row>
    <row r="131" spans="1:15" x14ac:dyDescent="0.3">
      <c r="A131">
        <v>12</v>
      </c>
      <c r="B131">
        <v>2022</v>
      </c>
      <c r="C131" t="s">
        <v>15</v>
      </c>
      <c r="D131" t="s">
        <v>5</v>
      </c>
      <c r="E131">
        <v>100216</v>
      </c>
      <c r="F131">
        <v>99566</v>
      </c>
      <c r="G131">
        <v>0.99351400973896387</v>
      </c>
      <c r="H131">
        <v>6.4859902610361342E-3</v>
      </c>
      <c r="J131" t="s">
        <v>40</v>
      </c>
      <c r="K131" t="s">
        <v>80</v>
      </c>
      <c r="L131" t="s">
        <v>81</v>
      </c>
      <c r="M131">
        <v>6.965166522219296E-2</v>
      </c>
      <c r="N131" t="s">
        <v>72</v>
      </c>
      <c r="O131" t="s">
        <v>75</v>
      </c>
    </row>
    <row r="132" spans="1:15" x14ac:dyDescent="0.3">
      <c r="A132">
        <v>12</v>
      </c>
      <c r="B132">
        <v>2022</v>
      </c>
      <c r="C132" t="s">
        <v>15</v>
      </c>
      <c r="D132" t="s">
        <v>5</v>
      </c>
      <c r="E132">
        <v>100216</v>
      </c>
      <c r="F132">
        <v>99566</v>
      </c>
      <c r="G132">
        <v>0.99351400973896387</v>
      </c>
      <c r="H132">
        <v>6.4859902610361342E-3</v>
      </c>
      <c r="J132" t="s">
        <v>40</v>
      </c>
      <c r="K132" t="s">
        <v>80</v>
      </c>
      <c r="L132" t="s">
        <v>81</v>
      </c>
      <c r="M132">
        <v>6.965166522219296E-2</v>
      </c>
      <c r="N132" t="s">
        <v>73</v>
      </c>
      <c r="O132" t="s">
        <v>75</v>
      </c>
    </row>
    <row r="133" spans="1:15" x14ac:dyDescent="0.3">
      <c r="A133">
        <v>12</v>
      </c>
      <c r="B133">
        <v>2022</v>
      </c>
      <c r="C133" t="s">
        <v>15</v>
      </c>
      <c r="D133" t="s">
        <v>5</v>
      </c>
      <c r="E133">
        <v>100216</v>
      </c>
      <c r="F133">
        <v>99566</v>
      </c>
      <c r="G133">
        <v>0.99351400973896387</v>
      </c>
      <c r="H133">
        <v>6.4859902610361342E-3</v>
      </c>
      <c r="J133" t="s">
        <v>40</v>
      </c>
      <c r="K133" t="s">
        <v>80</v>
      </c>
      <c r="L133" t="s">
        <v>81</v>
      </c>
      <c r="M133">
        <v>6.965166522219296E-2</v>
      </c>
      <c r="N133" t="s">
        <v>74</v>
      </c>
      <c r="O133" t="s">
        <v>75</v>
      </c>
    </row>
    <row r="134" spans="1:15" x14ac:dyDescent="0.3">
      <c r="A134">
        <v>12</v>
      </c>
      <c r="B134">
        <v>2022</v>
      </c>
      <c r="C134" t="s">
        <v>15</v>
      </c>
      <c r="D134" t="s">
        <v>6</v>
      </c>
      <c r="E134">
        <v>6420</v>
      </c>
      <c r="F134">
        <v>6393</v>
      </c>
      <c r="G134">
        <v>0.99579439252336444</v>
      </c>
      <c r="H134">
        <v>4.2056074766355644E-3</v>
      </c>
      <c r="J134" t="s">
        <v>40</v>
      </c>
      <c r="K134" t="s">
        <v>80</v>
      </c>
      <c r="L134" t="s">
        <v>81</v>
      </c>
      <c r="M134">
        <v>4.4619989894475812E-3</v>
      </c>
      <c r="N134" t="s">
        <v>72</v>
      </c>
      <c r="O134" t="s">
        <v>75</v>
      </c>
    </row>
    <row r="135" spans="1:15" x14ac:dyDescent="0.3">
      <c r="A135">
        <v>12</v>
      </c>
      <c r="B135">
        <v>2022</v>
      </c>
      <c r="C135" t="s">
        <v>15</v>
      </c>
      <c r="D135" t="s">
        <v>6</v>
      </c>
      <c r="E135">
        <v>6420</v>
      </c>
      <c r="F135">
        <v>6393</v>
      </c>
      <c r="G135">
        <v>0.99579439252336444</v>
      </c>
      <c r="H135">
        <v>4.2056074766355644E-3</v>
      </c>
      <c r="J135" t="s">
        <v>40</v>
      </c>
      <c r="K135" t="s">
        <v>80</v>
      </c>
      <c r="L135" t="s">
        <v>81</v>
      </c>
      <c r="M135">
        <v>4.4619989894475812E-3</v>
      </c>
      <c r="N135" t="s">
        <v>73</v>
      </c>
      <c r="O135" t="s">
        <v>75</v>
      </c>
    </row>
    <row r="136" spans="1:15" x14ac:dyDescent="0.3">
      <c r="A136">
        <v>12</v>
      </c>
      <c r="B136">
        <v>2022</v>
      </c>
      <c r="C136" t="s">
        <v>15</v>
      </c>
      <c r="D136" t="s">
        <v>6</v>
      </c>
      <c r="E136">
        <v>6420</v>
      </c>
      <c r="F136">
        <v>6393</v>
      </c>
      <c r="G136">
        <v>0.99579439252336444</v>
      </c>
      <c r="H136">
        <v>4.2056074766355644E-3</v>
      </c>
      <c r="J136" t="s">
        <v>40</v>
      </c>
      <c r="K136" t="s">
        <v>80</v>
      </c>
      <c r="L136" t="s">
        <v>81</v>
      </c>
      <c r="M136">
        <v>4.4619989894475812E-3</v>
      </c>
      <c r="N136" t="s">
        <v>74</v>
      </c>
      <c r="O136" t="s">
        <v>75</v>
      </c>
    </row>
    <row r="137" spans="1:15" x14ac:dyDescent="0.3">
      <c r="A137">
        <v>12</v>
      </c>
      <c r="B137">
        <v>2022</v>
      </c>
      <c r="C137" t="s">
        <v>15</v>
      </c>
      <c r="D137" t="s">
        <v>7</v>
      </c>
      <c r="E137">
        <v>64953</v>
      </c>
      <c r="F137">
        <v>64774</v>
      </c>
      <c r="G137">
        <v>0.99724416116268688</v>
      </c>
      <c r="H137">
        <v>2.7558388373131182E-3</v>
      </c>
      <c r="J137" t="s">
        <v>40</v>
      </c>
      <c r="K137" t="s">
        <v>80</v>
      </c>
      <c r="L137" t="s">
        <v>81</v>
      </c>
      <c r="M137">
        <v>4.5143336504920362E-2</v>
      </c>
      <c r="N137" t="s">
        <v>72</v>
      </c>
      <c r="O137" t="s">
        <v>75</v>
      </c>
    </row>
    <row r="138" spans="1:15" x14ac:dyDescent="0.3">
      <c r="A138">
        <v>12</v>
      </c>
      <c r="B138">
        <v>2022</v>
      </c>
      <c r="C138" t="s">
        <v>15</v>
      </c>
      <c r="D138" t="s">
        <v>7</v>
      </c>
      <c r="E138">
        <v>64953</v>
      </c>
      <c r="F138">
        <v>64774</v>
      </c>
      <c r="G138">
        <v>0.99724416116268688</v>
      </c>
      <c r="H138">
        <v>2.7558388373131182E-3</v>
      </c>
      <c r="J138" t="s">
        <v>40</v>
      </c>
      <c r="K138" t="s">
        <v>80</v>
      </c>
      <c r="L138" t="s">
        <v>81</v>
      </c>
      <c r="M138">
        <v>4.5143336504920362E-2</v>
      </c>
      <c r="N138" t="s">
        <v>73</v>
      </c>
      <c r="O138" t="s">
        <v>75</v>
      </c>
    </row>
    <row r="139" spans="1:15" x14ac:dyDescent="0.3">
      <c r="A139">
        <v>12</v>
      </c>
      <c r="B139">
        <v>2022</v>
      </c>
      <c r="C139" t="s">
        <v>15</v>
      </c>
      <c r="D139" t="s">
        <v>7</v>
      </c>
      <c r="E139">
        <v>64953</v>
      </c>
      <c r="F139">
        <v>64774</v>
      </c>
      <c r="G139">
        <v>0.99724416116268688</v>
      </c>
      <c r="H139">
        <v>2.7558388373131182E-3</v>
      </c>
      <c r="J139" t="s">
        <v>40</v>
      </c>
      <c r="K139" t="s">
        <v>80</v>
      </c>
      <c r="L139" t="s">
        <v>81</v>
      </c>
      <c r="M139">
        <v>4.5143336504920362E-2</v>
      </c>
      <c r="N139" t="s">
        <v>74</v>
      </c>
      <c r="O139" t="s">
        <v>75</v>
      </c>
    </row>
    <row r="140" spans="1:15" x14ac:dyDescent="0.3">
      <c r="A140">
        <v>12</v>
      </c>
      <c r="B140">
        <v>2022</v>
      </c>
      <c r="C140" t="s">
        <v>15</v>
      </c>
      <c r="D140" t="s">
        <v>8</v>
      </c>
      <c r="E140">
        <v>81</v>
      </c>
      <c r="F140">
        <v>81</v>
      </c>
      <c r="G140">
        <v>1</v>
      </c>
      <c r="H140">
        <v>0</v>
      </c>
      <c r="J140" t="s">
        <v>40</v>
      </c>
      <c r="K140" t="s">
        <v>82</v>
      </c>
      <c r="L140" t="s">
        <v>83</v>
      </c>
      <c r="M140">
        <v>5.6296248932282561E-5</v>
      </c>
      <c r="N140" t="s">
        <v>72</v>
      </c>
      <c r="O140" t="s">
        <v>75</v>
      </c>
    </row>
    <row r="141" spans="1:15" x14ac:dyDescent="0.3">
      <c r="A141">
        <v>12</v>
      </c>
      <c r="B141">
        <v>2022</v>
      </c>
      <c r="C141" t="s">
        <v>15</v>
      </c>
      <c r="D141" t="s">
        <v>8</v>
      </c>
      <c r="E141">
        <v>81</v>
      </c>
      <c r="F141">
        <v>81</v>
      </c>
      <c r="G141">
        <v>1</v>
      </c>
      <c r="H141">
        <v>0</v>
      </c>
      <c r="J141" t="s">
        <v>40</v>
      </c>
      <c r="K141" t="s">
        <v>82</v>
      </c>
      <c r="L141" t="s">
        <v>83</v>
      </c>
      <c r="M141">
        <v>5.6296248932282561E-5</v>
      </c>
      <c r="N141" t="s">
        <v>73</v>
      </c>
      <c r="O141" t="s">
        <v>75</v>
      </c>
    </row>
    <row r="142" spans="1:15" x14ac:dyDescent="0.3">
      <c r="A142">
        <v>12</v>
      </c>
      <c r="B142">
        <v>2022</v>
      </c>
      <c r="C142" t="s">
        <v>15</v>
      </c>
      <c r="D142" t="s">
        <v>8</v>
      </c>
      <c r="E142">
        <v>81</v>
      </c>
      <c r="F142">
        <v>81</v>
      </c>
      <c r="G142">
        <v>1</v>
      </c>
      <c r="H142">
        <v>0</v>
      </c>
      <c r="J142" t="s">
        <v>40</v>
      </c>
      <c r="K142" t="s">
        <v>82</v>
      </c>
      <c r="L142" t="s">
        <v>83</v>
      </c>
      <c r="M142">
        <v>5.6296248932282561E-5</v>
      </c>
      <c r="N142" t="s">
        <v>74</v>
      </c>
      <c r="O142" t="s">
        <v>75</v>
      </c>
    </row>
    <row r="143" spans="1:15" x14ac:dyDescent="0.3">
      <c r="A143">
        <v>12</v>
      </c>
      <c r="B143">
        <v>2022</v>
      </c>
      <c r="C143" t="s">
        <v>15</v>
      </c>
      <c r="D143" t="s">
        <v>9</v>
      </c>
      <c r="E143">
        <v>6669</v>
      </c>
      <c r="F143">
        <v>6661</v>
      </c>
      <c r="G143">
        <v>0.99880041985305146</v>
      </c>
      <c r="H143">
        <v>1.1995801469485423E-3</v>
      </c>
      <c r="J143" t="s">
        <v>40</v>
      </c>
      <c r="K143" t="s">
        <v>80</v>
      </c>
      <c r="L143" t="s">
        <v>81</v>
      </c>
      <c r="M143">
        <v>4.6350578287579309E-3</v>
      </c>
      <c r="N143" t="s">
        <v>72</v>
      </c>
      <c r="O143" t="s">
        <v>75</v>
      </c>
    </row>
    <row r="144" spans="1:15" x14ac:dyDescent="0.3">
      <c r="A144">
        <v>12</v>
      </c>
      <c r="B144">
        <v>2022</v>
      </c>
      <c r="C144" t="s">
        <v>15</v>
      </c>
      <c r="D144" t="s">
        <v>9</v>
      </c>
      <c r="E144">
        <v>6669</v>
      </c>
      <c r="F144">
        <v>6661</v>
      </c>
      <c r="G144">
        <v>0.99880041985305146</v>
      </c>
      <c r="H144">
        <v>1.1995801469485423E-3</v>
      </c>
      <c r="J144" t="s">
        <v>40</v>
      </c>
      <c r="K144" t="s">
        <v>80</v>
      </c>
      <c r="L144" t="s">
        <v>81</v>
      </c>
      <c r="M144">
        <v>4.6350578287579309E-3</v>
      </c>
      <c r="N144" t="s">
        <v>73</v>
      </c>
      <c r="O144" t="s">
        <v>75</v>
      </c>
    </row>
    <row r="145" spans="1:15" x14ac:dyDescent="0.3">
      <c r="A145">
        <v>12</v>
      </c>
      <c r="B145">
        <v>2022</v>
      </c>
      <c r="C145" t="s">
        <v>15</v>
      </c>
      <c r="D145" t="s">
        <v>9</v>
      </c>
      <c r="E145">
        <v>6669</v>
      </c>
      <c r="F145">
        <v>6661</v>
      </c>
      <c r="G145">
        <v>0.99880041985305146</v>
      </c>
      <c r="H145">
        <v>1.1995801469485423E-3</v>
      </c>
      <c r="J145" t="s">
        <v>40</v>
      </c>
      <c r="K145" t="s">
        <v>80</v>
      </c>
      <c r="L145" t="s">
        <v>81</v>
      </c>
      <c r="M145">
        <v>4.6350578287579309E-3</v>
      </c>
      <c r="N145" t="s">
        <v>74</v>
      </c>
      <c r="O145" t="s">
        <v>75</v>
      </c>
    </row>
    <row r="146" spans="1:15" x14ac:dyDescent="0.3">
      <c r="A146">
        <v>12</v>
      </c>
      <c r="B146">
        <v>2022</v>
      </c>
      <c r="C146" t="s">
        <v>27</v>
      </c>
      <c r="D146" t="s">
        <v>4</v>
      </c>
      <c r="E146">
        <v>0</v>
      </c>
      <c r="F146">
        <v>0</v>
      </c>
      <c r="I146" t="s">
        <v>35</v>
      </c>
      <c r="J146" t="s">
        <v>35</v>
      </c>
      <c r="K146" t="s">
        <v>79</v>
      </c>
      <c r="L146" t="s">
        <v>35</v>
      </c>
      <c r="M146">
        <v>0</v>
      </c>
      <c r="N146" t="s">
        <v>72</v>
      </c>
      <c r="O146" t="s">
        <v>75</v>
      </c>
    </row>
    <row r="147" spans="1:15" x14ac:dyDescent="0.3">
      <c r="A147">
        <v>12</v>
      </c>
      <c r="B147">
        <v>2022</v>
      </c>
      <c r="C147" t="s">
        <v>27</v>
      </c>
      <c r="D147" t="s">
        <v>4</v>
      </c>
      <c r="E147">
        <v>0</v>
      </c>
      <c r="F147">
        <v>0</v>
      </c>
      <c r="I147" t="s">
        <v>35</v>
      </c>
      <c r="J147" t="s">
        <v>35</v>
      </c>
      <c r="K147" t="s">
        <v>79</v>
      </c>
      <c r="L147" t="s">
        <v>35</v>
      </c>
      <c r="M147">
        <v>0</v>
      </c>
      <c r="N147" t="s">
        <v>73</v>
      </c>
      <c r="O147" t="s">
        <v>75</v>
      </c>
    </row>
    <row r="148" spans="1:15" x14ac:dyDescent="0.3">
      <c r="A148">
        <v>12</v>
      </c>
      <c r="B148">
        <v>2022</v>
      </c>
      <c r="C148" t="s">
        <v>27</v>
      </c>
      <c r="D148" t="s">
        <v>4</v>
      </c>
      <c r="E148">
        <v>0</v>
      </c>
      <c r="F148">
        <v>0</v>
      </c>
      <c r="I148" t="s">
        <v>35</v>
      </c>
      <c r="J148" t="s">
        <v>35</v>
      </c>
      <c r="K148" t="s">
        <v>79</v>
      </c>
      <c r="L148" t="s">
        <v>35</v>
      </c>
      <c r="M148">
        <v>0</v>
      </c>
      <c r="N148" t="s">
        <v>74</v>
      </c>
      <c r="O148" t="s">
        <v>76</v>
      </c>
    </row>
    <row r="149" spans="1:15" x14ac:dyDescent="0.3">
      <c r="A149">
        <v>12</v>
      </c>
      <c r="B149">
        <v>2022</v>
      </c>
      <c r="C149" t="s">
        <v>27</v>
      </c>
      <c r="D149" t="s">
        <v>5</v>
      </c>
      <c r="E149">
        <v>69504</v>
      </c>
      <c r="F149">
        <v>69109</v>
      </c>
      <c r="G149">
        <v>0.99431687384898715</v>
      </c>
      <c r="H149">
        <v>5.6831261510128517E-3</v>
      </c>
      <c r="J149" t="s">
        <v>40</v>
      </c>
      <c r="K149" t="s">
        <v>80</v>
      </c>
      <c r="L149" t="s">
        <v>81</v>
      </c>
      <c r="M149">
        <v>4.8306351676411945E-2</v>
      </c>
      <c r="N149" t="s">
        <v>72</v>
      </c>
      <c r="O149" t="s">
        <v>75</v>
      </c>
    </row>
    <row r="150" spans="1:15" x14ac:dyDescent="0.3">
      <c r="A150">
        <v>12</v>
      </c>
      <c r="B150">
        <v>2022</v>
      </c>
      <c r="C150" t="s">
        <v>27</v>
      </c>
      <c r="D150" t="s">
        <v>5</v>
      </c>
      <c r="E150">
        <v>69504</v>
      </c>
      <c r="F150">
        <v>69109</v>
      </c>
      <c r="G150">
        <v>0.99431687384898715</v>
      </c>
      <c r="H150">
        <v>5.6831261510128517E-3</v>
      </c>
      <c r="J150" t="s">
        <v>40</v>
      </c>
      <c r="K150" t="s">
        <v>80</v>
      </c>
      <c r="L150" t="s">
        <v>81</v>
      </c>
      <c r="M150">
        <v>4.8306351676411945E-2</v>
      </c>
      <c r="N150" t="s">
        <v>73</v>
      </c>
      <c r="O150" t="s">
        <v>75</v>
      </c>
    </row>
    <row r="151" spans="1:15" x14ac:dyDescent="0.3">
      <c r="A151">
        <v>12</v>
      </c>
      <c r="B151">
        <v>2022</v>
      </c>
      <c r="C151" t="s">
        <v>27</v>
      </c>
      <c r="D151" t="s">
        <v>5</v>
      </c>
      <c r="E151">
        <v>69504</v>
      </c>
      <c r="F151">
        <v>69109</v>
      </c>
      <c r="G151">
        <v>0.99431687384898715</v>
      </c>
      <c r="H151">
        <v>5.6831261510128517E-3</v>
      </c>
      <c r="J151" t="s">
        <v>40</v>
      </c>
      <c r="K151" t="s">
        <v>80</v>
      </c>
      <c r="L151" t="s">
        <v>81</v>
      </c>
      <c r="M151">
        <v>4.8306351676411945E-2</v>
      </c>
      <c r="N151" t="s">
        <v>74</v>
      </c>
      <c r="O151" t="s">
        <v>75</v>
      </c>
    </row>
    <row r="152" spans="1:15" x14ac:dyDescent="0.3">
      <c r="A152">
        <v>12</v>
      </c>
      <c r="B152">
        <v>2022</v>
      </c>
      <c r="C152" t="s">
        <v>27</v>
      </c>
      <c r="D152" t="s">
        <v>6</v>
      </c>
      <c r="E152">
        <v>7775</v>
      </c>
      <c r="F152">
        <v>7743</v>
      </c>
      <c r="G152">
        <v>0.99588424437299039</v>
      </c>
      <c r="H152">
        <v>4.1157556270096096E-3</v>
      </c>
      <c r="J152" t="s">
        <v>40</v>
      </c>
      <c r="K152" t="s">
        <v>80</v>
      </c>
      <c r="L152" t="s">
        <v>81</v>
      </c>
      <c r="M152">
        <v>5.4037448820802086E-3</v>
      </c>
      <c r="N152" t="s">
        <v>72</v>
      </c>
      <c r="O152" t="s">
        <v>75</v>
      </c>
    </row>
    <row r="153" spans="1:15" x14ac:dyDescent="0.3">
      <c r="A153">
        <v>12</v>
      </c>
      <c r="B153">
        <v>2022</v>
      </c>
      <c r="C153" t="s">
        <v>27</v>
      </c>
      <c r="D153" t="s">
        <v>6</v>
      </c>
      <c r="E153">
        <v>7775</v>
      </c>
      <c r="F153">
        <v>7743</v>
      </c>
      <c r="G153">
        <v>0.99588424437299039</v>
      </c>
      <c r="H153">
        <v>4.1157556270096096E-3</v>
      </c>
      <c r="J153" t="s">
        <v>40</v>
      </c>
      <c r="K153" t="s">
        <v>80</v>
      </c>
      <c r="L153" t="s">
        <v>81</v>
      </c>
      <c r="M153">
        <v>5.4037448820802086E-3</v>
      </c>
      <c r="N153" t="s">
        <v>73</v>
      </c>
      <c r="O153" t="s">
        <v>75</v>
      </c>
    </row>
    <row r="154" spans="1:15" x14ac:dyDescent="0.3">
      <c r="A154">
        <v>12</v>
      </c>
      <c r="B154">
        <v>2022</v>
      </c>
      <c r="C154" t="s">
        <v>27</v>
      </c>
      <c r="D154" t="s">
        <v>6</v>
      </c>
      <c r="E154">
        <v>7775</v>
      </c>
      <c r="F154">
        <v>7743</v>
      </c>
      <c r="G154">
        <v>0.99588424437299039</v>
      </c>
      <c r="H154">
        <v>4.1157556270096096E-3</v>
      </c>
      <c r="J154" t="s">
        <v>40</v>
      </c>
      <c r="K154" t="s">
        <v>80</v>
      </c>
      <c r="L154" t="s">
        <v>81</v>
      </c>
      <c r="M154">
        <v>5.4037448820802086E-3</v>
      </c>
      <c r="N154" t="s">
        <v>74</v>
      </c>
      <c r="O154" t="s">
        <v>75</v>
      </c>
    </row>
    <row r="155" spans="1:15" x14ac:dyDescent="0.3">
      <c r="A155">
        <v>12</v>
      </c>
      <c r="B155">
        <v>2022</v>
      </c>
      <c r="C155" t="s">
        <v>27</v>
      </c>
      <c r="D155" t="s">
        <v>7</v>
      </c>
      <c r="E155">
        <v>40461</v>
      </c>
      <c r="F155">
        <v>40291</v>
      </c>
      <c r="G155">
        <v>0.99579842317293199</v>
      </c>
      <c r="H155">
        <v>4.2015768270680098E-3</v>
      </c>
      <c r="J155" t="s">
        <v>40</v>
      </c>
      <c r="K155" t="s">
        <v>80</v>
      </c>
      <c r="L155" t="s">
        <v>81</v>
      </c>
      <c r="M155">
        <v>2.8121018864803515E-2</v>
      </c>
      <c r="N155" t="s">
        <v>72</v>
      </c>
      <c r="O155" t="s">
        <v>75</v>
      </c>
    </row>
    <row r="156" spans="1:15" x14ac:dyDescent="0.3">
      <c r="A156">
        <v>12</v>
      </c>
      <c r="B156">
        <v>2022</v>
      </c>
      <c r="C156" t="s">
        <v>27</v>
      </c>
      <c r="D156" t="s">
        <v>7</v>
      </c>
      <c r="E156">
        <v>40461</v>
      </c>
      <c r="F156">
        <v>40291</v>
      </c>
      <c r="G156">
        <v>0.99579842317293199</v>
      </c>
      <c r="H156">
        <v>4.2015768270680098E-3</v>
      </c>
      <c r="J156" t="s">
        <v>40</v>
      </c>
      <c r="K156" t="s">
        <v>80</v>
      </c>
      <c r="L156" t="s">
        <v>81</v>
      </c>
      <c r="M156">
        <v>2.8121018864803515E-2</v>
      </c>
      <c r="N156" t="s">
        <v>73</v>
      </c>
      <c r="O156" t="s">
        <v>75</v>
      </c>
    </row>
    <row r="157" spans="1:15" x14ac:dyDescent="0.3">
      <c r="A157">
        <v>12</v>
      </c>
      <c r="B157">
        <v>2022</v>
      </c>
      <c r="C157" t="s">
        <v>27</v>
      </c>
      <c r="D157" t="s">
        <v>7</v>
      </c>
      <c r="E157">
        <v>40461</v>
      </c>
      <c r="F157">
        <v>40291</v>
      </c>
      <c r="G157">
        <v>0.99579842317293199</v>
      </c>
      <c r="H157">
        <v>4.2015768270680098E-3</v>
      </c>
      <c r="J157" t="s">
        <v>40</v>
      </c>
      <c r="K157" t="s">
        <v>80</v>
      </c>
      <c r="L157" t="s">
        <v>81</v>
      </c>
      <c r="M157">
        <v>2.8121018864803515E-2</v>
      </c>
      <c r="N157" t="s">
        <v>74</v>
      </c>
      <c r="O157" t="s">
        <v>75</v>
      </c>
    </row>
    <row r="158" spans="1:15" x14ac:dyDescent="0.3">
      <c r="A158">
        <v>12</v>
      </c>
      <c r="B158">
        <v>2022</v>
      </c>
      <c r="C158" t="s">
        <v>27</v>
      </c>
      <c r="D158" t="s">
        <v>8</v>
      </c>
      <c r="E158">
        <v>65</v>
      </c>
      <c r="F158">
        <v>65</v>
      </c>
      <c r="G158">
        <v>1</v>
      </c>
      <c r="H158">
        <v>0</v>
      </c>
      <c r="J158" t="s">
        <v>40</v>
      </c>
      <c r="K158" t="s">
        <v>82</v>
      </c>
      <c r="L158" t="s">
        <v>83</v>
      </c>
      <c r="M158">
        <v>4.5176002229609464E-5</v>
      </c>
      <c r="N158" t="s">
        <v>72</v>
      </c>
      <c r="O158" t="s">
        <v>75</v>
      </c>
    </row>
    <row r="159" spans="1:15" x14ac:dyDescent="0.3">
      <c r="A159">
        <v>12</v>
      </c>
      <c r="B159">
        <v>2022</v>
      </c>
      <c r="C159" t="s">
        <v>27</v>
      </c>
      <c r="D159" t="s">
        <v>8</v>
      </c>
      <c r="E159">
        <v>65</v>
      </c>
      <c r="F159">
        <v>65</v>
      </c>
      <c r="G159">
        <v>1</v>
      </c>
      <c r="H159">
        <v>0</v>
      </c>
      <c r="J159" t="s">
        <v>40</v>
      </c>
      <c r="K159" t="s">
        <v>82</v>
      </c>
      <c r="L159" t="s">
        <v>83</v>
      </c>
      <c r="M159">
        <v>4.5176002229609464E-5</v>
      </c>
      <c r="N159" t="s">
        <v>73</v>
      </c>
      <c r="O159" t="s">
        <v>75</v>
      </c>
    </row>
    <row r="160" spans="1:15" x14ac:dyDescent="0.3">
      <c r="A160">
        <v>12</v>
      </c>
      <c r="B160">
        <v>2022</v>
      </c>
      <c r="C160" t="s">
        <v>27</v>
      </c>
      <c r="D160" t="s">
        <v>8</v>
      </c>
      <c r="E160">
        <v>65</v>
      </c>
      <c r="F160">
        <v>65</v>
      </c>
      <c r="G160">
        <v>1</v>
      </c>
      <c r="H160">
        <v>0</v>
      </c>
      <c r="J160" t="s">
        <v>40</v>
      </c>
      <c r="K160" t="s">
        <v>82</v>
      </c>
      <c r="L160" t="s">
        <v>83</v>
      </c>
      <c r="M160">
        <v>4.5176002229609464E-5</v>
      </c>
      <c r="N160" t="s">
        <v>74</v>
      </c>
      <c r="O160" t="s">
        <v>75</v>
      </c>
    </row>
    <row r="161" spans="1:15" x14ac:dyDescent="0.3">
      <c r="A161">
        <v>12</v>
      </c>
      <c r="B161">
        <v>2022</v>
      </c>
      <c r="C161" t="s">
        <v>27</v>
      </c>
      <c r="D161" t="s">
        <v>9</v>
      </c>
      <c r="E161">
        <v>2872</v>
      </c>
      <c r="F161">
        <v>2872</v>
      </c>
      <c r="G161">
        <v>1</v>
      </c>
      <c r="H161">
        <v>0</v>
      </c>
      <c r="J161" t="s">
        <v>40</v>
      </c>
      <c r="K161" t="s">
        <v>80</v>
      </c>
      <c r="L161" t="s">
        <v>81</v>
      </c>
      <c r="M161">
        <v>1.9960842831298212E-3</v>
      </c>
      <c r="N161" t="s">
        <v>72</v>
      </c>
      <c r="O161" t="s">
        <v>75</v>
      </c>
    </row>
    <row r="162" spans="1:15" x14ac:dyDescent="0.3">
      <c r="A162">
        <v>12</v>
      </c>
      <c r="B162">
        <v>2022</v>
      </c>
      <c r="C162" t="s">
        <v>27</v>
      </c>
      <c r="D162" t="s">
        <v>9</v>
      </c>
      <c r="E162">
        <v>2872</v>
      </c>
      <c r="F162">
        <v>2872</v>
      </c>
      <c r="G162">
        <v>1</v>
      </c>
      <c r="H162">
        <v>0</v>
      </c>
      <c r="J162" t="s">
        <v>40</v>
      </c>
      <c r="K162" t="s">
        <v>80</v>
      </c>
      <c r="L162" t="s">
        <v>81</v>
      </c>
      <c r="M162">
        <v>1.9960842831298212E-3</v>
      </c>
      <c r="N162" t="s">
        <v>73</v>
      </c>
      <c r="O162" t="s">
        <v>75</v>
      </c>
    </row>
    <row r="163" spans="1:15" x14ac:dyDescent="0.3">
      <c r="A163">
        <v>12</v>
      </c>
      <c r="B163">
        <v>2022</v>
      </c>
      <c r="C163" t="s">
        <v>27</v>
      </c>
      <c r="D163" t="s">
        <v>9</v>
      </c>
      <c r="E163">
        <v>2872</v>
      </c>
      <c r="F163">
        <v>2872</v>
      </c>
      <c r="G163">
        <v>1</v>
      </c>
      <c r="H163">
        <v>0</v>
      </c>
      <c r="J163" t="s">
        <v>40</v>
      </c>
      <c r="K163" t="s">
        <v>80</v>
      </c>
      <c r="L163" t="s">
        <v>81</v>
      </c>
      <c r="M163">
        <v>1.9960842831298212E-3</v>
      </c>
      <c r="N163" t="s">
        <v>74</v>
      </c>
      <c r="O163" t="s">
        <v>75</v>
      </c>
    </row>
    <row r="164" spans="1:15" x14ac:dyDescent="0.3">
      <c r="A164">
        <v>12</v>
      </c>
      <c r="B164">
        <v>2022</v>
      </c>
      <c r="C164" t="s">
        <v>17</v>
      </c>
      <c r="D164" t="s">
        <v>4</v>
      </c>
      <c r="E164">
        <v>0</v>
      </c>
      <c r="F164">
        <v>0</v>
      </c>
      <c r="I164" t="s">
        <v>35</v>
      </c>
      <c r="J164" t="s">
        <v>35</v>
      </c>
      <c r="K164" t="s">
        <v>79</v>
      </c>
      <c r="L164" t="s">
        <v>35</v>
      </c>
      <c r="M164">
        <v>0</v>
      </c>
      <c r="N164" t="s">
        <v>72</v>
      </c>
      <c r="O164" t="s">
        <v>75</v>
      </c>
    </row>
    <row r="165" spans="1:15" x14ac:dyDescent="0.3">
      <c r="A165">
        <v>12</v>
      </c>
      <c r="B165">
        <v>2022</v>
      </c>
      <c r="C165" t="s">
        <v>17</v>
      </c>
      <c r="D165" t="s">
        <v>4</v>
      </c>
      <c r="E165">
        <v>0</v>
      </c>
      <c r="F165">
        <v>0</v>
      </c>
      <c r="I165" t="s">
        <v>35</v>
      </c>
      <c r="J165" t="s">
        <v>35</v>
      </c>
      <c r="K165" t="s">
        <v>79</v>
      </c>
      <c r="L165" t="s">
        <v>35</v>
      </c>
      <c r="M165">
        <v>0</v>
      </c>
      <c r="N165" t="s">
        <v>73</v>
      </c>
      <c r="O165" t="s">
        <v>75</v>
      </c>
    </row>
    <row r="166" spans="1:15" x14ac:dyDescent="0.3">
      <c r="A166">
        <v>12</v>
      </c>
      <c r="B166">
        <v>2022</v>
      </c>
      <c r="C166" t="s">
        <v>17</v>
      </c>
      <c r="D166" t="s">
        <v>4</v>
      </c>
      <c r="E166">
        <v>0</v>
      </c>
      <c r="F166">
        <v>0</v>
      </c>
      <c r="I166" t="s">
        <v>35</v>
      </c>
      <c r="J166" t="s">
        <v>35</v>
      </c>
      <c r="K166" t="s">
        <v>79</v>
      </c>
      <c r="L166" t="s">
        <v>35</v>
      </c>
      <c r="M166">
        <v>0</v>
      </c>
      <c r="N166" t="s">
        <v>74</v>
      </c>
      <c r="O166" t="s">
        <v>76</v>
      </c>
    </row>
    <row r="167" spans="1:15" x14ac:dyDescent="0.3">
      <c r="A167">
        <v>12</v>
      </c>
      <c r="B167">
        <v>2022</v>
      </c>
      <c r="C167" t="s">
        <v>17</v>
      </c>
      <c r="D167" t="s">
        <v>5</v>
      </c>
      <c r="E167">
        <v>20672</v>
      </c>
      <c r="F167">
        <v>20518</v>
      </c>
      <c r="G167">
        <v>0.99255030959752322</v>
      </c>
      <c r="H167">
        <v>7.4496904024767829E-3</v>
      </c>
      <c r="J167" t="s">
        <v>40</v>
      </c>
      <c r="K167" t="s">
        <v>80</v>
      </c>
      <c r="L167" t="s">
        <v>81</v>
      </c>
      <c r="M167">
        <v>1.4367358739853644E-2</v>
      </c>
      <c r="N167" t="s">
        <v>72</v>
      </c>
      <c r="O167" t="s">
        <v>75</v>
      </c>
    </row>
    <row r="168" spans="1:15" x14ac:dyDescent="0.3">
      <c r="A168">
        <v>12</v>
      </c>
      <c r="B168">
        <v>2022</v>
      </c>
      <c r="C168" t="s">
        <v>17</v>
      </c>
      <c r="D168" t="s">
        <v>5</v>
      </c>
      <c r="E168">
        <v>20672</v>
      </c>
      <c r="F168">
        <v>20518</v>
      </c>
      <c r="G168">
        <v>0.99255030959752322</v>
      </c>
      <c r="H168">
        <v>7.4496904024767829E-3</v>
      </c>
      <c r="J168" t="s">
        <v>40</v>
      </c>
      <c r="K168" t="s">
        <v>80</v>
      </c>
      <c r="L168" t="s">
        <v>81</v>
      </c>
      <c r="M168">
        <v>1.4367358739853644E-2</v>
      </c>
      <c r="N168" t="s">
        <v>73</v>
      </c>
      <c r="O168" t="s">
        <v>75</v>
      </c>
    </row>
    <row r="169" spans="1:15" x14ac:dyDescent="0.3">
      <c r="A169">
        <v>12</v>
      </c>
      <c r="B169">
        <v>2022</v>
      </c>
      <c r="C169" t="s">
        <v>17</v>
      </c>
      <c r="D169" t="s">
        <v>5</v>
      </c>
      <c r="E169">
        <v>20672</v>
      </c>
      <c r="F169">
        <v>20518</v>
      </c>
      <c r="G169">
        <v>0.99255030959752322</v>
      </c>
      <c r="H169">
        <v>7.4496904024767829E-3</v>
      </c>
      <c r="J169" t="s">
        <v>40</v>
      </c>
      <c r="K169" t="s">
        <v>80</v>
      </c>
      <c r="L169" t="s">
        <v>81</v>
      </c>
      <c r="M169">
        <v>1.4367358739853644E-2</v>
      </c>
      <c r="N169" t="s">
        <v>74</v>
      </c>
      <c r="O169" t="s">
        <v>75</v>
      </c>
    </row>
    <row r="170" spans="1:15" x14ac:dyDescent="0.3">
      <c r="A170">
        <v>12</v>
      </c>
      <c r="B170">
        <v>2022</v>
      </c>
      <c r="C170" t="s">
        <v>17</v>
      </c>
      <c r="D170" t="s">
        <v>6</v>
      </c>
      <c r="E170">
        <v>102</v>
      </c>
      <c r="F170">
        <v>101</v>
      </c>
      <c r="G170">
        <v>0.99019607843137258</v>
      </c>
      <c r="H170">
        <v>9.8039215686274161E-3</v>
      </c>
      <c r="J170" t="s">
        <v>40</v>
      </c>
      <c r="K170" t="s">
        <v>80</v>
      </c>
      <c r="L170" t="s">
        <v>81</v>
      </c>
      <c r="M170">
        <v>7.0891572729541008E-5</v>
      </c>
      <c r="N170" t="s">
        <v>72</v>
      </c>
      <c r="O170" t="s">
        <v>75</v>
      </c>
    </row>
    <row r="171" spans="1:15" x14ac:dyDescent="0.3">
      <c r="A171">
        <v>12</v>
      </c>
      <c r="B171">
        <v>2022</v>
      </c>
      <c r="C171" t="s">
        <v>17</v>
      </c>
      <c r="D171" t="s">
        <v>6</v>
      </c>
      <c r="E171">
        <v>102</v>
      </c>
      <c r="F171">
        <v>101</v>
      </c>
      <c r="G171">
        <v>0.99019607843137258</v>
      </c>
      <c r="H171">
        <v>9.8039215686274161E-3</v>
      </c>
      <c r="J171" t="s">
        <v>40</v>
      </c>
      <c r="K171" t="s">
        <v>80</v>
      </c>
      <c r="L171" t="s">
        <v>81</v>
      </c>
      <c r="M171">
        <v>7.0891572729541008E-5</v>
      </c>
      <c r="N171" t="s">
        <v>73</v>
      </c>
      <c r="O171" t="s">
        <v>75</v>
      </c>
    </row>
    <row r="172" spans="1:15" x14ac:dyDescent="0.3">
      <c r="A172">
        <v>12</v>
      </c>
      <c r="B172">
        <v>2022</v>
      </c>
      <c r="C172" t="s">
        <v>17</v>
      </c>
      <c r="D172" t="s">
        <v>6</v>
      </c>
      <c r="E172">
        <v>102</v>
      </c>
      <c r="F172">
        <v>101</v>
      </c>
      <c r="G172">
        <v>0.99019607843137258</v>
      </c>
      <c r="H172">
        <v>9.8039215686274161E-3</v>
      </c>
      <c r="J172" t="s">
        <v>40</v>
      </c>
      <c r="K172" t="s">
        <v>80</v>
      </c>
      <c r="L172" t="s">
        <v>81</v>
      </c>
      <c r="M172">
        <v>7.0891572729541008E-5</v>
      </c>
      <c r="N172" t="s">
        <v>74</v>
      </c>
      <c r="O172" t="s">
        <v>75</v>
      </c>
    </row>
    <row r="173" spans="1:15" x14ac:dyDescent="0.3">
      <c r="A173">
        <v>12</v>
      </c>
      <c r="B173">
        <v>2022</v>
      </c>
      <c r="C173" t="s">
        <v>17</v>
      </c>
      <c r="D173" t="s">
        <v>7</v>
      </c>
      <c r="E173">
        <v>20768</v>
      </c>
      <c r="F173">
        <v>20601</v>
      </c>
      <c r="G173">
        <v>0.99195878274268101</v>
      </c>
      <c r="H173">
        <v>8.0412172573189888E-3</v>
      </c>
      <c r="J173" t="s">
        <v>40</v>
      </c>
      <c r="K173" t="s">
        <v>80</v>
      </c>
      <c r="L173" t="s">
        <v>81</v>
      </c>
      <c r="M173">
        <v>1.4434080220069681E-2</v>
      </c>
      <c r="N173" t="s">
        <v>72</v>
      </c>
      <c r="O173" t="s">
        <v>75</v>
      </c>
    </row>
    <row r="174" spans="1:15" x14ac:dyDescent="0.3">
      <c r="A174">
        <v>12</v>
      </c>
      <c r="B174">
        <v>2022</v>
      </c>
      <c r="C174" t="s">
        <v>17</v>
      </c>
      <c r="D174" t="s">
        <v>7</v>
      </c>
      <c r="E174">
        <v>20768</v>
      </c>
      <c r="F174">
        <v>20601</v>
      </c>
      <c r="G174">
        <v>0.99195878274268101</v>
      </c>
      <c r="H174">
        <v>8.0412172573189888E-3</v>
      </c>
      <c r="J174" t="s">
        <v>40</v>
      </c>
      <c r="K174" t="s">
        <v>80</v>
      </c>
      <c r="L174" t="s">
        <v>81</v>
      </c>
      <c r="M174">
        <v>1.4434080220069681E-2</v>
      </c>
      <c r="N174" t="s">
        <v>73</v>
      </c>
      <c r="O174" t="s">
        <v>75</v>
      </c>
    </row>
    <row r="175" spans="1:15" x14ac:dyDescent="0.3">
      <c r="A175">
        <v>12</v>
      </c>
      <c r="B175">
        <v>2022</v>
      </c>
      <c r="C175" t="s">
        <v>17</v>
      </c>
      <c r="D175" t="s">
        <v>7</v>
      </c>
      <c r="E175">
        <v>20768</v>
      </c>
      <c r="F175">
        <v>20601</v>
      </c>
      <c r="G175">
        <v>0.99195878274268101</v>
      </c>
      <c r="H175">
        <v>8.0412172573189888E-3</v>
      </c>
      <c r="J175" t="s">
        <v>40</v>
      </c>
      <c r="K175" t="s">
        <v>80</v>
      </c>
      <c r="L175" t="s">
        <v>81</v>
      </c>
      <c r="M175">
        <v>1.4434080220069681E-2</v>
      </c>
      <c r="N175" t="s">
        <v>74</v>
      </c>
      <c r="O175" t="s">
        <v>75</v>
      </c>
    </row>
    <row r="176" spans="1:15" x14ac:dyDescent="0.3">
      <c r="A176">
        <v>12</v>
      </c>
      <c r="B176">
        <v>2022</v>
      </c>
      <c r="C176" t="s">
        <v>17</v>
      </c>
      <c r="D176" t="s">
        <v>8</v>
      </c>
      <c r="E176">
        <v>4536</v>
      </c>
      <c r="F176">
        <v>4481</v>
      </c>
      <c r="G176">
        <v>0.9878747795414462</v>
      </c>
      <c r="H176">
        <v>1.2125220458553798E-2</v>
      </c>
      <c r="J176" t="s">
        <v>40</v>
      </c>
      <c r="K176" t="s">
        <v>80</v>
      </c>
      <c r="L176" t="s">
        <v>81</v>
      </c>
      <c r="M176">
        <v>3.1525899402078234E-3</v>
      </c>
      <c r="N176" t="s">
        <v>72</v>
      </c>
      <c r="O176" t="s">
        <v>75</v>
      </c>
    </row>
    <row r="177" spans="1:15" x14ac:dyDescent="0.3">
      <c r="A177">
        <v>12</v>
      </c>
      <c r="B177">
        <v>2022</v>
      </c>
      <c r="C177" t="s">
        <v>17</v>
      </c>
      <c r="D177" t="s">
        <v>8</v>
      </c>
      <c r="E177">
        <v>4536</v>
      </c>
      <c r="F177">
        <v>4481</v>
      </c>
      <c r="G177">
        <v>0.9878747795414462</v>
      </c>
      <c r="H177">
        <v>1.2125220458553798E-2</v>
      </c>
      <c r="J177" t="s">
        <v>40</v>
      </c>
      <c r="K177" t="s">
        <v>80</v>
      </c>
      <c r="L177" t="s">
        <v>81</v>
      </c>
      <c r="M177">
        <v>3.1525899402078234E-3</v>
      </c>
      <c r="N177" t="s">
        <v>73</v>
      </c>
      <c r="O177" t="s">
        <v>75</v>
      </c>
    </row>
    <row r="178" spans="1:15" x14ac:dyDescent="0.3">
      <c r="A178">
        <v>12</v>
      </c>
      <c r="B178">
        <v>2022</v>
      </c>
      <c r="C178" t="s">
        <v>17</v>
      </c>
      <c r="D178" t="s">
        <v>8</v>
      </c>
      <c r="E178">
        <v>4536</v>
      </c>
      <c r="F178">
        <v>4481</v>
      </c>
      <c r="G178">
        <v>0.9878747795414462</v>
      </c>
      <c r="H178">
        <v>1.2125220458553798E-2</v>
      </c>
      <c r="J178" t="s">
        <v>40</v>
      </c>
      <c r="K178" t="s">
        <v>80</v>
      </c>
      <c r="L178" t="s">
        <v>81</v>
      </c>
      <c r="M178">
        <v>3.1525899402078234E-3</v>
      </c>
      <c r="N178" t="s">
        <v>74</v>
      </c>
      <c r="O178" t="s">
        <v>75</v>
      </c>
    </row>
    <row r="179" spans="1:15" x14ac:dyDescent="0.3">
      <c r="A179">
        <v>12</v>
      </c>
      <c r="B179">
        <v>2022</v>
      </c>
      <c r="C179" t="s">
        <v>17</v>
      </c>
      <c r="D179" t="s">
        <v>9</v>
      </c>
      <c r="E179">
        <v>6071</v>
      </c>
      <c r="F179">
        <v>6047</v>
      </c>
      <c r="G179">
        <v>0.99604677977268985</v>
      </c>
      <c r="H179">
        <v>3.9532202273101502E-3</v>
      </c>
      <c r="J179" t="s">
        <v>40</v>
      </c>
      <c r="K179" t="s">
        <v>80</v>
      </c>
      <c r="L179" t="s">
        <v>81</v>
      </c>
      <c r="M179">
        <v>4.2194386082455241E-3</v>
      </c>
      <c r="N179" t="s">
        <v>72</v>
      </c>
      <c r="O179" t="s">
        <v>75</v>
      </c>
    </row>
    <row r="180" spans="1:15" x14ac:dyDescent="0.3">
      <c r="A180">
        <v>12</v>
      </c>
      <c r="B180">
        <v>2022</v>
      </c>
      <c r="C180" t="s">
        <v>17</v>
      </c>
      <c r="D180" t="s">
        <v>9</v>
      </c>
      <c r="E180">
        <v>6071</v>
      </c>
      <c r="F180">
        <v>6047</v>
      </c>
      <c r="G180">
        <v>0.99604677977268985</v>
      </c>
      <c r="H180">
        <v>3.9532202273101502E-3</v>
      </c>
      <c r="J180" t="s">
        <v>40</v>
      </c>
      <c r="K180" t="s">
        <v>80</v>
      </c>
      <c r="L180" t="s">
        <v>81</v>
      </c>
      <c r="M180">
        <v>4.2194386082455241E-3</v>
      </c>
      <c r="N180" t="s">
        <v>73</v>
      </c>
      <c r="O180" t="s">
        <v>75</v>
      </c>
    </row>
    <row r="181" spans="1:15" x14ac:dyDescent="0.3">
      <c r="A181">
        <v>12</v>
      </c>
      <c r="B181">
        <v>2022</v>
      </c>
      <c r="C181" t="s">
        <v>17</v>
      </c>
      <c r="D181" t="s">
        <v>9</v>
      </c>
      <c r="E181">
        <v>6071</v>
      </c>
      <c r="F181">
        <v>6047</v>
      </c>
      <c r="G181">
        <v>0.99604677977268985</v>
      </c>
      <c r="H181">
        <v>3.9532202273101502E-3</v>
      </c>
      <c r="J181" t="s">
        <v>40</v>
      </c>
      <c r="K181" t="s">
        <v>80</v>
      </c>
      <c r="L181" t="s">
        <v>81</v>
      </c>
      <c r="M181">
        <v>4.2194386082455241E-3</v>
      </c>
      <c r="N181" t="s">
        <v>74</v>
      </c>
      <c r="O181" t="s">
        <v>75</v>
      </c>
    </row>
    <row r="182" spans="1:15" x14ac:dyDescent="0.3">
      <c r="A182">
        <v>12</v>
      </c>
      <c r="B182">
        <v>2022</v>
      </c>
      <c r="C182" t="s">
        <v>22</v>
      </c>
      <c r="D182" t="s">
        <v>4</v>
      </c>
      <c r="E182">
        <v>0</v>
      </c>
      <c r="F182">
        <v>0</v>
      </c>
      <c r="I182" t="s">
        <v>35</v>
      </c>
      <c r="J182" t="s">
        <v>35</v>
      </c>
      <c r="K182" t="s">
        <v>79</v>
      </c>
      <c r="L182" t="s">
        <v>35</v>
      </c>
      <c r="M182">
        <v>0</v>
      </c>
      <c r="N182" t="s">
        <v>72</v>
      </c>
      <c r="O182" t="s">
        <v>75</v>
      </c>
    </row>
    <row r="183" spans="1:15" x14ac:dyDescent="0.3">
      <c r="A183">
        <v>12</v>
      </c>
      <c r="B183">
        <v>2022</v>
      </c>
      <c r="C183" t="s">
        <v>22</v>
      </c>
      <c r="D183" t="s">
        <v>4</v>
      </c>
      <c r="E183">
        <v>0</v>
      </c>
      <c r="F183">
        <v>0</v>
      </c>
      <c r="I183" t="s">
        <v>35</v>
      </c>
      <c r="J183" t="s">
        <v>35</v>
      </c>
      <c r="K183" t="s">
        <v>79</v>
      </c>
      <c r="L183" t="s">
        <v>35</v>
      </c>
      <c r="M183">
        <v>0</v>
      </c>
      <c r="N183" t="s">
        <v>73</v>
      </c>
      <c r="O183" t="s">
        <v>75</v>
      </c>
    </row>
    <row r="184" spans="1:15" x14ac:dyDescent="0.3">
      <c r="A184">
        <v>12</v>
      </c>
      <c r="B184">
        <v>2022</v>
      </c>
      <c r="C184" t="s">
        <v>22</v>
      </c>
      <c r="D184" t="s">
        <v>4</v>
      </c>
      <c r="E184">
        <v>0</v>
      </c>
      <c r="F184">
        <v>0</v>
      </c>
      <c r="I184" t="s">
        <v>35</v>
      </c>
      <c r="J184" t="s">
        <v>35</v>
      </c>
      <c r="K184" t="s">
        <v>79</v>
      </c>
      <c r="L184" t="s">
        <v>35</v>
      </c>
      <c r="M184">
        <v>0</v>
      </c>
      <c r="N184" t="s">
        <v>74</v>
      </c>
      <c r="O184" t="s">
        <v>76</v>
      </c>
    </row>
    <row r="185" spans="1:15" x14ac:dyDescent="0.3">
      <c r="A185">
        <v>12</v>
      </c>
      <c r="B185">
        <v>2022</v>
      </c>
      <c r="C185" t="s">
        <v>22</v>
      </c>
      <c r="D185" t="s">
        <v>5</v>
      </c>
      <c r="E185">
        <v>278</v>
      </c>
      <c r="F185">
        <v>272</v>
      </c>
      <c r="G185">
        <v>0.97841726618705038</v>
      </c>
      <c r="H185">
        <v>2.1582733812949617E-2</v>
      </c>
      <c r="J185" t="s">
        <v>40</v>
      </c>
      <c r="K185" t="s">
        <v>80</v>
      </c>
      <c r="L185" t="s">
        <v>84</v>
      </c>
      <c r="M185">
        <v>1.9321428645894509E-4</v>
      </c>
      <c r="N185" t="s">
        <v>72</v>
      </c>
      <c r="O185" t="s">
        <v>75</v>
      </c>
    </row>
    <row r="186" spans="1:15" x14ac:dyDescent="0.3">
      <c r="A186">
        <v>12</v>
      </c>
      <c r="B186">
        <v>2022</v>
      </c>
      <c r="C186" t="s">
        <v>22</v>
      </c>
      <c r="D186" t="s">
        <v>5</v>
      </c>
      <c r="E186">
        <v>278</v>
      </c>
      <c r="F186">
        <v>272</v>
      </c>
      <c r="G186">
        <v>0.97841726618705038</v>
      </c>
      <c r="H186">
        <v>2.1582733812949617E-2</v>
      </c>
      <c r="J186" t="s">
        <v>40</v>
      </c>
      <c r="K186" t="s">
        <v>80</v>
      </c>
      <c r="L186" t="s">
        <v>84</v>
      </c>
      <c r="M186">
        <v>1.9321428645894509E-4</v>
      </c>
      <c r="N186" t="s">
        <v>73</v>
      </c>
      <c r="O186" t="s">
        <v>75</v>
      </c>
    </row>
    <row r="187" spans="1:15" x14ac:dyDescent="0.3">
      <c r="A187">
        <v>12</v>
      </c>
      <c r="B187">
        <v>2022</v>
      </c>
      <c r="C187" t="s">
        <v>22</v>
      </c>
      <c r="D187" t="s">
        <v>5</v>
      </c>
      <c r="E187">
        <v>278</v>
      </c>
      <c r="F187">
        <v>272</v>
      </c>
      <c r="G187">
        <v>0.97841726618705038</v>
      </c>
      <c r="H187">
        <v>2.1582733812949617E-2</v>
      </c>
      <c r="J187" t="s">
        <v>40</v>
      </c>
      <c r="K187" t="s">
        <v>80</v>
      </c>
      <c r="L187" t="s">
        <v>84</v>
      </c>
      <c r="M187">
        <v>1.9321428645894509E-4</v>
      </c>
      <c r="N187" t="s">
        <v>74</v>
      </c>
      <c r="O187" t="s">
        <v>75</v>
      </c>
    </row>
    <row r="188" spans="1:15" x14ac:dyDescent="0.3">
      <c r="A188">
        <v>12</v>
      </c>
      <c r="B188">
        <v>2022</v>
      </c>
      <c r="C188" t="s">
        <v>22</v>
      </c>
      <c r="D188" t="s">
        <v>6</v>
      </c>
      <c r="E188">
        <v>921</v>
      </c>
      <c r="F188">
        <v>920</v>
      </c>
      <c r="G188">
        <v>0.998914223669924</v>
      </c>
      <c r="H188">
        <v>1.0857763300760048E-3</v>
      </c>
      <c r="J188" t="s">
        <v>40</v>
      </c>
      <c r="K188" t="s">
        <v>80</v>
      </c>
      <c r="L188" t="s">
        <v>81</v>
      </c>
      <c r="M188">
        <v>6.4010920082262029E-4</v>
      </c>
      <c r="N188" t="s">
        <v>72</v>
      </c>
      <c r="O188" t="s">
        <v>75</v>
      </c>
    </row>
    <row r="189" spans="1:15" x14ac:dyDescent="0.3">
      <c r="A189">
        <v>12</v>
      </c>
      <c r="B189">
        <v>2022</v>
      </c>
      <c r="C189" t="s">
        <v>22</v>
      </c>
      <c r="D189" t="s">
        <v>6</v>
      </c>
      <c r="E189">
        <v>921</v>
      </c>
      <c r="F189">
        <v>920</v>
      </c>
      <c r="G189">
        <v>0.998914223669924</v>
      </c>
      <c r="H189">
        <v>1.0857763300760048E-3</v>
      </c>
      <c r="J189" t="s">
        <v>40</v>
      </c>
      <c r="K189" t="s">
        <v>80</v>
      </c>
      <c r="L189" t="s">
        <v>81</v>
      </c>
      <c r="M189">
        <v>6.4010920082262029E-4</v>
      </c>
      <c r="N189" t="s">
        <v>73</v>
      </c>
      <c r="O189" t="s">
        <v>75</v>
      </c>
    </row>
    <row r="190" spans="1:15" x14ac:dyDescent="0.3">
      <c r="A190">
        <v>12</v>
      </c>
      <c r="B190">
        <v>2022</v>
      </c>
      <c r="C190" t="s">
        <v>22</v>
      </c>
      <c r="D190" t="s">
        <v>6</v>
      </c>
      <c r="E190">
        <v>921</v>
      </c>
      <c r="F190">
        <v>920</v>
      </c>
      <c r="G190">
        <v>0.998914223669924</v>
      </c>
      <c r="H190">
        <v>1.0857763300760048E-3</v>
      </c>
      <c r="J190" t="s">
        <v>40</v>
      </c>
      <c r="K190" t="s">
        <v>80</v>
      </c>
      <c r="L190" t="s">
        <v>81</v>
      </c>
      <c r="M190">
        <v>6.4010920082262029E-4</v>
      </c>
      <c r="N190" t="s">
        <v>74</v>
      </c>
      <c r="O190" t="s">
        <v>75</v>
      </c>
    </row>
    <row r="191" spans="1:15" x14ac:dyDescent="0.3">
      <c r="A191">
        <v>12</v>
      </c>
      <c r="B191">
        <v>2022</v>
      </c>
      <c r="C191" t="s">
        <v>22</v>
      </c>
      <c r="D191" t="s">
        <v>7</v>
      </c>
      <c r="E191">
        <v>100688</v>
      </c>
      <c r="F191">
        <v>99746</v>
      </c>
      <c r="G191">
        <v>0.99064436675671386</v>
      </c>
      <c r="H191">
        <v>9.3556332432861433E-3</v>
      </c>
      <c r="J191" t="s">
        <v>40</v>
      </c>
      <c r="K191" t="s">
        <v>80</v>
      </c>
      <c r="L191" t="s">
        <v>81</v>
      </c>
      <c r="M191">
        <v>6.9979712499921812E-2</v>
      </c>
      <c r="N191" t="s">
        <v>72</v>
      </c>
      <c r="O191" t="s">
        <v>75</v>
      </c>
    </row>
    <row r="192" spans="1:15" x14ac:dyDescent="0.3">
      <c r="A192">
        <v>12</v>
      </c>
      <c r="B192">
        <v>2022</v>
      </c>
      <c r="C192" t="s">
        <v>22</v>
      </c>
      <c r="D192" t="s">
        <v>7</v>
      </c>
      <c r="E192">
        <v>100688</v>
      </c>
      <c r="F192">
        <v>99746</v>
      </c>
      <c r="G192">
        <v>0.99064436675671386</v>
      </c>
      <c r="H192">
        <v>9.3556332432861433E-3</v>
      </c>
      <c r="J192" t="s">
        <v>40</v>
      </c>
      <c r="K192" t="s">
        <v>80</v>
      </c>
      <c r="L192" t="s">
        <v>81</v>
      </c>
      <c r="M192">
        <v>6.9979712499921812E-2</v>
      </c>
      <c r="N192" t="s">
        <v>73</v>
      </c>
      <c r="O192" t="s">
        <v>75</v>
      </c>
    </row>
    <row r="193" spans="1:15" x14ac:dyDescent="0.3">
      <c r="A193">
        <v>12</v>
      </c>
      <c r="B193">
        <v>2022</v>
      </c>
      <c r="C193" t="s">
        <v>22</v>
      </c>
      <c r="D193" t="s">
        <v>7</v>
      </c>
      <c r="E193">
        <v>100688</v>
      </c>
      <c r="F193">
        <v>99746</v>
      </c>
      <c r="G193">
        <v>0.99064436675671386</v>
      </c>
      <c r="H193">
        <v>9.3556332432861433E-3</v>
      </c>
      <c r="J193" t="s">
        <v>40</v>
      </c>
      <c r="K193" t="s">
        <v>80</v>
      </c>
      <c r="L193" t="s">
        <v>81</v>
      </c>
      <c r="M193">
        <v>6.9979712499921812E-2</v>
      </c>
      <c r="N193" t="s">
        <v>74</v>
      </c>
      <c r="O193" t="s">
        <v>75</v>
      </c>
    </row>
    <row r="194" spans="1:15" x14ac:dyDescent="0.3">
      <c r="A194">
        <v>12</v>
      </c>
      <c r="B194">
        <v>2022</v>
      </c>
      <c r="C194" t="s">
        <v>22</v>
      </c>
      <c r="D194" t="s">
        <v>8</v>
      </c>
      <c r="E194">
        <v>1069</v>
      </c>
      <c r="F194">
        <v>1060</v>
      </c>
      <c r="G194">
        <v>0.99158091674462112</v>
      </c>
      <c r="H194">
        <v>8.4190832553788786E-3</v>
      </c>
      <c r="J194" t="s">
        <v>40</v>
      </c>
      <c r="K194" t="s">
        <v>80</v>
      </c>
      <c r="L194" t="s">
        <v>81</v>
      </c>
      <c r="M194">
        <v>7.4297148282234638E-4</v>
      </c>
      <c r="N194" t="s">
        <v>72</v>
      </c>
      <c r="O194" t="s">
        <v>75</v>
      </c>
    </row>
    <row r="195" spans="1:15" x14ac:dyDescent="0.3">
      <c r="A195">
        <v>12</v>
      </c>
      <c r="B195">
        <v>2022</v>
      </c>
      <c r="C195" t="s">
        <v>22</v>
      </c>
      <c r="D195" t="s">
        <v>8</v>
      </c>
      <c r="E195">
        <v>1069</v>
      </c>
      <c r="F195">
        <v>1060</v>
      </c>
      <c r="G195">
        <v>0.99158091674462112</v>
      </c>
      <c r="H195">
        <v>8.4190832553788786E-3</v>
      </c>
      <c r="J195" t="s">
        <v>40</v>
      </c>
      <c r="K195" t="s">
        <v>80</v>
      </c>
      <c r="L195" t="s">
        <v>81</v>
      </c>
      <c r="M195">
        <v>7.4297148282234638E-4</v>
      </c>
      <c r="N195" t="s">
        <v>73</v>
      </c>
      <c r="O195" t="s">
        <v>75</v>
      </c>
    </row>
    <row r="196" spans="1:15" x14ac:dyDescent="0.3">
      <c r="A196">
        <v>12</v>
      </c>
      <c r="B196">
        <v>2022</v>
      </c>
      <c r="C196" t="s">
        <v>22</v>
      </c>
      <c r="D196" t="s">
        <v>8</v>
      </c>
      <c r="E196">
        <v>1069</v>
      </c>
      <c r="F196">
        <v>1060</v>
      </c>
      <c r="G196">
        <v>0.99158091674462112</v>
      </c>
      <c r="H196">
        <v>8.4190832553788786E-3</v>
      </c>
      <c r="J196" t="s">
        <v>40</v>
      </c>
      <c r="K196" t="s">
        <v>80</v>
      </c>
      <c r="L196" t="s">
        <v>81</v>
      </c>
      <c r="M196">
        <v>7.4297148282234638E-4</v>
      </c>
      <c r="N196" t="s">
        <v>74</v>
      </c>
      <c r="O196" t="s">
        <v>75</v>
      </c>
    </row>
    <row r="197" spans="1:15" x14ac:dyDescent="0.3">
      <c r="A197">
        <v>12</v>
      </c>
      <c r="B197">
        <v>2022</v>
      </c>
      <c r="C197" t="s">
        <v>22</v>
      </c>
      <c r="D197" t="s">
        <v>9</v>
      </c>
      <c r="E197">
        <v>4480</v>
      </c>
      <c r="F197">
        <v>4471</v>
      </c>
      <c r="G197">
        <v>0.99799107142857146</v>
      </c>
      <c r="H197">
        <v>2.0089285714285365E-3</v>
      </c>
      <c r="J197" t="s">
        <v>40</v>
      </c>
      <c r="K197" t="s">
        <v>80</v>
      </c>
      <c r="L197" t="s">
        <v>81</v>
      </c>
      <c r="M197">
        <v>3.1136690767484677E-3</v>
      </c>
      <c r="N197" t="s">
        <v>72</v>
      </c>
      <c r="O197" t="s">
        <v>75</v>
      </c>
    </row>
    <row r="198" spans="1:15" x14ac:dyDescent="0.3">
      <c r="A198">
        <v>12</v>
      </c>
      <c r="B198">
        <v>2022</v>
      </c>
      <c r="C198" t="s">
        <v>22</v>
      </c>
      <c r="D198" t="s">
        <v>9</v>
      </c>
      <c r="E198">
        <v>4480</v>
      </c>
      <c r="F198">
        <v>4471</v>
      </c>
      <c r="G198">
        <v>0.99799107142857146</v>
      </c>
      <c r="H198">
        <v>2.0089285714285365E-3</v>
      </c>
      <c r="J198" t="s">
        <v>40</v>
      </c>
      <c r="K198" t="s">
        <v>80</v>
      </c>
      <c r="L198" t="s">
        <v>81</v>
      </c>
      <c r="M198">
        <v>3.1136690767484677E-3</v>
      </c>
      <c r="N198" t="s">
        <v>73</v>
      </c>
      <c r="O198" t="s">
        <v>75</v>
      </c>
    </row>
    <row r="199" spans="1:15" x14ac:dyDescent="0.3">
      <c r="A199">
        <v>12</v>
      </c>
      <c r="B199">
        <v>2022</v>
      </c>
      <c r="C199" t="s">
        <v>22</v>
      </c>
      <c r="D199" t="s">
        <v>9</v>
      </c>
      <c r="E199">
        <v>4480</v>
      </c>
      <c r="F199">
        <v>4471</v>
      </c>
      <c r="G199">
        <v>0.99799107142857146</v>
      </c>
      <c r="H199">
        <v>2.0089285714285365E-3</v>
      </c>
      <c r="J199" t="s">
        <v>40</v>
      </c>
      <c r="K199" t="s">
        <v>80</v>
      </c>
      <c r="L199" t="s">
        <v>81</v>
      </c>
      <c r="M199">
        <v>3.1136690767484677E-3</v>
      </c>
      <c r="N199" t="s">
        <v>74</v>
      </c>
      <c r="O199" t="s">
        <v>75</v>
      </c>
    </row>
    <row r="200" spans="1:15" x14ac:dyDescent="0.3">
      <c r="A200">
        <v>12</v>
      </c>
      <c r="B200">
        <v>2022</v>
      </c>
      <c r="C200" t="s">
        <v>18</v>
      </c>
      <c r="D200" t="s">
        <v>4</v>
      </c>
      <c r="E200">
        <v>38</v>
      </c>
      <c r="F200">
        <v>38</v>
      </c>
      <c r="G200">
        <v>1</v>
      </c>
      <c r="H200">
        <v>0</v>
      </c>
      <c r="J200" t="s">
        <v>40</v>
      </c>
      <c r="K200" t="s">
        <v>82</v>
      </c>
      <c r="L200" t="s">
        <v>83</v>
      </c>
      <c r="M200">
        <v>2.6410585918848608E-5</v>
      </c>
      <c r="N200" t="s">
        <v>72</v>
      </c>
      <c r="O200" t="s">
        <v>75</v>
      </c>
    </row>
    <row r="201" spans="1:15" x14ac:dyDescent="0.3">
      <c r="A201">
        <v>12</v>
      </c>
      <c r="B201">
        <v>2022</v>
      </c>
      <c r="C201" t="s">
        <v>18</v>
      </c>
      <c r="D201" t="s">
        <v>4</v>
      </c>
      <c r="E201">
        <v>38</v>
      </c>
      <c r="F201">
        <v>38</v>
      </c>
      <c r="G201">
        <v>1</v>
      </c>
      <c r="H201">
        <v>0</v>
      </c>
      <c r="J201" t="s">
        <v>40</v>
      </c>
      <c r="K201" t="s">
        <v>82</v>
      </c>
      <c r="L201" t="s">
        <v>83</v>
      </c>
      <c r="M201">
        <v>2.6410585918848608E-5</v>
      </c>
      <c r="N201" t="s">
        <v>73</v>
      </c>
      <c r="O201" t="s">
        <v>75</v>
      </c>
    </row>
    <row r="202" spans="1:15" x14ac:dyDescent="0.3">
      <c r="A202">
        <v>12</v>
      </c>
      <c r="B202">
        <v>2022</v>
      </c>
      <c r="C202" t="s">
        <v>18</v>
      </c>
      <c r="D202" t="s">
        <v>4</v>
      </c>
      <c r="E202">
        <v>38</v>
      </c>
      <c r="F202">
        <v>38</v>
      </c>
      <c r="G202">
        <v>1</v>
      </c>
      <c r="H202">
        <v>0</v>
      </c>
      <c r="J202" t="s">
        <v>40</v>
      </c>
      <c r="K202" t="s">
        <v>82</v>
      </c>
      <c r="L202" t="s">
        <v>83</v>
      </c>
      <c r="M202">
        <v>2.6410585918848608E-5</v>
      </c>
      <c r="N202" t="s">
        <v>74</v>
      </c>
      <c r="O202" t="s">
        <v>75</v>
      </c>
    </row>
    <row r="203" spans="1:15" x14ac:dyDescent="0.3">
      <c r="A203">
        <v>12</v>
      </c>
      <c r="B203">
        <v>2022</v>
      </c>
      <c r="C203" t="s">
        <v>18</v>
      </c>
      <c r="D203" t="s">
        <v>5</v>
      </c>
      <c r="E203">
        <v>357</v>
      </c>
      <c r="F203">
        <v>357</v>
      </c>
      <c r="G203">
        <v>1</v>
      </c>
      <c r="H203">
        <v>0</v>
      </c>
      <c r="J203" t="s">
        <v>40</v>
      </c>
      <c r="K203" t="s">
        <v>80</v>
      </c>
      <c r="L203" t="s">
        <v>81</v>
      </c>
      <c r="M203">
        <v>2.4812050455339353E-4</v>
      </c>
      <c r="N203" t="s">
        <v>72</v>
      </c>
      <c r="O203" t="s">
        <v>75</v>
      </c>
    </row>
    <row r="204" spans="1:15" x14ac:dyDescent="0.3">
      <c r="A204">
        <v>12</v>
      </c>
      <c r="B204">
        <v>2022</v>
      </c>
      <c r="C204" t="s">
        <v>18</v>
      </c>
      <c r="D204" t="s">
        <v>5</v>
      </c>
      <c r="E204">
        <v>357</v>
      </c>
      <c r="F204">
        <v>357</v>
      </c>
      <c r="G204">
        <v>1</v>
      </c>
      <c r="H204">
        <v>0</v>
      </c>
      <c r="J204" t="s">
        <v>40</v>
      </c>
      <c r="K204" t="s">
        <v>80</v>
      </c>
      <c r="L204" t="s">
        <v>81</v>
      </c>
      <c r="M204">
        <v>2.4812050455339353E-4</v>
      </c>
      <c r="N204" t="s">
        <v>73</v>
      </c>
      <c r="O204" t="s">
        <v>75</v>
      </c>
    </row>
    <row r="205" spans="1:15" x14ac:dyDescent="0.3">
      <c r="A205">
        <v>12</v>
      </c>
      <c r="B205">
        <v>2022</v>
      </c>
      <c r="C205" t="s">
        <v>18</v>
      </c>
      <c r="D205" t="s">
        <v>5</v>
      </c>
      <c r="E205">
        <v>357</v>
      </c>
      <c r="F205">
        <v>357</v>
      </c>
      <c r="G205">
        <v>1</v>
      </c>
      <c r="H205">
        <v>0</v>
      </c>
      <c r="J205" t="s">
        <v>40</v>
      </c>
      <c r="K205" t="s">
        <v>80</v>
      </c>
      <c r="L205" t="s">
        <v>81</v>
      </c>
      <c r="M205">
        <v>2.4812050455339353E-4</v>
      </c>
      <c r="N205" t="s">
        <v>74</v>
      </c>
      <c r="O205" t="s">
        <v>75</v>
      </c>
    </row>
    <row r="206" spans="1:15" x14ac:dyDescent="0.3">
      <c r="A206">
        <v>12</v>
      </c>
      <c r="B206">
        <v>2022</v>
      </c>
      <c r="C206" t="s">
        <v>18</v>
      </c>
      <c r="D206" t="s">
        <v>6</v>
      </c>
      <c r="E206">
        <v>0</v>
      </c>
      <c r="F206">
        <v>0</v>
      </c>
      <c r="I206" t="s">
        <v>35</v>
      </c>
      <c r="J206" t="s">
        <v>35</v>
      </c>
      <c r="K206" t="s">
        <v>79</v>
      </c>
      <c r="L206" t="s">
        <v>35</v>
      </c>
      <c r="M206">
        <v>0</v>
      </c>
      <c r="N206" t="s">
        <v>72</v>
      </c>
      <c r="O206" t="s">
        <v>75</v>
      </c>
    </row>
    <row r="207" spans="1:15" x14ac:dyDescent="0.3">
      <c r="A207">
        <v>12</v>
      </c>
      <c r="B207">
        <v>2022</v>
      </c>
      <c r="C207" t="s">
        <v>18</v>
      </c>
      <c r="D207" t="s">
        <v>6</v>
      </c>
      <c r="E207">
        <v>0</v>
      </c>
      <c r="F207">
        <v>0</v>
      </c>
      <c r="I207" t="s">
        <v>35</v>
      </c>
      <c r="J207" t="s">
        <v>35</v>
      </c>
      <c r="K207" t="s">
        <v>79</v>
      </c>
      <c r="L207" t="s">
        <v>35</v>
      </c>
      <c r="M207">
        <v>0</v>
      </c>
      <c r="N207" t="s">
        <v>73</v>
      </c>
      <c r="O207" t="s">
        <v>75</v>
      </c>
    </row>
    <row r="208" spans="1:15" x14ac:dyDescent="0.3">
      <c r="A208">
        <v>12</v>
      </c>
      <c r="B208">
        <v>2022</v>
      </c>
      <c r="C208" t="s">
        <v>18</v>
      </c>
      <c r="D208" t="s">
        <v>6</v>
      </c>
      <c r="E208">
        <v>0</v>
      </c>
      <c r="F208">
        <v>0</v>
      </c>
      <c r="I208" t="s">
        <v>35</v>
      </c>
      <c r="J208" t="s">
        <v>35</v>
      </c>
      <c r="K208" t="s">
        <v>79</v>
      </c>
      <c r="L208" t="s">
        <v>35</v>
      </c>
      <c r="M208">
        <v>0</v>
      </c>
      <c r="N208" t="s">
        <v>74</v>
      </c>
      <c r="O208" t="s">
        <v>76</v>
      </c>
    </row>
    <row r="209" spans="1:15" x14ac:dyDescent="0.3">
      <c r="A209">
        <v>12</v>
      </c>
      <c r="B209">
        <v>2022</v>
      </c>
      <c r="C209" t="s">
        <v>18</v>
      </c>
      <c r="D209" t="s">
        <v>7</v>
      </c>
      <c r="E209">
        <v>118675</v>
      </c>
      <c r="F209">
        <v>118046</v>
      </c>
      <c r="G209">
        <v>0.99469981040657263</v>
      </c>
      <c r="H209">
        <v>5.3001895934273735E-3</v>
      </c>
      <c r="J209" t="s">
        <v>40</v>
      </c>
      <c r="K209" t="s">
        <v>80</v>
      </c>
      <c r="L209" t="s">
        <v>81</v>
      </c>
      <c r="M209">
        <v>8.248095483998312E-2</v>
      </c>
      <c r="N209" t="s">
        <v>72</v>
      </c>
      <c r="O209" t="s">
        <v>75</v>
      </c>
    </row>
    <row r="210" spans="1:15" x14ac:dyDescent="0.3">
      <c r="A210">
        <v>12</v>
      </c>
      <c r="B210">
        <v>2022</v>
      </c>
      <c r="C210" t="s">
        <v>18</v>
      </c>
      <c r="D210" t="s">
        <v>7</v>
      </c>
      <c r="E210">
        <v>118675</v>
      </c>
      <c r="F210">
        <v>118046</v>
      </c>
      <c r="G210">
        <v>0.99469981040657263</v>
      </c>
      <c r="H210">
        <v>5.3001895934273735E-3</v>
      </c>
      <c r="J210" t="s">
        <v>40</v>
      </c>
      <c r="K210" t="s">
        <v>80</v>
      </c>
      <c r="L210" t="s">
        <v>81</v>
      </c>
      <c r="M210">
        <v>8.248095483998312E-2</v>
      </c>
      <c r="N210" t="s">
        <v>73</v>
      </c>
      <c r="O210" t="s">
        <v>75</v>
      </c>
    </row>
    <row r="211" spans="1:15" x14ac:dyDescent="0.3">
      <c r="A211">
        <v>12</v>
      </c>
      <c r="B211">
        <v>2022</v>
      </c>
      <c r="C211" t="s">
        <v>18</v>
      </c>
      <c r="D211" t="s">
        <v>7</v>
      </c>
      <c r="E211">
        <v>118675</v>
      </c>
      <c r="F211">
        <v>118046</v>
      </c>
      <c r="G211">
        <v>0.99469981040657263</v>
      </c>
      <c r="H211">
        <v>5.3001895934273735E-3</v>
      </c>
      <c r="J211" t="s">
        <v>40</v>
      </c>
      <c r="K211" t="s">
        <v>80</v>
      </c>
      <c r="L211" t="s">
        <v>81</v>
      </c>
      <c r="M211">
        <v>8.248095483998312E-2</v>
      </c>
      <c r="N211" t="s">
        <v>74</v>
      </c>
      <c r="O211" t="s">
        <v>75</v>
      </c>
    </row>
    <row r="212" spans="1:15" x14ac:dyDescent="0.3">
      <c r="A212">
        <v>12</v>
      </c>
      <c r="B212">
        <v>2022</v>
      </c>
      <c r="C212" t="s">
        <v>18</v>
      </c>
      <c r="D212" t="s">
        <v>8</v>
      </c>
      <c r="E212">
        <v>2231</v>
      </c>
      <c r="F212">
        <v>2225</v>
      </c>
      <c r="G212">
        <v>0.99731062303899598</v>
      </c>
      <c r="H212">
        <v>2.6893769610040197E-3</v>
      </c>
      <c r="J212" t="s">
        <v>40</v>
      </c>
      <c r="K212" t="s">
        <v>80</v>
      </c>
      <c r="L212" t="s">
        <v>81</v>
      </c>
      <c r="M212">
        <v>1.5505793996039802E-3</v>
      </c>
      <c r="N212" t="s">
        <v>72</v>
      </c>
      <c r="O212" t="s">
        <v>75</v>
      </c>
    </row>
    <row r="213" spans="1:15" x14ac:dyDescent="0.3">
      <c r="A213">
        <v>12</v>
      </c>
      <c r="B213">
        <v>2022</v>
      </c>
      <c r="C213" t="s">
        <v>18</v>
      </c>
      <c r="D213" t="s">
        <v>8</v>
      </c>
      <c r="E213">
        <v>2231</v>
      </c>
      <c r="F213">
        <v>2225</v>
      </c>
      <c r="G213">
        <v>0.99731062303899598</v>
      </c>
      <c r="H213">
        <v>2.6893769610040197E-3</v>
      </c>
      <c r="J213" t="s">
        <v>40</v>
      </c>
      <c r="K213" t="s">
        <v>80</v>
      </c>
      <c r="L213" t="s">
        <v>81</v>
      </c>
      <c r="M213">
        <v>1.5505793996039802E-3</v>
      </c>
      <c r="N213" t="s">
        <v>73</v>
      </c>
      <c r="O213" t="s">
        <v>75</v>
      </c>
    </row>
    <row r="214" spans="1:15" x14ac:dyDescent="0.3">
      <c r="A214">
        <v>12</v>
      </c>
      <c r="B214">
        <v>2022</v>
      </c>
      <c r="C214" t="s">
        <v>18</v>
      </c>
      <c r="D214" t="s">
        <v>8</v>
      </c>
      <c r="E214">
        <v>2231</v>
      </c>
      <c r="F214">
        <v>2225</v>
      </c>
      <c r="G214">
        <v>0.99731062303899598</v>
      </c>
      <c r="H214">
        <v>2.6893769610040197E-3</v>
      </c>
      <c r="J214" t="s">
        <v>40</v>
      </c>
      <c r="K214" t="s">
        <v>80</v>
      </c>
      <c r="L214" t="s">
        <v>81</v>
      </c>
      <c r="M214">
        <v>1.5505793996039802E-3</v>
      </c>
      <c r="N214" t="s">
        <v>74</v>
      </c>
      <c r="O214" t="s">
        <v>75</v>
      </c>
    </row>
    <row r="215" spans="1:15" x14ac:dyDescent="0.3">
      <c r="A215">
        <v>12</v>
      </c>
      <c r="B215">
        <v>2022</v>
      </c>
      <c r="C215" t="s">
        <v>18</v>
      </c>
      <c r="D215" t="s">
        <v>9</v>
      </c>
      <c r="E215">
        <v>3615</v>
      </c>
      <c r="F215">
        <v>3607</v>
      </c>
      <c r="G215">
        <v>0.99778699861687414</v>
      </c>
      <c r="H215">
        <v>2.2130013831258566E-3</v>
      </c>
      <c r="J215" t="s">
        <v>40</v>
      </c>
      <c r="K215" t="s">
        <v>80</v>
      </c>
      <c r="L215" t="s">
        <v>81</v>
      </c>
      <c r="M215">
        <v>2.5124807393852033E-3</v>
      </c>
      <c r="N215" t="s">
        <v>72</v>
      </c>
      <c r="O215" t="s">
        <v>75</v>
      </c>
    </row>
    <row r="216" spans="1:15" x14ac:dyDescent="0.3">
      <c r="A216">
        <v>12</v>
      </c>
      <c r="B216">
        <v>2022</v>
      </c>
      <c r="C216" t="s">
        <v>18</v>
      </c>
      <c r="D216" t="s">
        <v>9</v>
      </c>
      <c r="E216">
        <v>3615</v>
      </c>
      <c r="F216">
        <v>3607</v>
      </c>
      <c r="G216">
        <v>0.99778699861687414</v>
      </c>
      <c r="H216">
        <v>2.2130013831258566E-3</v>
      </c>
      <c r="J216" t="s">
        <v>40</v>
      </c>
      <c r="K216" t="s">
        <v>80</v>
      </c>
      <c r="L216" t="s">
        <v>81</v>
      </c>
      <c r="M216">
        <v>2.5124807393852033E-3</v>
      </c>
      <c r="N216" t="s">
        <v>73</v>
      </c>
      <c r="O216" t="s">
        <v>75</v>
      </c>
    </row>
    <row r="217" spans="1:15" x14ac:dyDescent="0.3">
      <c r="A217">
        <v>12</v>
      </c>
      <c r="B217">
        <v>2022</v>
      </c>
      <c r="C217" t="s">
        <v>18</v>
      </c>
      <c r="D217" t="s">
        <v>9</v>
      </c>
      <c r="E217">
        <v>3615</v>
      </c>
      <c r="F217">
        <v>3607</v>
      </c>
      <c r="G217">
        <v>0.99778699861687414</v>
      </c>
      <c r="H217">
        <v>2.2130013831258566E-3</v>
      </c>
      <c r="J217" t="s">
        <v>40</v>
      </c>
      <c r="K217" t="s">
        <v>80</v>
      </c>
      <c r="L217" t="s">
        <v>81</v>
      </c>
      <c r="M217">
        <v>2.5124807393852033E-3</v>
      </c>
      <c r="N217" t="s">
        <v>74</v>
      </c>
      <c r="O217" t="s">
        <v>75</v>
      </c>
    </row>
    <row r="218" spans="1:15" x14ac:dyDescent="0.3">
      <c r="A218">
        <v>12</v>
      </c>
      <c r="B218">
        <v>2022</v>
      </c>
      <c r="C218" t="s">
        <v>23</v>
      </c>
      <c r="D218" t="s">
        <v>4</v>
      </c>
      <c r="E218">
        <v>0</v>
      </c>
      <c r="F218">
        <v>0</v>
      </c>
      <c r="I218" t="s">
        <v>35</v>
      </c>
      <c r="J218" t="s">
        <v>35</v>
      </c>
      <c r="K218" t="s">
        <v>79</v>
      </c>
      <c r="L218" t="s">
        <v>35</v>
      </c>
      <c r="M218">
        <v>0</v>
      </c>
      <c r="N218" t="s">
        <v>72</v>
      </c>
      <c r="O218" t="s">
        <v>75</v>
      </c>
    </row>
    <row r="219" spans="1:15" x14ac:dyDescent="0.3">
      <c r="A219">
        <v>12</v>
      </c>
      <c r="B219">
        <v>2022</v>
      </c>
      <c r="C219" t="s">
        <v>23</v>
      </c>
      <c r="D219" t="s">
        <v>4</v>
      </c>
      <c r="E219">
        <v>0</v>
      </c>
      <c r="F219">
        <v>0</v>
      </c>
      <c r="I219" t="s">
        <v>35</v>
      </c>
      <c r="J219" t="s">
        <v>35</v>
      </c>
      <c r="K219" t="s">
        <v>79</v>
      </c>
      <c r="L219" t="s">
        <v>35</v>
      </c>
      <c r="M219">
        <v>0</v>
      </c>
      <c r="N219" t="s">
        <v>73</v>
      </c>
      <c r="O219" t="s">
        <v>75</v>
      </c>
    </row>
    <row r="220" spans="1:15" x14ac:dyDescent="0.3">
      <c r="A220">
        <v>12</v>
      </c>
      <c r="B220">
        <v>2022</v>
      </c>
      <c r="C220" t="s">
        <v>23</v>
      </c>
      <c r="D220" t="s">
        <v>4</v>
      </c>
      <c r="E220">
        <v>0</v>
      </c>
      <c r="F220">
        <v>0</v>
      </c>
      <c r="I220" t="s">
        <v>35</v>
      </c>
      <c r="J220" t="s">
        <v>35</v>
      </c>
      <c r="K220" t="s">
        <v>79</v>
      </c>
      <c r="L220" t="s">
        <v>35</v>
      </c>
      <c r="M220">
        <v>0</v>
      </c>
      <c r="N220" t="s">
        <v>74</v>
      </c>
      <c r="O220" t="s">
        <v>76</v>
      </c>
    </row>
    <row r="221" spans="1:15" x14ac:dyDescent="0.3">
      <c r="A221">
        <v>12</v>
      </c>
      <c r="B221">
        <v>2022</v>
      </c>
      <c r="C221" t="s">
        <v>23</v>
      </c>
      <c r="D221" t="s">
        <v>5</v>
      </c>
      <c r="E221">
        <v>84</v>
      </c>
      <c r="F221">
        <v>83</v>
      </c>
      <c r="G221">
        <v>0.98809523809523814</v>
      </c>
      <c r="H221">
        <v>1.1904761904761862E-2</v>
      </c>
      <c r="J221" t="s">
        <v>40</v>
      </c>
      <c r="K221" t="s">
        <v>82</v>
      </c>
      <c r="L221" t="s">
        <v>81</v>
      </c>
      <c r="M221">
        <v>5.8381295189033768E-5</v>
      </c>
      <c r="N221" t="s">
        <v>72</v>
      </c>
      <c r="O221" t="s">
        <v>75</v>
      </c>
    </row>
    <row r="222" spans="1:15" x14ac:dyDescent="0.3">
      <c r="A222">
        <v>12</v>
      </c>
      <c r="B222">
        <v>2022</v>
      </c>
      <c r="C222" t="s">
        <v>23</v>
      </c>
      <c r="D222" t="s">
        <v>5</v>
      </c>
      <c r="E222">
        <v>84</v>
      </c>
      <c r="F222">
        <v>83</v>
      </c>
      <c r="G222">
        <v>0.98809523809523814</v>
      </c>
      <c r="H222">
        <v>1.1904761904761862E-2</v>
      </c>
      <c r="J222" t="s">
        <v>40</v>
      </c>
      <c r="K222" t="s">
        <v>82</v>
      </c>
      <c r="L222" t="s">
        <v>81</v>
      </c>
      <c r="M222">
        <v>5.8381295189033768E-5</v>
      </c>
      <c r="N222" t="s">
        <v>73</v>
      </c>
      <c r="O222" t="s">
        <v>75</v>
      </c>
    </row>
    <row r="223" spans="1:15" x14ac:dyDescent="0.3">
      <c r="A223">
        <v>12</v>
      </c>
      <c r="B223">
        <v>2022</v>
      </c>
      <c r="C223" t="s">
        <v>23</v>
      </c>
      <c r="D223" t="s">
        <v>5</v>
      </c>
      <c r="E223">
        <v>84</v>
      </c>
      <c r="F223">
        <v>83</v>
      </c>
      <c r="G223">
        <v>0.98809523809523814</v>
      </c>
      <c r="H223">
        <v>1.1904761904761862E-2</v>
      </c>
      <c r="J223" t="s">
        <v>40</v>
      </c>
      <c r="K223" t="s">
        <v>82</v>
      </c>
      <c r="L223" t="s">
        <v>81</v>
      </c>
      <c r="M223">
        <v>5.8381295189033768E-5</v>
      </c>
      <c r="N223" t="s">
        <v>74</v>
      </c>
      <c r="O223" t="s">
        <v>75</v>
      </c>
    </row>
    <row r="224" spans="1:15" x14ac:dyDescent="0.3">
      <c r="A224">
        <v>12</v>
      </c>
      <c r="B224">
        <v>2022</v>
      </c>
      <c r="C224" t="s">
        <v>23</v>
      </c>
      <c r="D224" t="s">
        <v>6</v>
      </c>
      <c r="E224">
        <v>0</v>
      </c>
      <c r="F224">
        <v>0</v>
      </c>
      <c r="I224" t="s">
        <v>35</v>
      </c>
      <c r="J224" t="s">
        <v>35</v>
      </c>
      <c r="K224" t="s">
        <v>79</v>
      </c>
      <c r="L224" t="s">
        <v>35</v>
      </c>
      <c r="M224">
        <v>0</v>
      </c>
      <c r="N224" t="s">
        <v>72</v>
      </c>
      <c r="O224" t="s">
        <v>75</v>
      </c>
    </row>
    <row r="225" spans="1:15" x14ac:dyDescent="0.3">
      <c r="A225">
        <v>12</v>
      </c>
      <c r="B225">
        <v>2022</v>
      </c>
      <c r="C225" t="s">
        <v>23</v>
      </c>
      <c r="D225" t="s">
        <v>6</v>
      </c>
      <c r="E225">
        <v>0</v>
      </c>
      <c r="F225">
        <v>0</v>
      </c>
      <c r="I225" t="s">
        <v>35</v>
      </c>
      <c r="J225" t="s">
        <v>35</v>
      </c>
      <c r="K225" t="s">
        <v>79</v>
      </c>
      <c r="L225" t="s">
        <v>35</v>
      </c>
      <c r="M225">
        <v>0</v>
      </c>
      <c r="N225" t="s">
        <v>73</v>
      </c>
      <c r="O225" t="s">
        <v>75</v>
      </c>
    </row>
    <row r="226" spans="1:15" x14ac:dyDescent="0.3">
      <c r="A226">
        <v>12</v>
      </c>
      <c r="B226">
        <v>2022</v>
      </c>
      <c r="C226" t="s">
        <v>23</v>
      </c>
      <c r="D226" t="s">
        <v>6</v>
      </c>
      <c r="E226">
        <v>0</v>
      </c>
      <c r="F226">
        <v>0</v>
      </c>
      <c r="I226" t="s">
        <v>35</v>
      </c>
      <c r="J226" t="s">
        <v>35</v>
      </c>
      <c r="K226" t="s">
        <v>79</v>
      </c>
      <c r="L226" t="s">
        <v>35</v>
      </c>
      <c r="M226">
        <v>0</v>
      </c>
      <c r="N226" t="s">
        <v>74</v>
      </c>
      <c r="O226" t="s">
        <v>76</v>
      </c>
    </row>
    <row r="227" spans="1:15" x14ac:dyDescent="0.3">
      <c r="A227">
        <v>12</v>
      </c>
      <c r="B227">
        <v>2022</v>
      </c>
      <c r="C227" t="s">
        <v>23</v>
      </c>
      <c r="D227" t="s">
        <v>7</v>
      </c>
      <c r="E227">
        <v>84716</v>
      </c>
      <c r="F227">
        <v>83962</v>
      </c>
      <c r="G227">
        <v>0.99109967420558098</v>
      </c>
      <c r="H227">
        <v>8.9003257944190173E-3</v>
      </c>
      <c r="J227" t="s">
        <v>40</v>
      </c>
      <c r="K227" t="s">
        <v>80</v>
      </c>
      <c r="L227" t="s">
        <v>81</v>
      </c>
      <c r="M227">
        <v>5.887892622897839E-2</v>
      </c>
      <c r="N227" t="s">
        <v>72</v>
      </c>
      <c r="O227" t="s">
        <v>75</v>
      </c>
    </row>
    <row r="228" spans="1:15" x14ac:dyDescent="0.3">
      <c r="A228">
        <v>12</v>
      </c>
      <c r="B228">
        <v>2022</v>
      </c>
      <c r="C228" t="s">
        <v>23</v>
      </c>
      <c r="D228" t="s">
        <v>7</v>
      </c>
      <c r="E228">
        <v>84716</v>
      </c>
      <c r="F228">
        <v>83962</v>
      </c>
      <c r="G228">
        <v>0.99109967420558098</v>
      </c>
      <c r="H228">
        <v>8.9003257944190173E-3</v>
      </c>
      <c r="J228" t="s">
        <v>40</v>
      </c>
      <c r="K228" t="s">
        <v>80</v>
      </c>
      <c r="L228" t="s">
        <v>81</v>
      </c>
      <c r="M228">
        <v>5.887892622897839E-2</v>
      </c>
      <c r="N228" t="s">
        <v>73</v>
      </c>
      <c r="O228" t="s">
        <v>75</v>
      </c>
    </row>
    <row r="229" spans="1:15" x14ac:dyDescent="0.3">
      <c r="A229">
        <v>12</v>
      </c>
      <c r="B229">
        <v>2022</v>
      </c>
      <c r="C229" t="s">
        <v>23</v>
      </c>
      <c r="D229" t="s">
        <v>7</v>
      </c>
      <c r="E229">
        <v>84716</v>
      </c>
      <c r="F229">
        <v>83962</v>
      </c>
      <c r="G229">
        <v>0.99109967420558098</v>
      </c>
      <c r="H229">
        <v>8.9003257944190173E-3</v>
      </c>
      <c r="J229" t="s">
        <v>40</v>
      </c>
      <c r="K229" t="s">
        <v>80</v>
      </c>
      <c r="L229" t="s">
        <v>81</v>
      </c>
      <c r="M229">
        <v>5.887892622897839E-2</v>
      </c>
      <c r="N229" t="s">
        <v>74</v>
      </c>
      <c r="O229" t="s">
        <v>75</v>
      </c>
    </row>
    <row r="230" spans="1:15" x14ac:dyDescent="0.3">
      <c r="A230">
        <v>12</v>
      </c>
      <c r="B230">
        <v>2022</v>
      </c>
      <c r="C230" t="s">
        <v>23</v>
      </c>
      <c r="D230" t="s">
        <v>8</v>
      </c>
      <c r="E230">
        <v>3714</v>
      </c>
      <c r="F230">
        <v>3669</v>
      </c>
      <c r="G230">
        <v>0.98788368336025845</v>
      </c>
      <c r="H230">
        <v>1.2116316639741553E-2</v>
      </c>
      <c r="J230" t="s">
        <v>40</v>
      </c>
      <c r="K230" t="s">
        <v>80</v>
      </c>
      <c r="L230" t="s">
        <v>81</v>
      </c>
      <c r="M230">
        <v>2.581287265857993E-3</v>
      </c>
      <c r="N230" t="s">
        <v>72</v>
      </c>
      <c r="O230" t="s">
        <v>75</v>
      </c>
    </row>
    <row r="231" spans="1:15" x14ac:dyDescent="0.3">
      <c r="A231">
        <v>12</v>
      </c>
      <c r="B231">
        <v>2022</v>
      </c>
      <c r="C231" t="s">
        <v>23</v>
      </c>
      <c r="D231" t="s">
        <v>8</v>
      </c>
      <c r="E231">
        <v>3714</v>
      </c>
      <c r="F231">
        <v>3669</v>
      </c>
      <c r="G231">
        <v>0.98788368336025845</v>
      </c>
      <c r="H231">
        <v>1.2116316639741553E-2</v>
      </c>
      <c r="J231" t="s">
        <v>40</v>
      </c>
      <c r="K231" t="s">
        <v>80</v>
      </c>
      <c r="L231" t="s">
        <v>81</v>
      </c>
      <c r="M231">
        <v>2.581287265857993E-3</v>
      </c>
      <c r="N231" t="s">
        <v>73</v>
      </c>
      <c r="O231" t="s">
        <v>75</v>
      </c>
    </row>
    <row r="232" spans="1:15" x14ac:dyDescent="0.3">
      <c r="A232">
        <v>12</v>
      </c>
      <c r="B232">
        <v>2022</v>
      </c>
      <c r="C232" t="s">
        <v>23</v>
      </c>
      <c r="D232" t="s">
        <v>8</v>
      </c>
      <c r="E232">
        <v>3714</v>
      </c>
      <c r="F232">
        <v>3669</v>
      </c>
      <c r="G232">
        <v>0.98788368336025845</v>
      </c>
      <c r="H232">
        <v>1.2116316639741553E-2</v>
      </c>
      <c r="J232" t="s">
        <v>40</v>
      </c>
      <c r="K232" t="s">
        <v>80</v>
      </c>
      <c r="L232" t="s">
        <v>81</v>
      </c>
      <c r="M232">
        <v>2.581287265857993E-3</v>
      </c>
      <c r="N232" t="s">
        <v>74</v>
      </c>
      <c r="O232" t="s">
        <v>75</v>
      </c>
    </row>
    <row r="233" spans="1:15" x14ac:dyDescent="0.3">
      <c r="A233">
        <v>12</v>
      </c>
      <c r="B233">
        <v>2022</v>
      </c>
      <c r="C233" t="s">
        <v>23</v>
      </c>
      <c r="D233" t="s">
        <v>9</v>
      </c>
      <c r="E233">
        <v>5409</v>
      </c>
      <c r="F233">
        <v>5398</v>
      </c>
      <c r="G233">
        <v>0.99796635237567022</v>
      </c>
      <c r="H233">
        <v>2.0336476243297819E-3</v>
      </c>
      <c r="J233" t="s">
        <v>40</v>
      </c>
      <c r="K233" t="s">
        <v>80</v>
      </c>
      <c r="L233" t="s">
        <v>81</v>
      </c>
      <c r="M233">
        <v>3.7593384009224243E-3</v>
      </c>
      <c r="N233" t="s">
        <v>72</v>
      </c>
      <c r="O233" t="s">
        <v>75</v>
      </c>
    </row>
    <row r="234" spans="1:15" x14ac:dyDescent="0.3">
      <c r="A234">
        <v>12</v>
      </c>
      <c r="B234">
        <v>2022</v>
      </c>
      <c r="C234" t="s">
        <v>23</v>
      </c>
      <c r="D234" t="s">
        <v>9</v>
      </c>
      <c r="E234">
        <v>5409</v>
      </c>
      <c r="F234">
        <v>5398</v>
      </c>
      <c r="G234">
        <v>0.99796635237567022</v>
      </c>
      <c r="H234">
        <v>2.0336476243297819E-3</v>
      </c>
      <c r="J234" t="s">
        <v>40</v>
      </c>
      <c r="K234" t="s">
        <v>80</v>
      </c>
      <c r="L234" t="s">
        <v>81</v>
      </c>
      <c r="M234">
        <v>3.7593384009224243E-3</v>
      </c>
      <c r="N234" t="s">
        <v>73</v>
      </c>
      <c r="O234" t="s">
        <v>75</v>
      </c>
    </row>
    <row r="235" spans="1:15" x14ac:dyDescent="0.3">
      <c r="A235">
        <v>12</v>
      </c>
      <c r="B235">
        <v>2022</v>
      </c>
      <c r="C235" t="s">
        <v>23</v>
      </c>
      <c r="D235" t="s">
        <v>9</v>
      </c>
      <c r="E235">
        <v>5409</v>
      </c>
      <c r="F235">
        <v>5398</v>
      </c>
      <c r="G235">
        <v>0.99796635237567022</v>
      </c>
      <c r="H235">
        <v>2.0336476243297819E-3</v>
      </c>
      <c r="J235" t="s">
        <v>40</v>
      </c>
      <c r="K235" t="s">
        <v>80</v>
      </c>
      <c r="L235" t="s">
        <v>81</v>
      </c>
      <c r="M235">
        <v>3.7593384009224243E-3</v>
      </c>
      <c r="N235" t="s">
        <v>74</v>
      </c>
      <c r="O235" t="s">
        <v>75</v>
      </c>
    </row>
    <row r="236" spans="1:15" x14ac:dyDescent="0.3">
      <c r="A236">
        <v>12</v>
      </c>
      <c r="B236">
        <v>2022</v>
      </c>
      <c r="C236" t="s">
        <v>24</v>
      </c>
      <c r="D236" t="s">
        <v>4</v>
      </c>
      <c r="E236">
        <v>0</v>
      </c>
      <c r="F236">
        <v>0</v>
      </c>
      <c r="I236" t="s">
        <v>35</v>
      </c>
      <c r="J236" t="s">
        <v>35</v>
      </c>
      <c r="K236" t="s">
        <v>79</v>
      </c>
      <c r="L236" t="s">
        <v>35</v>
      </c>
      <c r="M236">
        <v>0</v>
      </c>
      <c r="N236" t="s">
        <v>72</v>
      </c>
      <c r="O236" t="s">
        <v>75</v>
      </c>
    </row>
    <row r="237" spans="1:15" x14ac:dyDescent="0.3">
      <c r="A237">
        <v>12</v>
      </c>
      <c r="B237">
        <v>2022</v>
      </c>
      <c r="C237" t="s">
        <v>24</v>
      </c>
      <c r="D237" t="s">
        <v>4</v>
      </c>
      <c r="E237">
        <v>0</v>
      </c>
      <c r="F237">
        <v>0</v>
      </c>
      <c r="I237" t="s">
        <v>35</v>
      </c>
      <c r="J237" t="s">
        <v>35</v>
      </c>
      <c r="K237" t="s">
        <v>79</v>
      </c>
      <c r="L237" t="s">
        <v>35</v>
      </c>
      <c r="M237">
        <v>0</v>
      </c>
      <c r="N237" t="s">
        <v>73</v>
      </c>
      <c r="O237" t="s">
        <v>75</v>
      </c>
    </row>
    <row r="238" spans="1:15" x14ac:dyDescent="0.3">
      <c r="A238">
        <v>12</v>
      </c>
      <c r="B238">
        <v>2022</v>
      </c>
      <c r="C238" t="s">
        <v>24</v>
      </c>
      <c r="D238" t="s">
        <v>4</v>
      </c>
      <c r="E238">
        <v>0</v>
      </c>
      <c r="F238">
        <v>0</v>
      </c>
      <c r="I238" t="s">
        <v>35</v>
      </c>
      <c r="J238" t="s">
        <v>35</v>
      </c>
      <c r="K238" t="s">
        <v>79</v>
      </c>
      <c r="L238" t="s">
        <v>35</v>
      </c>
      <c r="M238">
        <v>0</v>
      </c>
      <c r="N238" t="s">
        <v>74</v>
      </c>
      <c r="O238" t="s">
        <v>76</v>
      </c>
    </row>
    <row r="239" spans="1:15" x14ac:dyDescent="0.3">
      <c r="A239">
        <v>12</v>
      </c>
      <c r="B239">
        <v>2022</v>
      </c>
      <c r="C239" t="s">
        <v>24</v>
      </c>
      <c r="D239" t="s">
        <v>5</v>
      </c>
      <c r="E239">
        <v>1336</v>
      </c>
      <c r="F239">
        <v>1272</v>
      </c>
      <c r="G239">
        <v>0.95209580838323349</v>
      </c>
      <c r="H239">
        <v>4.7904191616766512E-2</v>
      </c>
      <c r="J239" t="s">
        <v>40</v>
      </c>
      <c r="K239" t="s">
        <v>80</v>
      </c>
      <c r="L239" t="s">
        <v>84</v>
      </c>
      <c r="M239">
        <v>9.2854059967320372E-4</v>
      </c>
      <c r="N239" t="s">
        <v>72</v>
      </c>
      <c r="O239" t="s">
        <v>75</v>
      </c>
    </row>
    <row r="240" spans="1:15" x14ac:dyDescent="0.3">
      <c r="A240">
        <v>12</v>
      </c>
      <c r="B240">
        <v>2022</v>
      </c>
      <c r="C240" t="s">
        <v>24</v>
      </c>
      <c r="D240" t="s">
        <v>5</v>
      </c>
      <c r="E240">
        <v>1336</v>
      </c>
      <c r="F240">
        <v>1272</v>
      </c>
      <c r="G240">
        <v>0.95209580838323349</v>
      </c>
      <c r="H240">
        <v>4.7904191616766512E-2</v>
      </c>
      <c r="J240" t="s">
        <v>40</v>
      </c>
      <c r="K240" t="s">
        <v>80</v>
      </c>
      <c r="L240" t="s">
        <v>84</v>
      </c>
      <c r="M240">
        <v>9.2854059967320372E-4</v>
      </c>
      <c r="N240" t="s">
        <v>73</v>
      </c>
      <c r="O240" t="s">
        <v>75</v>
      </c>
    </row>
    <row r="241" spans="1:15" x14ac:dyDescent="0.3">
      <c r="A241">
        <v>12</v>
      </c>
      <c r="B241">
        <v>2022</v>
      </c>
      <c r="C241" t="s">
        <v>24</v>
      </c>
      <c r="D241" t="s">
        <v>5</v>
      </c>
      <c r="E241">
        <v>1336</v>
      </c>
      <c r="F241">
        <v>1272</v>
      </c>
      <c r="G241">
        <v>0.95209580838323349</v>
      </c>
      <c r="H241">
        <v>4.7904191616766512E-2</v>
      </c>
      <c r="J241" t="s">
        <v>40</v>
      </c>
      <c r="K241" t="s">
        <v>80</v>
      </c>
      <c r="L241" t="s">
        <v>84</v>
      </c>
      <c r="M241">
        <v>9.2854059967320372E-4</v>
      </c>
      <c r="N241" t="s">
        <v>74</v>
      </c>
      <c r="O241" t="s">
        <v>75</v>
      </c>
    </row>
    <row r="242" spans="1:15" x14ac:dyDescent="0.3">
      <c r="A242">
        <v>12</v>
      </c>
      <c r="B242">
        <v>2022</v>
      </c>
      <c r="C242" t="s">
        <v>24</v>
      </c>
      <c r="D242" t="s">
        <v>6</v>
      </c>
      <c r="E242">
        <v>0</v>
      </c>
      <c r="F242">
        <v>0</v>
      </c>
      <c r="I242" t="s">
        <v>35</v>
      </c>
      <c r="J242" t="s">
        <v>35</v>
      </c>
      <c r="K242" t="s">
        <v>79</v>
      </c>
      <c r="L242" t="s">
        <v>35</v>
      </c>
      <c r="M242">
        <v>0</v>
      </c>
      <c r="N242" t="s">
        <v>72</v>
      </c>
      <c r="O242" t="s">
        <v>75</v>
      </c>
    </row>
    <row r="243" spans="1:15" x14ac:dyDescent="0.3">
      <c r="A243">
        <v>12</v>
      </c>
      <c r="B243">
        <v>2022</v>
      </c>
      <c r="C243" t="s">
        <v>24</v>
      </c>
      <c r="D243" t="s">
        <v>6</v>
      </c>
      <c r="E243">
        <v>0</v>
      </c>
      <c r="F243">
        <v>0</v>
      </c>
      <c r="I243" t="s">
        <v>35</v>
      </c>
      <c r="J243" t="s">
        <v>35</v>
      </c>
      <c r="K243" t="s">
        <v>79</v>
      </c>
      <c r="L243" t="s">
        <v>35</v>
      </c>
      <c r="M243">
        <v>0</v>
      </c>
      <c r="N243" t="s">
        <v>73</v>
      </c>
      <c r="O243" t="s">
        <v>75</v>
      </c>
    </row>
    <row r="244" spans="1:15" x14ac:dyDescent="0.3">
      <c r="A244">
        <v>12</v>
      </c>
      <c r="B244">
        <v>2022</v>
      </c>
      <c r="C244" t="s">
        <v>24</v>
      </c>
      <c r="D244" t="s">
        <v>6</v>
      </c>
      <c r="E244">
        <v>0</v>
      </c>
      <c r="F244">
        <v>0</v>
      </c>
      <c r="I244" t="s">
        <v>35</v>
      </c>
      <c r="J244" t="s">
        <v>35</v>
      </c>
      <c r="K244" t="s">
        <v>79</v>
      </c>
      <c r="L244" t="s">
        <v>35</v>
      </c>
      <c r="M244">
        <v>0</v>
      </c>
      <c r="N244" t="s">
        <v>74</v>
      </c>
      <c r="O244" t="s">
        <v>76</v>
      </c>
    </row>
    <row r="245" spans="1:15" x14ac:dyDescent="0.3">
      <c r="A245">
        <v>12</v>
      </c>
      <c r="B245">
        <v>2022</v>
      </c>
      <c r="C245" t="s">
        <v>24</v>
      </c>
      <c r="D245" t="s">
        <v>7</v>
      </c>
      <c r="E245">
        <v>131729</v>
      </c>
      <c r="F245">
        <v>130263</v>
      </c>
      <c r="G245">
        <v>0.98887109140735907</v>
      </c>
      <c r="H245">
        <v>1.1128908592640929E-2</v>
      </c>
      <c r="J245" t="s">
        <v>40</v>
      </c>
      <c r="K245" t="s">
        <v>80</v>
      </c>
      <c r="L245" t="s">
        <v>81</v>
      </c>
      <c r="M245">
        <v>9.1553686118526545E-2</v>
      </c>
      <c r="N245" t="s">
        <v>72</v>
      </c>
      <c r="O245" t="s">
        <v>75</v>
      </c>
    </row>
    <row r="246" spans="1:15" x14ac:dyDescent="0.3">
      <c r="A246">
        <v>12</v>
      </c>
      <c r="B246">
        <v>2022</v>
      </c>
      <c r="C246" t="s">
        <v>24</v>
      </c>
      <c r="D246" t="s">
        <v>7</v>
      </c>
      <c r="E246">
        <v>131729</v>
      </c>
      <c r="F246">
        <v>130263</v>
      </c>
      <c r="G246">
        <v>0.98887109140735907</v>
      </c>
      <c r="H246">
        <v>1.1128908592640929E-2</v>
      </c>
      <c r="J246" t="s">
        <v>40</v>
      </c>
      <c r="K246" t="s">
        <v>80</v>
      </c>
      <c r="L246" t="s">
        <v>81</v>
      </c>
      <c r="M246">
        <v>9.1553686118526545E-2</v>
      </c>
      <c r="N246" t="s">
        <v>73</v>
      </c>
      <c r="O246" t="s">
        <v>75</v>
      </c>
    </row>
    <row r="247" spans="1:15" x14ac:dyDescent="0.3">
      <c r="A247">
        <v>12</v>
      </c>
      <c r="B247">
        <v>2022</v>
      </c>
      <c r="C247" t="s">
        <v>24</v>
      </c>
      <c r="D247" t="s">
        <v>7</v>
      </c>
      <c r="E247">
        <v>131729</v>
      </c>
      <c r="F247">
        <v>130263</v>
      </c>
      <c r="G247">
        <v>0.98887109140735907</v>
      </c>
      <c r="H247">
        <v>1.1128908592640929E-2</v>
      </c>
      <c r="J247" t="s">
        <v>40</v>
      </c>
      <c r="K247" t="s">
        <v>80</v>
      </c>
      <c r="L247" t="s">
        <v>81</v>
      </c>
      <c r="M247">
        <v>9.1553686118526545E-2</v>
      </c>
      <c r="N247" t="s">
        <v>74</v>
      </c>
      <c r="O247" t="s">
        <v>75</v>
      </c>
    </row>
    <row r="248" spans="1:15" x14ac:dyDescent="0.3">
      <c r="A248">
        <v>12</v>
      </c>
      <c r="B248">
        <v>2022</v>
      </c>
      <c r="C248" t="s">
        <v>24</v>
      </c>
      <c r="D248" t="s">
        <v>8</v>
      </c>
      <c r="E248">
        <v>3184</v>
      </c>
      <c r="F248">
        <v>3152</v>
      </c>
      <c r="G248">
        <v>0.98994974874371855</v>
      </c>
      <c r="H248">
        <v>1.0050251256281451E-2</v>
      </c>
      <c r="J248" t="s">
        <v>40</v>
      </c>
      <c r="K248" t="s">
        <v>80</v>
      </c>
      <c r="L248" t="s">
        <v>81</v>
      </c>
      <c r="M248">
        <v>2.2129290938319468E-3</v>
      </c>
      <c r="N248" t="s">
        <v>72</v>
      </c>
      <c r="O248" t="s">
        <v>75</v>
      </c>
    </row>
    <row r="249" spans="1:15" x14ac:dyDescent="0.3">
      <c r="A249">
        <v>12</v>
      </c>
      <c r="B249">
        <v>2022</v>
      </c>
      <c r="C249" t="s">
        <v>24</v>
      </c>
      <c r="D249" t="s">
        <v>8</v>
      </c>
      <c r="E249">
        <v>3184</v>
      </c>
      <c r="F249">
        <v>3152</v>
      </c>
      <c r="G249">
        <v>0.98994974874371855</v>
      </c>
      <c r="H249">
        <v>1.0050251256281451E-2</v>
      </c>
      <c r="J249" t="s">
        <v>40</v>
      </c>
      <c r="K249" t="s">
        <v>80</v>
      </c>
      <c r="L249" t="s">
        <v>81</v>
      </c>
      <c r="M249">
        <v>2.2129290938319468E-3</v>
      </c>
      <c r="N249" t="s">
        <v>73</v>
      </c>
      <c r="O249" t="s">
        <v>75</v>
      </c>
    </row>
    <row r="250" spans="1:15" x14ac:dyDescent="0.3">
      <c r="A250">
        <v>12</v>
      </c>
      <c r="B250">
        <v>2022</v>
      </c>
      <c r="C250" t="s">
        <v>24</v>
      </c>
      <c r="D250" t="s">
        <v>8</v>
      </c>
      <c r="E250">
        <v>3184</v>
      </c>
      <c r="F250">
        <v>3152</v>
      </c>
      <c r="G250">
        <v>0.98994974874371855</v>
      </c>
      <c r="H250">
        <v>1.0050251256281451E-2</v>
      </c>
      <c r="J250" t="s">
        <v>40</v>
      </c>
      <c r="K250" t="s">
        <v>80</v>
      </c>
      <c r="L250" t="s">
        <v>81</v>
      </c>
      <c r="M250">
        <v>2.2129290938319468E-3</v>
      </c>
      <c r="N250" t="s">
        <v>74</v>
      </c>
      <c r="O250" t="s">
        <v>75</v>
      </c>
    </row>
    <row r="251" spans="1:15" x14ac:dyDescent="0.3">
      <c r="A251">
        <v>12</v>
      </c>
      <c r="B251">
        <v>2022</v>
      </c>
      <c r="C251" t="s">
        <v>24</v>
      </c>
      <c r="D251" t="s">
        <v>9</v>
      </c>
      <c r="E251">
        <v>8680</v>
      </c>
      <c r="F251">
        <v>8666</v>
      </c>
      <c r="G251">
        <v>0.99838709677419357</v>
      </c>
      <c r="H251">
        <v>1.612903225806428E-3</v>
      </c>
      <c r="J251" t="s">
        <v>40</v>
      </c>
      <c r="K251" t="s">
        <v>80</v>
      </c>
      <c r="L251" t="s">
        <v>81</v>
      </c>
      <c r="M251">
        <v>6.0327338362001562E-3</v>
      </c>
      <c r="N251" t="s">
        <v>72</v>
      </c>
      <c r="O251" t="s">
        <v>75</v>
      </c>
    </row>
    <row r="252" spans="1:15" x14ac:dyDescent="0.3">
      <c r="A252">
        <v>12</v>
      </c>
      <c r="B252">
        <v>2022</v>
      </c>
      <c r="C252" t="s">
        <v>24</v>
      </c>
      <c r="D252" t="s">
        <v>9</v>
      </c>
      <c r="E252">
        <v>8680</v>
      </c>
      <c r="F252">
        <v>8666</v>
      </c>
      <c r="G252">
        <v>0.99838709677419357</v>
      </c>
      <c r="H252">
        <v>1.612903225806428E-3</v>
      </c>
      <c r="J252" t="s">
        <v>40</v>
      </c>
      <c r="K252" t="s">
        <v>80</v>
      </c>
      <c r="L252" t="s">
        <v>81</v>
      </c>
      <c r="M252">
        <v>6.0327338362001562E-3</v>
      </c>
      <c r="N252" t="s">
        <v>73</v>
      </c>
      <c r="O252" t="s">
        <v>75</v>
      </c>
    </row>
    <row r="253" spans="1:15" x14ac:dyDescent="0.3">
      <c r="A253">
        <v>12</v>
      </c>
      <c r="B253">
        <v>2022</v>
      </c>
      <c r="C253" t="s">
        <v>24</v>
      </c>
      <c r="D253" t="s">
        <v>9</v>
      </c>
      <c r="E253">
        <v>8680</v>
      </c>
      <c r="F253">
        <v>8666</v>
      </c>
      <c r="G253">
        <v>0.99838709677419357</v>
      </c>
      <c r="H253">
        <v>1.612903225806428E-3</v>
      </c>
      <c r="J253" t="s">
        <v>40</v>
      </c>
      <c r="K253" t="s">
        <v>80</v>
      </c>
      <c r="L253" t="s">
        <v>81</v>
      </c>
      <c r="M253">
        <v>6.0327338362001562E-3</v>
      </c>
      <c r="N253" t="s">
        <v>74</v>
      </c>
      <c r="O253" t="s">
        <v>75</v>
      </c>
    </row>
    <row r="254" spans="1:15" x14ac:dyDescent="0.3">
      <c r="A254">
        <v>12</v>
      </c>
      <c r="B254">
        <v>2022</v>
      </c>
      <c r="C254" t="s">
        <v>16</v>
      </c>
      <c r="D254" t="s">
        <v>4</v>
      </c>
      <c r="E254">
        <v>0</v>
      </c>
      <c r="F254">
        <v>0</v>
      </c>
      <c r="I254" t="s">
        <v>35</v>
      </c>
      <c r="J254" t="s">
        <v>35</v>
      </c>
      <c r="K254" t="s">
        <v>79</v>
      </c>
      <c r="L254" t="s">
        <v>35</v>
      </c>
      <c r="M254">
        <v>0</v>
      </c>
      <c r="N254" t="s">
        <v>72</v>
      </c>
      <c r="O254" t="s">
        <v>75</v>
      </c>
    </row>
    <row r="255" spans="1:15" x14ac:dyDescent="0.3">
      <c r="A255">
        <v>12</v>
      </c>
      <c r="B255">
        <v>2022</v>
      </c>
      <c r="C255" t="s">
        <v>16</v>
      </c>
      <c r="D255" t="s">
        <v>4</v>
      </c>
      <c r="E255">
        <v>0</v>
      </c>
      <c r="F255">
        <v>0</v>
      </c>
      <c r="I255" t="s">
        <v>35</v>
      </c>
      <c r="J255" t="s">
        <v>35</v>
      </c>
      <c r="K255" t="s">
        <v>79</v>
      </c>
      <c r="L255" t="s">
        <v>35</v>
      </c>
      <c r="M255">
        <v>0</v>
      </c>
      <c r="N255" t="s">
        <v>73</v>
      </c>
      <c r="O255" t="s">
        <v>75</v>
      </c>
    </row>
    <row r="256" spans="1:15" x14ac:dyDescent="0.3">
      <c r="A256">
        <v>12</v>
      </c>
      <c r="B256">
        <v>2022</v>
      </c>
      <c r="C256" t="s">
        <v>16</v>
      </c>
      <c r="D256" t="s">
        <v>4</v>
      </c>
      <c r="E256">
        <v>0</v>
      </c>
      <c r="F256">
        <v>0</v>
      </c>
      <c r="I256" t="s">
        <v>35</v>
      </c>
      <c r="J256" t="s">
        <v>35</v>
      </c>
      <c r="K256" t="s">
        <v>79</v>
      </c>
      <c r="L256" t="s">
        <v>35</v>
      </c>
      <c r="M256">
        <v>0</v>
      </c>
      <c r="N256" t="s">
        <v>74</v>
      </c>
      <c r="O256" t="s">
        <v>76</v>
      </c>
    </row>
    <row r="257" spans="1:15" x14ac:dyDescent="0.3">
      <c r="A257">
        <v>12</v>
      </c>
      <c r="B257">
        <v>2022</v>
      </c>
      <c r="C257" t="s">
        <v>16</v>
      </c>
      <c r="D257" t="s">
        <v>5</v>
      </c>
      <c r="E257">
        <v>1535</v>
      </c>
      <c r="F257">
        <v>1534</v>
      </c>
      <c r="G257">
        <v>0.99934853420195435</v>
      </c>
      <c r="H257">
        <v>6.514657980456473E-4</v>
      </c>
      <c r="J257" t="s">
        <v>40</v>
      </c>
      <c r="K257" t="s">
        <v>80</v>
      </c>
      <c r="L257" t="s">
        <v>81</v>
      </c>
      <c r="M257">
        <v>1.0668486680377005E-3</v>
      </c>
      <c r="N257" t="s">
        <v>72</v>
      </c>
      <c r="O257" t="s">
        <v>75</v>
      </c>
    </row>
    <row r="258" spans="1:15" x14ac:dyDescent="0.3">
      <c r="A258">
        <v>12</v>
      </c>
      <c r="B258">
        <v>2022</v>
      </c>
      <c r="C258" t="s">
        <v>16</v>
      </c>
      <c r="D258" t="s">
        <v>5</v>
      </c>
      <c r="E258">
        <v>1535</v>
      </c>
      <c r="F258">
        <v>1534</v>
      </c>
      <c r="G258">
        <v>0.99934853420195435</v>
      </c>
      <c r="H258">
        <v>6.514657980456473E-4</v>
      </c>
      <c r="J258" t="s">
        <v>40</v>
      </c>
      <c r="K258" t="s">
        <v>80</v>
      </c>
      <c r="L258" t="s">
        <v>81</v>
      </c>
      <c r="M258">
        <v>1.0668486680377005E-3</v>
      </c>
      <c r="N258" t="s">
        <v>73</v>
      </c>
      <c r="O258" t="s">
        <v>75</v>
      </c>
    </row>
    <row r="259" spans="1:15" x14ac:dyDescent="0.3">
      <c r="A259">
        <v>12</v>
      </c>
      <c r="B259">
        <v>2022</v>
      </c>
      <c r="C259" t="s">
        <v>16</v>
      </c>
      <c r="D259" t="s">
        <v>5</v>
      </c>
      <c r="E259">
        <v>1535</v>
      </c>
      <c r="F259">
        <v>1534</v>
      </c>
      <c r="G259">
        <v>0.99934853420195435</v>
      </c>
      <c r="H259">
        <v>6.514657980456473E-4</v>
      </c>
      <c r="J259" t="s">
        <v>40</v>
      </c>
      <c r="K259" t="s">
        <v>80</v>
      </c>
      <c r="L259" t="s">
        <v>81</v>
      </c>
      <c r="M259">
        <v>1.0668486680377005E-3</v>
      </c>
      <c r="N259" t="s">
        <v>74</v>
      </c>
      <c r="O259" t="s">
        <v>75</v>
      </c>
    </row>
    <row r="260" spans="1:15" x14ac:dyDescent="0.3">
      <c r="A260">
        <v>12</v>
      </c>
      <c r="B260">
        <v>2022</v>
      </c>
      <c r="C260" t="s">
        <v>16</v>
      </c>
      <c r="D260" t="s">
        <v>6</v>
      </c>
      <c r="E260">
        <v>0</v>
      </c>
      <c r="F260">
        <v>0</v>
      </c>
      <c r="I260" t="s">
        <v>35</v>
      </c>
      <c r="J260" t="s">
        <v>35</v>
      </c>
      <c r="K260" t="s">
        <v>79</v>
      </c>
      <c r="L260" t="s">
        <v>35</v>
      </c>
      <c r="M260">
        <v>0</v>
      </c>
      <c r="N260" t="s">
        <v>72</v>
      </c>
      <c r="O260" t="s">
        <v>75</v>
      </c>
    </row>
    <row r="261" spans="1:15" x14ac:dyDescent="0.3">
      <c r="A261">
        <v>12</v>
      </c>
      <c r="B261">
        <v>2022</v>
      </c>
      <c r="C261" t="s">
        <v>16</v>
      </c>
      <c r="D261" t="s">
        <v>6</v>
      </c>
      <c r="E261">
        <v>0</v>
      </c>
      <c r="F261">
        <v>0</v>
      </c>
      <c r="I261" t="s">
        <v>35</v>
      </c>
      <c r="J261" t="s">
        <v>35</v>
      </c>
      <c r="K261" t="s">
        <v>79</v>
      </c>
      <c r="L261" t="s">
        <v>35</v>
      </c>
      <c r="M261">
        <v>0</v>
      </c>
      <c r="N261" t="s">
        <v>73</v>
      </c>
      <c r="O261" t="s">
        <v>75</v>
      </c>
    </row>
    <row r="262" spans="1:15" x14ac:dyDescent="0.3">
      <c r="A262">
        <v>12</v>
      </c>
      <c r="B262">
        <v>2022</v>
      </c>
      <c r="C262" t="s">
        <v>16</v>
      </c>
      <c r="D262" t="s">
        <v>6</v>
      </c>
      <c r="E262">
        <v>0</v>
      </c>
      <c r="F262">
        <v>0</v>
      </c>
      <c r="I262" t="s">
        <v>35</v>
      </c>
      <c r="J262" t="s">
        <v>35</v>
      </c>
      <c r="K262" t="s">
        <v>79</v>
      </c>
      <c r="L262" t="s">
        <v>35</v>
      </c>
      <c r="M262">
        <v>0</v>
      </c>
      <c r="N262" t="s">
        <v>74</v>
      </c>
      <c r="O262" t="s">
        <v>76</v>
      </c>
    </row>
    <row r="263" spans="1:15" x14ac:dyDescent="0.3">
      <c r="A263">
        <v>12</v>
      </c>
      <c r="B263">
        <v>2022</v>
      </c>
      <c r="C263" t="s">
        <v>16</v>
      </c>
      <c r="D263" t="s">
        <v>7</v>
      </c>
      <c r="E263">
        <v>22801</v>
      </c>
      <c r="F263">
        <v>22742</v>
      </c>
      <c r="G263">
        <v>0.99741239419323713</v>
      </c>
      <c r="H263">
        <v>2.5876058067628716E-3</v>
      </c>
      <c r="J263" t="s">
        <v>40</v>
      </c>
      <c r="K263" t="s">
        <v>80</v>
      </c>
      <c r="L263" t="s">
        <v>81</v>
      </c>
      <c r="M263">
        <v>1.5847046566728081E-2</v>
      </c>
      <c r="N263" t="s">
        <v>72</v>
      </c>
      <c r="O263" t="s">
        <v>75</v>
      </c>
    </row>
    <row r="264" spans="1:15" x14ac:dyDescent="0.3">
      <c r="A264">
        <v>12</v>
      </c>
      <c r="B264">
        <v>2022</v>
      </c>
      <c r="C264" t="s">
        <v>16</v>
      </c>
      <c r="D264" t="s">
        <v>7</v>
      </c>
      <c r="E264">
        <v>22801</v>
      </c>
      <c r="F264">
        <v>22742</v>
      </c>
      <c r="G264">
        <v>0.99741239419323713</v>
      </c>
      <c r="H264">
        <v>2.5876058067628716E-3</v>
      </c>
      <c r="J264" t="s">
        <v>40</v>
      </c>
      <c r="K264" t="s">
        <v>80</v>
      </c>
      <c r="L264" t="s">
        <v>81</v>
      </c>
      <c r="M264">
        <v>1.5847046566728081E-2</v>
      </c>
      <c r="N264" t="s">
        <v>73</v>
      </c>
      <c r="O264" t="s">
        <v>75</v>
      </c>
    </row>
    <row r="265" spans="1:15" x14ac:dyDescent="0.3">
      <c r="A265">
        <v>12</v>
      </c>
      <c r="B265">
        <v>2022</v>
      </c>
      <c r="C265" t="s">
        <v>16</v>
      </c>
      <c r="D265" t="s">
        <v>7</v>
      </c>
      <c r="E265">
        <v>22801</v>
      </c>
      <c r="F265">
        <v>22742</v>
      </c>
      <c r="G265">
        <v>0.99741239419323713</v>
      </c>
      <c r="H265">
        <v>2.5876058067628716E-3</v>
      </c>
      <c r="J265" t="s">
        <v>40</v>
      </c>
      <c r="K265" t="s">
        <v>80</v>
      </c>
      <c r="L265" t="s">
        <v>81</v>
      </c>
      <c r="M265">
        <v>1.5847046566728081E-2</v>
      </c>
      <c r="N265" t="s">
        <v>74</v>
      </c>
      <c r="O265" t="s">
        <v>75</v>
      </c>
    </row>
    <row r="266" spans="1:15" x14ac:dyDescent="0.3">
      <c r="A266">
        <v>12</v>
      </c>
      <c r="B266">
        <v>2022</v>
      </c>
      <c r="C266" t="s">
        <v>16</v>
      </c>
      <c r="D266" t="s">
        <v>8</v>
      </c>
      <c r="E266">
        <v>1673</v>
      </c>
      <c r="F266">
        <v>1662</v>
      </c>
      <c r="G266">
        <v>0.99342498505678423</v>
      </c>
      <c r="H266">
        <v>6.5750149432157734E-3</v>
      </c>
      <c r="J266" t="s">
        <v>40</v>
      </c>
      <c r="K266" t="s">
        <v>80</v>
      </c>
      <c r="L266" t="s">
        <v>81</v>
      </c>
      <c r="M266">
        <v>1.1627607958482559E-3</v>
      </c>
      <c r="N266" t="s">
        <v>72</v>
      </c>
      <c r="O266" t="s">
        <v>75</v>
      </c>
    </row>
    <row r="267" spans="1:15" x14ac:dyDescent="0.3">
      <c r="A267">
        <v>12</v>
      </c>
      <c r="B267">
        <v>2022</v>
      </c>
      <c r="C267" t="s">
        <v>16</v>
      </c>
      <c r="D267" t="s">
        <v>8</v>
      </c>
      <c r="E267">
        <v>1673</v>
      </c>
      <c r="F267">
        <v>1662</v>
      </c>
      <c r="G267">
        <v>0.99342498505678423</v>
      </c>
      <c r="H267">
        <v>6.5750149432157734E-3</v>
      </c>
      <c r="J267" t="s">
        <v>40</v>
      </c>
      <c r="K267" t="s">
        <v>80</v>
      </c>
      <c r="L267" t="s">
        <v>81</v>
      </c>
      <c r="M267">
        <v>1.1627607958482559E-3</v>
      </c>
      <c r="N267" t="s">
        <v>73</v>
      </c>
      <c r="O267" t="s">
        <v>75</v>
      </c>
    </row>
    <row r="268" spans="1:15" x14ac:dyDescent="0.3">
      <c r="A268">
        <v>12</v>
      </c>
      <c r="B268">
        <v>2022</v>
      </c>
      <c r="C268" t="s">
        <v>16</v>
      </c>
      <c r="D268" t="s">
        <v>8</v>
      </c>
      <c r="E268">
        <v>1673</v>
      </c>
      <c r="F268">
        <v>1662</v>
      </c>
      <c r="G268">
        <v>0.99342498505678423</v>
      </c>
      <c r="H268">
        <v>6.5750149432157734E-3</v>
      </c>
      <c r="J268" t="s">
        <v>40</v>
      </c>
      <c r="K268" t="s">
        <v>80</v>
      </c>
      <c r="L268" t="s">
        <v>81</v>
      </c>
      <c r="M268">
        <v>1.1627607958482559E-3</v>
      </c>
      <c r="N268" t="s">
        <v>74</v>
      </c>
      <c r="O268" t="s">
        <v>75</v>
      </c>
    </row>
    <row r="269" spans="1:15" x14ac:dyDescent="0.3">
      <c r="A269">
        <v>12</v>
      </c>
      <c r="B269">
        <v>2022</v>
      </c>
      <c r="C269" t="s">
        <v>16</v>
      </c>
      <c r="D269" t="s">
        <v>9</v>
      </c>
      <c r="E269">
        <v>4859</v>
      </c>
      <c r="F269">
        <v>4849</v>
      </c>
      <c r="G269">
        <v>0.99794196336694796</v>
      </c>
      <c r="H269">
        <v>2.0580366330520405E-3</v>
      </c>
      <c r="J269" t="s">
        <v>40</v>
      </c>
      <c r="K269" t="s">
        <v>80</v>
      </c>
      <c r="L269" t="s">
        <v>81</v>
      </c>
      <c r="M269">
        <v>3.3770799205180366E-3</v>
      </c>
      <c r="N269" t="s">
        <v>72</v>
      </c>
      <c r="O269" t="s">
        <v>75</v>
      </c>
    </row>
    <row r="270" spans="1:15" x14ac:dyDescent="0.3">
      <c r="A270">
        <v>12</v>
      </c>
      <c r="B270">
        <v>2022</v>
      </c>
      <c r="C270" t="s">
        <v>16</v>
      </c>
      <c r="D270" t="s">
        <v>9</v>
      </c>
      <c r="E270">
        <v>4859</v>
      </c>
      <c r="F270">
        <v>4849</v>
      </c>
      <c r="G270">
        <v>0.99794196336694796</v>
      </c>
      <c r="H270">
        <v>2.0580366330520405E-3</v>
      </c>
      <c r="J270" t="s">
        <v>40</v>
      </c>
      <c r="K270" t="s">
        <v>80</v>
      </c>
      <c r="L270" t="s">
        <v>81</v>
      </c>
      <c r="M270">
        <v>3.3770799205180366E-3</v>
      </c>
      <c r="N270" t="s">
        <v>73</v>
      </c>
      <c r="O270" t="s">
        <v>75</v>
      </c>
    </row>
    <row r="271" spans="1:15" x14ac:dyDescent="0.3">
      <c r="A271">
        <v>12</v>
      </c>
      <c r="B271">
        <v>2022</v>
      </c>
      <c r="C271" t="s">
        <v>16</v>
      </c>
      <c r="D271" t="s">
        <v>9</v>
      </c>
      <c r="E271">
        <v>4859</v>
      </c>
      <c r="F271">
        <v>4849</v>
      </c>
      <c r="G271">
        <v>0.99794196336694796</v>
      </c>
      <c r="H271">
        <v>2.0580366330520405E-3</v>
      </c>
      <c r="J271" t="s">
        <v>40</v>
      </c>
      <c r="K271" t="s">
        <v>80</v>
      </c>
      <c r="L271" t="s">
        <v>81</v>
      </c>
      <c r="M271">
        <v>3.3770799205180366E-3</v>
      </c>
      <c r="N271" t="s">
        <v>74</v>
      </c>
      <c r="O271" t="s">
        <v>75</v>
      </c>
    </row>
    <row r="272" spans="1:15" x14ac:dyDescent="0.3">
      <c r="A272">
        <v>12</v>
      </c>
      <c r="B272">
        <v>2022</v>
      </c>
      <c r="C272" t="s">
        <v>25</v>
      </c>
      <c r="D272" t="s">
        <v>4</v>
      </c>
      <c r="E272">
        <v>0</v>
      </c>
      <c r="F272">
        <v>0</v>
      </c>
      <c r="I272" t="s">
        <v>35</v>
      </c>
      <c r="J272" t="s">
        <v>35</v>
      </c>
      <c r="K272" t="s">
        <v>79</v>
      </c>
      <c r="L272" t="s">
        <v>35</v>
      </c>
      <c r="M272">
        <v>0</v>
      </c>
      <c r="N272" t="s">
        <v>72</v>
      </c>
      <c r="O272" t="s">
        <v>75</v>
      </c>
    </row>
    <row r="273" spans="1:15" x14ac:dyDescent="0.3">
      <c r="A273">
        <v>12</v>
      </c>
      <c r="B273">
        <v>2022</v>
      </c>
      <c r="C273" t="s">
        <v>25</v>
      </c>
      <c r="D273" t="s">
        <v>4</v>
      </c>
      <c r="E273">
        <v>0</v>
      </c>
      <c r="F273">
        <v>0</v>
      </c>
      <c r="I273" t="s">
        <v>35</v>
      </c>
      <c r="J273" t="s">
        <v>35</v>
      </c>
      <c r="K273" t="s">
        <v>79</v>
      </c>
      <c r="L273" t="s">
        <v>35</v>
      </c>
      <c r="M273">
        <v>0</v>
      </c>
      <c r="N273" t="s">
        <v>73</v>
      </c>
      <c r="O273" t="s">
        <v>75</v>
      </c>
    </row>
    <row r="274" spans="1:15" x14ac:dyDescent="0.3">
      <c r="A274">
        <v>12</v>
      </c>
      <c r="B274">
        <v>2022</v>
      </c>
      <c r="C274" t="s">
        <v>25</v>
      </c>
      <c r="D274" t="s">
        <v>4</v>
      </c>
      <c r="E274">
        <v>0</v>
      </c>
      <c r="F274">
        <v>0</v>
      </c>
      <c r="I274" t="s">
        <v>35</v>
      </c>
      <c r="J274" t="s">
        <v>35</v>
      </c>
      <c r="K274" t="s">
        <v>79</v>
      </c>
      <c r="L274" t="s">
        <v>35</v>
      </c>
      <c r="M274">
        <v>0</v>
      </c>
      <c r="N274" t="s">
        <v>74</v>
      </c>
      <c r="O274" t="s">
        <v>76</v>
      </c>
    </row>
    <row r="275" spans="1:15" x14ac:dyDescent="0.3">
      <c r="A275">
        <v>12</v>
      </c>
      <c r="B275">
        <v>2022</v>
      </c>
      <c r="C275" t="s">
        <v>25</v>
      </c>
      <c r="D275" t="s">
        <v>5</v>
      </c>
      <c r="E275">
        <v>82</v>
      </c>
      <c r="F275">
        <v>82</v>
      </c>
      <c r="G275">
        <v>1</v>
      </c>
      <c r="H275">
        <v>0</v>
      </c>
      <c r="J275" t="s">
        <v>40</v>
      </c>
      <c r="K275" t="s">
        <v>82</v>
      </c>
      <c r="L275" t="s">
        <v>83</v>
      </c>
      <c r="M275">
        <v>5.6991264351199632E-5</v>
      </c>
      <c r="N275" t="s">
        <v>72</v>
      </c>
      <c r="O275" t="s">
        <v>75</v>
      </c>
    </row>
    <row r="276" spans="1:15" x14ac:dyDescent="0.3">
      <c r="A276">
        <v>12</v>
      </c>
      <c r="B276">
        <v>2022</v>
      </c>
      <c r="C276" t="s">
        <v>25</v>
      </c>
      <c r="D276" t="s">
        <v>5</v>
      </c>
      <c r="E276">
        <v>82</v>
      </c>
      <c r="F276">
        <v>82</v>
      </c>
      <c r="G276">
        <v>1</v>
      </c>
      <c r="H276">
        <v>0</v>
      </c>
      <c r="J276" t="s">
        <v>40</v>
      </c>
      <c r="K276" t="s">
        <v>82</v>
      </c>
      <c r="L276" t="s">
        <v>83</v>
      </c>
      <c r="M276">
        <v>5.6991264351199632E-5</v>
      </c>
      <c r="N276" t="s">
        <v>73</v>
      </c>
      <c r="O276" t="s">
        <v>75</v>
      </c>
    </row>
    <row r="277" spans="1:15" x14ac:dyDescent="0.3">
      <c r="A277">
        <v>12</v>
      </c>
      <c r="B277">
        <v>2022</v>
      </c>
      <c r="C277" t="s">
        <v>25</v>
      </c>
      <c r="D277" t="s">
        <v>5</v>
      </c>
      <c r="E277">
        <v>82</v>
      </c>
      <c r="F277">
        <v>82</v>
      </c>
      <c r="G277">
        <v>1</v>
      </c>
      <c r="H277">
        <v>0</v>
      </c>
      <c r="J277" t="s">
        <v>40</v>
      </c>
      <c r="K277" t="s">
        <v>82</v>
      </c>
      <c r="L277" t="s">
        <v>83</v>
      </c>
      <c r="M277">
        <v>5.6991264351199632E-5</v>
      </c>
      <c r="N277" t="s">
        <v>74</v>
      </c>
      <c r="O277" t="s">
        <v>75</v>
      </c>
    </row>
    <row r="278" spans="1:15" x14ac:dyDescent="0.3">
      <c r="A278">
        <v>12</v>
      </c>
      <c r="B278">
        <v>2022</v>
      </c>
      <c r="C278" t="s">
        <v>25</v>
      </c>
      <c r="D278" t="s">
        <v>6</v>
      </c>
      <c r="E278">
        <v>0</v>
      </c>
      <c r="F278">
        <v>0</v>
      </c>
      <c r="I278" t="s">
        <v>35</v>
      </c>
      <c r="J278" t="s">
        <v>35</v>
      </c>
      <c r="K278" t="s">
        <v>79</v>
      </c>
      <c r="L278" t="s">
        <v>35</v>
      </c>
      <c r="M278">
        <v>0</v>
      </c>
      <c r="N278" t="s">
        <v>72</v>
      </c>
      <c r="O278" t="s">
        <v>75</v>
      </c>
    </row>
    <row r="279" spans="1:15" x14ac:dyDescent="0.3">
      <c r="A279">
        <v>12</v>
      </c>
      <c r="B279">
        <v>2022</v>
      </c>
      <c r="C279" t="s">
        <v>25</v>
      </c>
      <c r="D279" t="s">
        <v>6</v>
      </c>
      <c r="E279">
        <v>0</v>
      </c>
      <c r="F279">
        <v>0</v>
      </c>
      <c r="I279" t="s">
        <v>35</v>
      </c>
      <c r="J279" t="s">
        <v>35</v>
      </c>
      <c r="K279" t="s">
        <v>79</v>
      </c>
      <c r="L279" t="s">
        <v>35</v>
      </c>
      <c r="M279">
        <v>0</v>
      </c>
      <c r="N279" t="s">
        <v>73</v>
      </c>
      <c r="O279" t="s">
        <v>75</v>
      </c>
    </row>
    <row r="280" spans="1:15" x14ac:dyDescent="0.3">
      <c r="A280">
        <v>12</v>
      </c>
      <c r="B280">
        <v>2022</v>
      </c>
      <c r="C280" t="s">
        <v>25</v>
      </c>
      <c r="D280" t="s">
        <v>6</v>
      </c>
      <c r="E280">
        <v>0</v>
      </c>
      <c r="F280">
        <v>0</v>
      </c>
      <c r="I280" t="s">
        <v>35</v>
      </c>
      <c r="J280" t="s">
        <v>35</v>
      </c>
      <c r="K280" t="s">
        <v>79</v>
      </c>
      <c r="L280" t="s">
        <v>35</v>
      </c>
      <c r="M280">
        <v>0</v>
      </c>
      <c r="N280" t="s">
        <v>74</v>
      </c>
      <c r="O280" t="s">
        <v>76</v>
      </c>
    </row>
    <row r="281" spans="1:15" x14ac:dyDescent="0.3">
      <c r="A281">
        <v>12</v>
      </c>
      <c r="B281">
        <v>2022</v>
      </c>
      <c r="C281" t="s">
        <v>25</v>
      </c>
      <c r="D281" t="s">
        <v>7</v>
      </c>
      <c r="E281">
        <v>33500</v>
      </c>
      <c r="F281">
        <v>33462</v>
      </c>
      <c r="G281">
        <v>0.99886567164179108</v>
      </c>
      <c r="H281">
        <v>1.1343283582089247E-3</v>
      </c>
      <c r="J281" t="s">
        <v>40</v>
      </c>
      <c r="K281" t="s">
        <v>80</v>
      </c>
      <c r="L281" t="s">
        <v>81</v>
      </c>
      <c r="M281">
        <v>2.32830165337218E-2</v>
      </c>
      <c r="N281" t="s">
        <v>72</v>
      </c>
      <c r="O281" t="s">
        <v>75</v>
      </c>
    </row>
    <row r="282" spans="1:15" x14ac:dyDescent="0.3">
      <c r="A282">
        <v>12</v>
      </c>
      <c r="B282">
        <v>2022</v>
      </c>
      <c r="C282" t="s">
        <v>25</v>
      </c>
      <c r="D282" t="s">
        <v>7</v>
      </c>
      <c r="E282">
        <v>33500</v>
      </c>
      <c r="F282">
        <v>33462</v>
      </c>
      <c r="G282">
        <v>0.99886567164179108</v>
      </c>
      <c r="H282">
        <v>1.1343283582089247E-3</v>
      </c>
      <c r="J282" t="s">
        <v>40</v>
      </c>
      <c r="K282" t="s">
        <v>80</v>
      </c>
      <c r="L282" t="s">
        <v>81</v>
      </c>
      <c r="M282">
        <v>2.32830165337218E-2</v>
      </c>
      <c r="N282" t="s">
        <v>73</v>
      </c>
      <c r="O282" t="s">
        <v>75</v>
      </c>
    </row>
    <row r="283" spans="1:15" x14ac:dyDescent="0.3">
      <c r="A283">
        <v>12</v>
      </c>
      <c r="B283">
        <v>2022</v>
      </c>
      <c r="C283" t="s">
        <v>25</v>
      </c>
      <c r="D283" t="s">
        <v>7</v>
      </c>
      <c r="E283">
        <v>33500</v>
      </c>
      <c r="F283">
        <v>33462</v>
      </c>
      <c r="G283">
        <v>0.99886567164179108</v>
      </c>
      <c r="H283">
        <v>1.1343283582089247E-3</v>
      </c>
      <c r="J283" t="s">
        <v>40</v>
      </c>
      <c r="K283" t="s">
        <v>80</v>
      </c>
      <c r="L283" t="s">
        <v>81</v>
      </c>
      <c r="M283">
        <v>2.32830165337218E-2</v>
      </c>
      <c r="N283" t="s">
        <v>74</v>
      </c>
      <c r="O283" t="s">
        <v>75</v>
      </c>
    </row>
    <row r="284" spans="1:15" x14ac:dyDescent="0.3">
      <c r="A284">
        <v>12</v>
      </c>
      <c r="B284">
        <v>2022</v>
      </c>
      <c r="C284" t="s">
        <v>25</v>
      </c>
      <c r="D284" t="s">
        <v>8</v>
      </c>
      <c r="E284">
        <v>973</v>
      </c>
      <c r="F284">
        <v>972</v>
      </c>
      <c r="G284">
        <v>0.99897225077081198</v>
      </c>
      <c r="H284">
        <v>1.0277492291880241E-3</v>
      </c>
      <c r="J284" t="s">
        <v>40</v>
      </c>
      <c r="K284" t="s">
        <v>80</v>
      </c>
      <c r="L284" t="s">
        <v>81</v>
      </c>
      <c r="M284">
        <v>6.7625000260630784E-4</v>
      </c>
      <c r="N284" t="s">
        <v>72</v>
      </c>
      <c r="O284" t="s">
        <v>75</v>
      </c>
    </row>
    <row r="285" spans="1:15" x14ac:dyDescent="0.3">
      <c r="A285">
        <v>12</v>
      </c>
      <c r="B285">
        <v>2022</v>
      </c>
      <c r="C285" t="s">
        <v>25</v>
      </c>
      <c r="D285" t="s">
        <v>8</v>
      </c>
      <c r="E285">
        <v>973</v>
      </c>
      <c r="F285">
        <v>972</v>
      </c>
      <c r="G285">
        <v>0.99897225077081198</v>
      </c>
      <c r="H285">
        <v>1.0277492291880241E-3</v>
      </c>
      <c r="J285" t="s">
        <v>40</v>
      </c>
      <c r="K285" t="s">
        <v>80</v>
      </c>
      <c r="L285" t="s">
        <v>81</v>
      </c>
      <c r="M285">
        <v>6.7625000260630784E-4</v>
      </c>
      <c r="N285" t="s">
        <v>73</v>
      </c>
      <c r="O285" t="s">
        <v>75</v>
      </c>
    </row>
    <row r="286" spans="1:15" x14ac:dyDescent="0.3">
      <c r="A286">
        <v>12</v>
      </c>
      <c r="B286">
        <v>2022</v>
      </c>
      <c r="C286" t="s">
        <v>25</v>
      </c>
      <c r="D286" t="s">
        <v>8</v>
      </c>
      <c r="E286">
        <v>973</v>
      </c>
      <c r="F286">
        <v>972</v>
      </c>
      <c r="G286">
        <v>0.99897225077081198</v>
      </c>
      <c r="H286">
        <v>1.0277492291880241E-3</v>
      </c>
      <c r="J286" t="s">
        <v>40</v>
      </c>
      <c r="K286" t="s">
        <v>80</v>
      </c>
      <c r="L286" t="s">
        <v>81</v>
      </c>
      <c r="M286">
        <v>6.7625000260630784E-4</v>
      </c>
      <c r="N286" t="s">
        <v>74</v>
      </c>
      <c r="O286" t="s">
        <v>75</v>
      </c>
    </row>
    <row r="287" spans="1:15" x14ac:dyDescent="0.3">
      <c r="A287">
        <v>12</v>
      </c>
      <c r="B287">
        <v>2022</v>
      </c>
      <c r="C287" t="s">
        <v>25</v>
      </c>
      <c r="D287" t="s">
        <v>9</v>
      </c>
      <c r="E287">
        <v>3666</v>
      </c>
      <c r="F287">
        <v>3661</v>
      </c>
      <c r="G287">
        <v>0.9986361156573923</v>
      </c>
      <c r="H287">
        <v>1.3638843426077019E-3</v>
      </c>
      <c r="J287" t="s">
        <v>40</v>
      </c>
      <c r="K287" t="s">
        <v>80</v>
      </c>
      <c r="L287" t="s">
        <v>81</v>
      </c>
      <c r="M287">
        <v>2.5479265257499738E-3</v>
      </c>
      <c r="N287" t="s">
        <v>72</v>
      </c>
      <c r="O287" t="s">
        <v>75</v>
      </c>
    </row>
    <row r="288" spans="1:15" x14ac:dyDescent="0.3">
      <c r="A288">
        <v>12</v>
      </c>
      <c r="B288">
        <v>2022</v>
      </c>
      <c r="C288" t="s">
        <v>25</v>
      </c>
      <c r="D288" t="s">
        <v>9</v>
      </c>
      <c r="E288">
        <v>3666</v>
      </c>
      <c r="F288">
        <v>3661</v>
      </c>
      <c r="G288">
        <v>0.9986361156573923</v>
      </c>
      <c r="H288">
        <v>1.3638843426077019E-3</v>
      </c>
      <c r="J288" t="s">
        <v>40</v>
      </c>
      <c r="K288" t="s">
        <v>80</v>
      </c>
      <c r="L288" t="s">
        <v>81</v>
      </c>
      <c r="M288">
        <v>2.5479265257499738E-3</v>
      </c>
      <c r="N288" t="s">
        <v>73</v>
      </c>
      <c r="O288" t="s">
        <v>75</v>
      </c>
    </row>
    <row r="289" spans="1:15" x14ac:dyDescent="0.3">
      <c r="A289">
        <v>12</v>
      </c>
      <c r="B289">
        <v>2022</v>
      </c>
      <c r="C289" t="s">
        <v>25</v>
      </c>
      <c r="D289" t="s">
        <v>9</v>
      </c>
      <c r="E289">
        <v>3666</v>
      </c>
      <c r="F289">
        <v>3661</v>
      </c>
      <c r="G289">
        <v>0.9986361156573923</v>
      </c>
      <c r="H289">
        <v>1.3638843426077019E-3</v>
      </c>
      <c r="J289" t="s">
        <v>40</v>
      </c>
      <c r="K289" t="s">
        <v>80</v>
      </c>
      <c r="L289" t="s">
        <v>81</v>
      </c>
      <c r="M289">
        <v>2.5479265257499738E-3</v>
      </c>
      <c r="N289" t="s">
        <v>74</v>
      </c>
      <c r="O289" t="s">
        <v>75</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56E7F-909B-4C20-9CAB-AC5FF4D0D723}">
  <dimension ref="A1:P98"/>
  <sheetViews>
    <sheetView topLeftCell="A2" zoomScaleNormal="100" workbookViewId="0">
      <selection activeCell="E9" sqref="E9"/>
    </sheetView>
  </sheetViews>
  <sheetFormatPr defaultRowHeight="14.4" x14ac:dyDescent="0.3"/>
  <cols>
    <col min="3" max="3" width="12" bestFit="1" customWidth="1"/>
    <col min="4" max="4" width="13.109375" bestFit="1" customWidth="1"/>
    <col min="5" max="5" width="12.109375" bestFit="1" customWidth="1"/>
    <col min="6" max="6" width="11.33203125" bestFit="1" customWidth="1"/>
    <col min="7" max="7" width="17.44140625" bestFit="1" customWidth="1"/>
    <col min="8" max="8" width="14.5546875" bestFit="1" customWidth="1"/>
    <col min="9" max="9" width="14.109375" bestFit="1" customWidth="1"/>
    <col min="10" max="10" width="12.88671875" bestFit="1" customWidth="1"/>
    <col min="11" max="11" width="12.44140625" bestFit="1" customWidth="1"/>
    <col min="12" max="12" width="22.5546875" bestFit="1" customWidth="1"/>
    <col min="13" max="13" width="16.109375" bestFit="1" customWidth="1"/>
    <col min="14" max="14" width="20.109375" bestFit="1" customWidth="1"/>
    <col min="15" max="15" width="25.33203125" bestFit="1" customWidth="1"/>
    <col min="16" max="16" width="22.5546875" bestFit="1" customWidth="1"/>
  </cols>
  <sheetData>
    <row r="1" spans="1:16" x14ac:dyDescent="0.3">
      <c r="A1" t="s">
        <v>0</v>
      </c>
      <c r="B1" t="s">
        <v>1</v>
      </c>
      <c r="C1" t="s">
        <v>28</v>
      </c>
      <c r="D1" t="s">
        <v>29</v>
      </c>
      <c r="E1" t="s">
        <v>30</v>
      </c>
      <c r="F1" t="s">
        <v>31</v>
      </c>
      <c r="G1" t="s">
        <v>32</v>
      </c>
      <c r="H1" t="s">
        <v>33</v>
      </c>
      <c r="I1" t="s">
        <v>34</v>
      </c>
      <c r="J1" t="s">
        <v>39</v>
      </c>
      <c r="K1" t="s">
        <v>48</v>
      </c>
      <c r="L1" t="s">
        <v>65</v>
      </c>
      <c r="M1" t="s">
        <v>66</v>
      </c>
      <c r="N1" t="s">
        <v>72</v>
      </c>
      <c r="O1" t="s">
        <v>73</v>
      </c>
      <c r="P1" t="s">
        <v>74</v>
      </c>
    </row>
    <row r="2" spans="1:16" x14ac:dyDescent="0.3">
      <c r="A2">
        <v>12</v>
      </c>
      <c r="B2">
        <v>2022</v>
      </c>
      <c r="C2" t="s">
        <v>10</v>
      </c>
      <c r="D2" t="s">
        <v>4</v>
      </c>
      <c r="E2">
        <v>0</v>
      </c>
      <c r="F2">
        <v>0</v>
      </c>
      <c r="I2" t="s">
        <v>35</v>
      </c>
      <c r="J2" t="str">
        <f>IF(Table1_14[[#This Row],[Registered]] = 0, "ABSENT", "NON_ZERO")</f>
        <v>ABSENT</v>
      </c>
      <c r="K2" t="str">
        <f>IF(Table1_14[[#This Row],[Registered]] = 0, "ABSENT_BASE", IF(Table1_14[[#This Row],[Registered]]&lt;100, "SMALL_BASE", "VALID_BASE"))</f>
        <v>ABSENT_BASE</v>
      </c>
      <c r="L2" t="str">
        <f>IF(Table1_14[[#This Row],[Registered]]=0, "ABSENT", IF(Table1_14[[#This Row],[Appearance Rate]]&lt;0.98, "LOW_RATE", IF(AND(Table1_14[[#This Row],[Appearance Rate]]=1, Table1_14[[#This Row],[Registered]]&lt;100), "SUSPICIOUS_PERFECTION", "NORMAL")))</f>
        <v>ABSENT</v>
      </c>
      <c r="M2" s="7">
        <f>Table1_14[[#This Row],[Registered]]/SUM(Table1_14[Registered])</f>
        <v>0</v>
      </c>
      <c r="N2" t="str">
        <f xml:space="preserve"> IF(OR(Table1_14[[#This Row],[Appearance Rate]]&lt;0, Table1_14[[#This Row],[Appearance Rate]]&gt;1), "FLAG", "OK")</f>
        <v>OK</v>
      </c>
      <c r="O2" t="str">
        <f xml:space="preserve"> IF(Table1_14[[#This Row],[Appeared]]&gt;Table1_14[[#This Row],[Registered]], "FLAG", "OK")</f>
        <v>OK</v>
      </c>
      <c r="P2" t="str">
        <f xml:space="preserve"> IF(OR(ISBLANK(Table1_14[[#This Row],[Registered]]), ISBLANK(Table1_14[[#This Row],[Appeared]]), Table1_14[[#This Row],[Registered]]=0, Table1_14[[#This Row],[Appeared]]=0), "FLAG", "OK")</f>
        <v>FLAG</v>
      </c>
    </row>
    <row r="3" spans="1:16" x14ac:dyDescent="0.3">
      <c r="A3">
        <v>12</v>
      </c>
      <c r="B3">
        <v>2022</v>
      </c>
      <c r="C3" t="s">
        <v>10</v>
      </c>
      <c r="D3" t="s">
        <v>5</v>
      </c>
      <c r="E3">
        <v>4533</v>
      </c>
      <c r="F3">
        <v>4524</v>
      </c>
      <c r="G3">
        <v>0.99801455989410981</v>
      </c>
      <c r="H3">
        <v>1.9854401058901905E-3</v>
      </c>
      <c r="J3" t="str">
        <f>IF(Table1_14[[#This Row],[Registered]] = 0, "ABSENT", "NON_ZERO")</f>
        <v>NON_ZERO</v>
      </c>
      <c r="K3" t="str">
        <f>IF(Table1_14[[#This Row],[Registered]] = 0, "ABSENT_BASE", IF(Table1_14[[#This Row],[Registered]]&lt;100, "SMALL_BASE", "VALID_BASE"))</f>
        <v>VALID_BASE</v>
      </c>
      <c r="L3" t="str">
        <f>IF(Table1_14[[#This Row],[Registered]]=0, "ABSENT", IF(Table1_14[[#This Row],[Appearance Rate]]&lt;0.98, "LOW_RATE", IF(AND(Table1_14[[#This Row],[Appearance Rate]]=1, Table1_14[[#This Row],[Registered]]&lt;100), "SUSPICIOUS_PERFECTION", "NORMAL")))</f>
        <v>NORMAL</v>
      </c>
      <c r="M3" s="7">
        <f>Table1_14[[#This Row],[Registered]]/SUM(Table1_14[Registered])</f>
        <v>3.1505048939510722E-3</v>
      </c>
      <c r="N3" t="str">
        <f xml:space="preserve"> IF(OR(Table1_14[[#This Row],[Appearance Rate]]&lt;0, Table1_14[[#This Row],[Appearance Rate]]&gt;1), "FLAG", "OK")</f>
        <v>OK</v>
      </c>
      <c r="O3" t="str">
        <f xml:space="preserve"> IF(Table1_14[[#This Row],[Appeared]]&gt;Table1_14[[#This Row],[Registered]], "FLAG", "OK")</f>
        <v>OK</v>
      </c>
      <c r="P3" t="str">
        <f xml:space="preserve"> IF(OR(ISBLANK(Table1_14[[#This Row],[Registered]]), ISBLANK(Table1_14[[#This Row],[Appeared]]), Table1_14[[#This Row],[Registered]]=0, Table1_14[[#This Row],[Appeared]]=0), "FLAG", "OK")</f>
        <v>OK</v>
      </c>
    </row>
    <row r="4" spans="1:16" x14ac:dyDescent="0.3">
      <c r="A4">
        <v>12</v>
      </c>
      <c r="B4">
        <v>2022</v>
      </c>
      <c r="C4" t="s">
        <v>10</v>
      </c>
      <c r="D4" t="s">
        <v>6</v>
      </c>
      <c r="E4">
        <v>0</v>
      </c>
      <c r="F4">
        <v>0</v>
      </c>
      <c r="I4" t="s">
        <v>35</v>
      </c>
      <c r="J4" t="str">
        <f>IF(Table1_14[[#This Row],[Registered]] = 0, "ABSENT", "NON_ZERO")</f>
        <v>ABSENT</v>
      </c>
      <c r="K4" t="str">
        <f>IF(Table1_14[[#This Row],[Registered]] = 0, "ABSENT_BASE", IF(Table1_14[[#This Row],[Registered]]&lt;100, "SMALL_BASE", "VALID_BASE"))</f>
        <v>ABSENT_BASE</v>
      </c>
      <c r="L4" t="str">
        <f>IF(Table1_14[[#This Row],[Registered]]=0, "ABSENT", IF(Table1_14[[#This Row],[Appearance Rate]]&lt;0.98, "LOW_RATE", IF(AND(Table1_14[[#This Row],[Appearance Rate]]=1, Table1_14[[#This Row],[Registered]]&lt;100), "SUSPICIOUS_PERFECTION", "NORMAL")))</f>
        <v>ABSENT</v>
      </c>
      <c r="M4" s="7">
        <f>Table1_14[[#This Row],[Registered]]/SUM(Table1_14[Registered])</f>
        <v>0</v>
      </c>
      <c r="N4" t="str">
        <f xml:space="preserve"> IF(OR(Table1_14[[#This Row],[Appearance Rate]]&lt;0, Table1_14[[#This Row],[Appearance Rate]]&gt;1), "FLAG", "OK")</f>
        <v>OK</v>
      </c>
      <c r="O4" t="str">
        <f xml:space="preserve"> IF(Table1_14[[#This Row],[Appeared]]&gt;Table1_14[[#This Row],[Registered]], "FLAG", "OK")</f>
        <v>OK</v>
      </c>
      <c r="P4" t="str">
        <f xml:space="preserve"> IF(OR(ISBLANK(Table1_14[[#This Row],[Registered]]), ISBLANK(Table1_14[[#This Row],[Appeared]]), Table1_14[[#This Row],[Registered]]=0, Table1_14[[#This Row],[Appeared]]=0), "FLAG", "OK")</f>
        <v>FLAG</v>
      </c>
    </row>
    <row r="5" spans="1:16" x14ac:dyDescent="0.3">
      <c r="A5">
        <v>12</v>
      </c>
      <c r="B5">
        <v>2022</v>
      </c>
      <c r="C5" t="s">
        <v>10</v>
      </c>
      <c r="D5" t="s">
        <v>7</v>
      </c>
      <c r="E5">
        <v>86178</v>
      </c>
      <c r="F5">
        <v>85839</v>
      </c>
      <c r="G5">
        <v>0.99606628141753117</v>
      </c>
      <c r="H5">
        <v>3.9337185824688259E-3</v>
      </c>
      <c r="J5" t="str">
        <f>IF(Table1_14[[#This Row],[Registered]] = 0, "ABSENT", "NON_ZERO")</f>
        <v>NON_ZERO</v>
      </c>
      <c r="K5" t="str">
        <f>IF(Table1_14[[#This Row],[Registered]] = 0, "ABSENT_BASE", IF(Table1_14[[#This Row],[Registered]]&lt;100, "SMALL_BASE", "VALID_BASE"))</f>
        <v>VALID_BASE</v>
      </c>
      <c r="L5" t="str">
        <f>IF(Table1_14[[#This Row],[Registered]]=0, "ABSENT", IF(Table1_14[[#This Row],[Appearance Rate]]&lt;0.98, "LOW_RATE", IF(AND(Table1_14[[#This Row],[Appearance Rate]]=1, Table1_14[[#This Row],[Registered]]&lt;100), "SUSPICIOUS_PERFECTION", "NORMAL")))</f>
        <v>NORMAL</v>
      </c>
      <c r="M5" s="7">
        <f>Table1_14[[#This Row],[Registered]]/SUM(Table1_14[Registered])</f>
        <v>5.9895038771435143E-2</v>
      </c>
      <c r="N5" t="str">
        <f xml:space="preserve"> IF(OR(Table1_14[[#This Row],[Appearance Rate]]&lt;0, Table1_14[[#This Row],[Appearance Rate]]&gt;1), "FLAG", "OK")</f>
        <v>OK</v>
      </c>
      <c r="O5" t="str">
        <f xml:space="preserve"> IF(Table1_14[[#This Row],[Appeared]]&gt;Table1_14[[#This Row],[Registered]], "FLAG", "OK")</f>
        <v>OK</v>
      </c>
      <c r="P5" t="str">
        <f xml:space="preserve"> IF(OR(ISBLANK(Table1_14[[#This Row],[Registered]]), ISBLANK(Table1_14[[#This Row],[Appeared]]), Table1_14[[#This Row],[Registered]]=0, Table1_14[[#This Row],[Appeared]]=0), "FLAG", "OK")</f>
        <v>OK</v>
      </c>
    </row>
    <row r="6" spans="1:16" x14ac:dyDescent="0.3">
      <c r="A6">
        <v>12</v>
      </c>
      <c r="B6">
        <v>2022</v>
      </c>
      <c r="C6" t="s">
        <v>10</v>
      </c>
      <c r="D6" t="s">
        <v>8</v>
      </c>
      <c r="E6">
        <v>3741</v>
      </c>
      <c r="F6">
        <v>3730</v>
      </c>
      <c r="G6">
        <v>0.99705960973001873</v>
      </c>
      <c r="H6">
        <v>2.9403902699812745E-3</v>
      </c>
      <c r="J6" t="str">
        <f>IF(Table1_14[[#This Row],[Registered]] = 0, "ABSENT", "NON_ZERO")</f>
        <v>NON_ZERO</v>
      </c>
      <c r="K6" t="str">
        <f>IF(Table1_14[[#This Row],[Registered]] = 0, "ABSENT_BASE", IF(Table1_14[[#This Row],[Registered]]&lt;100, "SMALL_BASE", "VALID_BASE"))</f>
        <v>VALID_BASE</v>
      </c>
      <c r="L6" t="str">
        <f>IF(Table1_14[[#This Row],[Registered]]=0, "ABSENT", IF(Table1_14[[#This Row],[Appearance Rate]]&lt;0.98, "LOW_RATE", IF(AND(Table1_14[[#This Row],[Appearance Rate]]=1, Table1_14[[#This Row],[Registered]]&lt;100), "SUSPICIOUS_PERFECTION", "NORMAL")))</f>
        <v>NORMAL</v>
      </c>
      <c r="M6" s="7">
        <f>Table1_14[[#This Row],[Registered]]/SUM(Table1_14[Registered])</f>
        <v>2.600052682168754E-3</v>
      </c>
      <c r="N6" t="str">
        <f xml:space="preserve"> IF(OR(Table1_14[[#This Row],[Appearance Rate]]&lt;0, Table1_14[[#This Row],[Appearance Rate]]&gt;1), "FLAG", "OK")</f>
        <v>OK</v>
      </c>
      <c r="O6" t="str">
        <f xml:space="preserve"> IF(Table1_14[[#This Row],[Appeared]]&gt;Table1_14[[#This Row],[Registered]], "FLAG", "OK")</f>
        <v>OK</v>
      </c>
      <c r="P6" t="str">
        <f xml:space="preserve"> IF(OR(ISBLANK(Table1_14[[#This Row],[Registered]]), ISBLANK(Table1_14[[#This Row],[Appeared]]), Table1_14[[#This Row],[Registered]]=0, Table1_14[[#This Row],[Appeared]]=0), "FLAG", "OK")</f>
        <v>OK</v>
      </c>
    </row>
    <row r="7" spans="1:16" x14ac:dyDescent="0.3">
      <c r="A7">
        <v>12</v>
      </c>
      <c r="B7">
        <v>2022</v>
      </c>
      <c r="C7" t="s">
        <v>10</v>
      </c>
      <c r="D7" t="s">
        <v>9</v>
      </c>
      <c r="E7">
        <v>7736</v>
      </c>
      <c r="F7">
        <v>7725</v>
      </c>
      <c r="G7">
        <v>0.99857807652533614</v>
      </c>
      <c r="H7">
        <v>1.4219234746638554E-3</v>
      </c>
      <c r="J7" t="str">
        <f>IF(Table1_14[[#This Row],[Registered]] = 0, "ABSENT", "NON_ZERO")</f>
        <v>NON_ZERO</v>
      </c>
      <c r="K7" t="str">
        <f>IF(Table1_14[[#This Row],[Registered]] = 0, "ABSENT_BASE", IF(Table1_14[[#This Row],[Registered]]&lt;100, "SMALL_BASE", "VALID_BASE"))</f>
        <v>VALID_BASE</v>
      </c>
      <c r="L7" t="str">
        <f>IF(Table1_14[[#This Row],[Registered]]=0, "ABSENT", IF(Table1_14[[#This Row],[Appearance Rate]]&lt;0.98, "LOW_RATE", IF(AND(Table1_14[[#This Row],[Appearance Rate]]=1, Table1_14[[#This Row],[Registered]]&lt;100), "SUSPICIOUS_PERFECTION", "NORMAL")))</f>
        <v>NORMAL</v>
      </c>
      <c r="M7" s="7">
        <f>Table1_14[[#This Row],[Registered]]/SUM(Table1_14[Registered])</f>
        <v>5.3766392807424431E-3</v>
      </c>
      <c r="N7" t="str">
        <f xml:space="preserve"> IF(OR(Table1_14[[#This Row],[Appearance Rate]]&lt;0, Table1_14[[#This Row],[Appearance Rate]]&gt;1), "FLAG", "OK")</f>
        <v>OK</v>
      </c>
      <c r="O7" t="str">
        <f xml:space="preserve"> IF(Table1_14[[#This Row],[Appeared]]&gt;Table1_14[[#This Row],[Registered]], "FLAG", "OK")</f>
        <v>OK</v>
      </c>
      <c r="P7" t="str">
        <f xml:space="preserve"> IF(OR(ISBLANK(Table1_14[[#This Row],[Registered]]), ISBLANK(Table1_14[[#This Row],[Appeared]]), Table1_14[[#This Row],[Registered]]=0, Table1_14[[#This Row],[Appeared]]=0), "FLAG", "OK")</f>
        <v>OK</v>
      </c>
    </row>
    <row r="8" spans="1:16" x14ac:dyDescent="0.3">
      <c r="A8">
        <v>12</v>
      </c>
      <c r="B8">
        <v>2022</v>
      </c>
      <c r="C8" t="s">
        <v>19</v>
      </c>
      <c r="D8" t="s">
        <v>4</v>
      </c>
      <c r="E8">
        <v>93</v>
      </c>
      <c r="F8">
        <v>92</v>
      </c>
      <c r="G8">
        <v>0.989247311827957</v>
      </c>
      <c r="H8">
        <v>1.0752688172043001E-2</v>
      </c>
      <c r="J8" t="str">
        <f>IF(Table1_14[[#This Row],[Registered]] = 0, "ABSENT", "NON_ZERO")</f>
        <v>NON_ZERO</v>
      </c>
      <c r="K8" t="str">
        <f>IF(Table1_14[[#This Row],[Registered]] = 0, "ABSENT_BASE", IF(Table1_14[[#This Row],[Registered]]&lt;100, "SMALL_BASE", "VALID_BASE"))</f>
        <v>SMALL_BASE</v>
      </c>
      <c r="L8" t="str">
        <f>IF(Table1_14[[#This Row],[Registered]]=0, "ABSENT", IF(Table1_14[[#This Row],[Appearance Rate]]&lt;0.98, "LOW_RATE", IF(AND(Table1_14[[#This Row],[Appearance Rate]]=1, Table1_14[[#This Row],[Registered]]&lt;100), "SUSPICIOUS_PERFECTION", "NORMAL")))</f>
        <v>NORMAL</v>
      </c>
      <c r="M8" s="7">
        <f>Table1_14[[#This Row],[Registered]]/SUM(Table1_14[Registered])</f>
        <v>6.4636433959287392E-5</v>
      </c>
      <c r="N8" t="str">
        <f xml:space="preserve"> IF(OR(Table1_14[[#This Row],[Appearance Rate]]&lt;0, Table1_14[[#This Row],[Appearance Rate]]&gt;1), "FLAG", "OK")</f>
        <v>OK</v>
      </c>
      <c r="O8" t="str">
        <f xml:space="preserve"> IF(Table1_14[[#This Row],[Appeared]]&gt;Table1_14[[#This Row],[Registered]], "FLAG", "OK")</f>
        <v>OK</v>
      </c>
      <c r="P8" t="str">
        <f xml:space="preserve"> IF(OR(ISBLANK(Table1_14[[#This Row],[Registered]]), ISBLANK(Table1_14[[#This Row],[Appeared]]), Table1_14[[#This Row],[Registered]]=0, Table1_14[[#This Row],[Appeared]]=0), "FLAG", "OK")</f>
        <v>OK</v>
      </c>
    </row>
    <row r="9" spans="1:16" x14ac:dyDescent="0.3">
      <c r="A9">
        <v>12</v>
      </c>
      <c r="B9">
        <v>2022</v>
      </c>
      <c r="C9" t="s">
        <v>19</v>
      </c>
      <c r="D9" t="s">
        <v>5</v>
      </c>
      <c r="E9">
        <v>70</v>
      </c>
      <c r="F9">
        <v>70</v>
      </c>
      <c r="G9">
        <v>1</v>
      </c>
      <c r="H9">
        <v>0</v>
      </c>
      <c r="J9" t="str">
        <f>IF(Table1_14[[#This Row],[Registered]] = 0, "ABSENT", "NON_ZERO")</f>
        <v>NON_ZERO</v>
      </c>
      <c r="K9" t="str">
        <f>IF(Table1_14[[#This Row],[Registered]] = 0, "ABSENT_BASE", IF(Table1_14[[#This Row],[Registered]]&lt;100, "SMALL_BASE", "VALID_BASE"))</f>
        <v>SMALL_BASE</v>
      </c>
      <c r="L9" t="str">
        <f>IF(Table1_14[[#This Row],[Registered]]=0, "ABSENT", IF(Table1_14[[#This Row],[Appearance Rate]]&lt;0.98, "LOW_RATE", IF(AND(Table1_14[[#This Row],[Appearance Rate]]=1, Table1_14[[#This Row],[Registered]]&lt;100), "SUSPICIOUS_PERFECTION", "NORMAL")))</f>
        <v>SUSPICIOUS_PERFECTION</v>
      </c>
      <c r="M9" s="7">
        <f>Table1_14[[#This Row],[Registered]]/SUM(Table1_14[Registered])</f>
        <v>4.8651079324194808E-5</v>
      </c>
      <c r="N9" t="str">
        <f xml:space="preserve"> IF(OR(Table1_14[[#This Row],[Appearance Rate]]&lt;0, Table1_14[[#This Row],[Appearance Rate]]&gt;1), "FLAG", "OK")</f>
        <v>OK</v>
      </c>
      <c r="O9" t="str">
        <f xml:space="preserve"> IF(Table1_14[[#This Row],[Appeared]]&gt;Table1_14[[#This Row],[Registered]], "FLAG", "OK")</f>
        <v>OK</v>
      </c>
      <c r="P9" t="str">
        <f xml:space="preserve"> IF(OR(ISBLANK(Table1_14[[#This Row],[Registered]]), ISBLANK(Table1_14[[#This Row],[Appeared]]), Table1_14[[#This Row],[Registered]]=0, Table1_14[[#This Row],[Appeared]]=0), "FLAG", "OK")</f>
        <v>OK</v>
      </c>
    </row>
    <row r="10" spans="1:16" x14ac:dyDescent="0.3">
      <c r="A10">
        <v>12</v>
      </c>
      <c r="B10">
        <v>2022</v>
      </c>
      <c r="C10" t="s">
        <v>19</v>
      </c>
      <c r="D10" t="s">
        <v>6</v>
      </c>
      <c r="E10">
        <v>0</v>
      </c>
      <c r="F10">
        <v>0</v>
      </c>
      <c r="I10" t="s">
        <v>35</v>
      </c>
      <c r="J10" t="str">
        <f>IF(Table1_14[[#This Row],[Registered]] = 0, "ABSENT", "NON_ZERO")</f>
        <v>ABSENT</v>
      </c>
      <c r="K10" t="str">
        <f>IF(Table1_14[[#This Row],[Registered]] = 0, "ABSENT_BASE", IF(Table1_14[[#This Row],[Registered]]&lt;100, "SMALL_BASE", "VALID_BASE"))</f>
        <v>ABSENT_BASE</v>
      </c>
      <c r="L10" t="str">
        <f>IF(Table1_14[[#This Row],[Registered]]=0, "ABSENT", IF(Table1_14[[#This Row],[Appearance Rate]]&lt;0.98, "LOW_RATE", IF(AND(Table1_14[[#This Row],[Appearance Rate]]=1, Table1_14[[#This Row],[Registered]]&lt;100), "SUSPICIOUS_PERFECTION", "NORMAL")))</f>
        <v>ABSENT</v>
      </c>
      <c r="M10" s="7">
        <f>Table1_14[[#This Row],[Registered]]/SUM(Table1_14[Registered])</f>
        <v>0</v>
      </c>
      <c r="N10" t="str">
        <f xml:space="preserve"> IF(OR(Table1_14[[#This Row],[Appearance Rate]]&lt;0, Table1_14[[#This Row],[Appearance Rate]]&gt;1), "FLAG", "OK")</f>
        <v>OK</v>
      </c>
      <c r="O10" t="str">
        <f xml:space="preserve"> IF(Table1_14[[#This Row],[Appeared]]&gt;Table1_14[[#This Row],[Registered]], "FLAG", "OK")</f>
        <v>OK</v>
      </c>
      <c r="P10" t="str">
        <f xml:space="preserve"> IF(OR(ISBLANK(Table1_14[[#This Row],[Registered]]), ISBLANK(Table1_14[[#This Row],[Appeared]]), Table1_14[[#This Row],[Registered]]=0, Table1_14[[#This Row],[Appeared]]=0), "FLAG", "OK")</f>
        <v>FLAG</v>
      </c>
    </row>
    <row r="11" spans="1:16" x14ac:dyDescent="0.3">
      <c r="A11">
        <v>12</v>
      </c>
      <c r="B11">
        <v>2022</v>
      </c>
      <c r="C11" t="s">
        <v>19</v>
      </c>
      <c r="D11" t="s">
        <v>7</v>
      </c>
      <c r="E11">
        <v>12262</v>
      </c>
      <c r="F11">
        <v>12214</v>
      </c>
      <c r="G11">
        <v>0.99608546729734138</v>
      </c>
      <c r="H11">
        <v>3.9145327026586241E-3</v>
      </c>
      <c r="J11" t="str">
        <f>IF(Table1_14[[#This Row],[Registered]] = 0, "ABSENT", "NON_ZERO")</f>
        <v>NON_ZERO</v>
      </c>
      <c r="K11" t="str">
        <f>IF(Table1_14[[#This Row],[Registered]] = 0, "ABSENT_BASE", IF(Table1_14[[#This Row],[Registered]]&lt;100, "SMALL_BASE", "VALID_BASE"))</f>
        <v>VALID_BASE</v>
      </c>
      <c r="L11" t="str">
        <f>IF(Table1_14[[#This Row],[Registered]]=0, "ABSENT", IF(Table1_14[[#This Row],[Appearance Rate]]&lt;0.98, "LOW_RATE", IF(AND(Table1_14[[#This Row],[Appearance Rate]]=1, Table1_14[[#This Row],[Registered]]&lt;100), "SUSPICIOUS_PERFECTION", "NORMAL")))</f>
        <v>NORMAL</v>
      </c>
      <c r="M11" s="7">
        <f>Table1_14[[#This Row],[Registered]]/SUM(Table1_14[Registered])</f>
        <v>8.5222790667610956E-3</v>
      </c>
      <c r="N11" t="str">
        <f xml:space="preserve"> IF(OR(Table1_14[[#This Row],[Appearance Rate]]&lt;0, Table1_14[[#This Row],[Appearance Rate]]&gt;1), "FLAG", "OK")</f>
        <v>OK</v>
      </c>
      <c r="O11" t="str">
        <f xml:space="preserve"> IF(Table1_14[[#This Row],[Appeared]]&gt;Table1_14[[#This Row],[Registered]], "FLAG", "OK")</f>
        <v>OK</v>
      </c>
      <c r="P11" t="str">
        <f xml:space="preserve"> IF(OR(ISBLANK(Table1_14[[#This Row],[Registered]]), ISBLANK(Table1_14[[#This Row],[Appeared]]), Table1_14[[#This Row],[Registered]]=0, Table1_14[[#This Row],[Appeared]]=0), "FLAG", "OK")</f>
        <v>OK</v>
      </c>
    </row>
    <row r="12" spans="1:16" x14ac:dyDescent="0.3">
      <c r="A12">
        <v>12</v>
      </c>
      <c r="B12">
        <v>2022</v>
      </c>
      <c r="C12" t="s">
        <v>19</v>
      </c>
      <c r="D12" t="s">
        <v>8</v>
      </c>
      <c r="E12">
        <v>1901</v>
      </c>
      <c r="F12">
        <v>1894</v>
      </c>
      <c r="G12">
        <v>0.99631772751183589</v>
      </c>
      <c r="H12">
        <v>3.6822724881641067E-3</v>
      </c>
      <c r="J12" t="str">
        <f>IF(Table1_14[[#This Row],[Registered]] = 0, "ABSENT", "NON_ZERO")</f>
        <v>NON_ZERO</v>
      </c>
      <c r="K12" t="str">
        <f>IF(Table1_14[[#This Row],[Registered]] = 0, "ABSENT_BASE", IF(Table1_14[[#This Row],[Registered]]&lt;100, "SMALL_BASE", "VALID_BASE"))</f>
        <v>VALID_BASE</v>
      </c>
      <c r="L12" t="str">
        <f>IF(Table1_14[[#This Row],[Registered]]=0, "ABSENT", IF(Table1_14[[#This Row],[Appearance Rate]]&lt;0.98, "LOW_RATE", IF(AND(Table1_14[[#This Row],[Appearance Rate]]=1, Table1_14[[#This Row],[Registered]]&lt;100), "SUSPICIOUS_PERFECTION", "NORMAL")))</f>
        <v>NORMAL</v>
      </c>
      <c r="M12" s="7">
        <f>Table1_14[[#This Row],[Registered]]/SUM(Table1_14[Registered])</f>
        <v>1.3212243113613475E-3</v>
      </c>
      <c r="N12" t="str">
        <f xml:space="preserve"> IF(OR(Table1_14[[#This Row],[Appearance Rate]]&lt;0, Table1_14[[#This Row],[Appearance Rate]]&gt;1), "FLAG", "OK")</f>
        <v>OK</v>
      </c>
      <c r="O12" t="str">
        <f xml:space="preserve"> IF(Table1_14[[#This Row],[Appeared]]&gt;Table1_14[[#This Row],[Registered]], "FLAG", "OK")</f>
        <v>OK</v>
      </c>
      <c r="P12" t="str">
        <f xml:space="preserve"> IF(OR(ISBLANK(Table1_14[[#This Row],[Registered]]), ISBLANK(Table1_14[[#This Row],[Appeared]]), Table1_14[[#This Row],[Registered]]=0, Table1_14[[#This Row],[Appeared]]=0), "FLAG", "OK")</f>
        <v>OK</v>
      </c>
    </row>
    <row r="13" spans="1:16" x14ac:dyDescent="0.3">
      <c r="A13">
        <v>12</v>
      </c>
      <c r="B13">
        <v>2022</v>
      </c>
      <c r="C13" t="s">
        <v>19</v>
      </c>
      <c r="D13" t="s">
        <v>9</v>
      </c>
      <c r="E13">
        <v>2363</v>
      </c>
      <c r="F13">
        <v>2361</v>
      </c>
      <c r="G13">
        <v>0.99915361828184512</v>
      </c>
      <c r="H13">
        <v>8.4638171815487606E-4</v>
      </c>
      <c r="J13" t="str">
        <f>IF(Table1_14[[#This Row],[Registered]] = 0, "ABSENT", "NON_ZERO")</f>
        <v>NON_ZERO</v>
      </c>
      <c r="K13" t="str">
        <f>IF(Table1_14[[#This Row],[Registered]] = 0, "ABSENT_BASE", IF(Table1_14[[#This Row],[Registered]]&lt;100, "SMALL_BASE", "VALID_BASE"))</f>
        <v>VALID_BASE</v>
      </c>
      <c r="L13" t="str">
        <f>IF(Table1_14[[#This Row],[Registered]]=0, "ABSENT", IF(Table1_14[[#This Row],[Appearance Rate]]&lt;0.98, "LOW_RATE", IF(AND(Table1_14[[#This Row],[Appearance Rate]]=1, Table1_14[[#This Row],[Registered]]&lt;100), "SUSPICIOUS_PERFECTION", "NORMAL")))</f>
        <v>NORMAL</v>
      </c>
      <c r="M13" s="7">
        <f>Table1_14[[#This Row],[Registered]]/SUM(Table1_14[Registered])</f>
        <v>1.6423214349010333E-3</v>
      </c>
      <c r="N13" t="str">
        <f xml:space="preserve"> IF(OR(Table1_14[[#This Row],[Appearance Rate]]&lt;0, Table1_14[[#This Row],[Appearance Rate]]&gt;1), "FLAG", "OK")</f>
        <v>OK</v>
      </c>
      <c r="O13" t="str">
        <f xml:space="preserve"> IF(Table1_14[[#This Row],[Appeared]]&gt;Table1_14[[#This Row],[Registered]], "FLAG", "OK")</f>
        <v>OK</v>
      </c>
      <c r="P13" t="str">
        <f xml:space="preserve"> IF(OR(ISBLANK(Table1_14[[#This Row],[Registered]]), ISBLANK(Table1_14[[#This Row],[Appeared]]), Table1_14[[#This Row],[Registered]]=0, Table1_14[[#This Row],[Appeared]]=0), "FLAG", "OK")</f>
        <v>OK</v>
      </c>
    </row>
    <row r="14" spans="1:16" x14ac:dyDescent="0.3">
      <c r="A14">
        <v>12</v>
      </c>
      <c r="B14">
        <v>2022</v>
      </c>
      <c r="C14" t="s">
        <v>20</v>
      </c>
      <c r="D14" t="s">
        <v>4</v>
      </c>
      <c r="E14">
        <v>0</v>
      </c>
      <c r="F14">
        <v>0</v>
      </c>
      <c r="I14" t="s">
        <v>35</v>
      </c>
      <c r="J14" t="str">
        <f>IF(Table1_14[[#This Row],[Registered]] = 0, "ABSENT", "NON_ZERO")</f>
        <v>ABSENT</v>
      </c>
      <c r="K14" t="str">
        <f>IF(Table1_14[[#This Row],[Registered]] = 0, "ABSENT_BASE", IF(Table1_14[[#This Row],[Registered]]&lt;100, "SMALL_BASE", "VALID_BASE"))</f>
        <v>ABSENT_BASE</v>
      </c>
      <c r="L14" t="str">
        <f>IF(Table1_14[[#This Row],[Registered]]=0, "ABSENT", IF(Table1_14[[#This Row],[Appearance Rate]]&lt;0.98, "LOW_RATE", IF(AND(Table1_14[[#This Row],[Appearance Rate]]=1, Table1_14[[#This Row],[Registered]]&lt;100), "SUSPICIOUS_PERFECTION", "NORMAL")))</f>
        <v>ABSENT</v>
      </c>
      <c r="M14" s="7">
        <f>Table1_14[[#This Row],[Registered]]/SUM(Table1_14[Registered])</f>
        <v>0</v>
      </c>
      <c r="N14" t="str">
        <f xml:space="preserve"> IF(OR(Table1_14[[#This Row],[Appearance Rate]]&lt;0, Table1_14[[#This Row],[Appearance Rate]]&gt;1), "FLAG", "OK")</f>
        <v>OK</v>
      </c>
      <c r="O14" t="str">
        <f xml:space="preserve"> IF(Table1_14[[#This Row],[Appeared]]&gt;Table1_14[[#This Row],[Registered]], "FLAG", "OK")</f>
        <v>OK</v>
      </c>
      <c r="P14" t="str">
        <f xml:space="preserve"> IF(OR(ISBLANK(Table1_14[[#This Row],[Registered]]), ISBLANK(Table1_14[[#This Row],[Appeared]]), Table1_14[[#This Row],[Registered]]=0, Table1_14[[#This Row],[Appeared]]=0), "FLAG", "OK")</f>
        <v>FLAG</v>
      </c>
    </row>
    <row r="15" spans="1:16" x14ac:dyDescent="0.3">
      <c r="A15">
        <v>12</v>
      </c>
      <c r="B15">
        <v>2022</v>
      </c>
      <c r="C15" t="s">
        <v>20</v>
      </c>
      <c r="D15" t="s">
        <v>5</v>
      </c>
      <c r="E15">
        <v>3180</v>
      </c>
      <c r="F15">
        <v>3138</v>
      </c>
      <c r="G15">
        <v>0.98679245283018868</v>
      </c>
      <c r="H15">
        <v>1.3207547169811318E-2</v>
      </c>
      <c r="J15" t="str">
        <f>IF(Table1_14[[#This Row],[Registered]] = 0, "ABSENT", "NON_ZERO")</f>
        <v>NON_ZERO</v>
      </c>
      <c r="K15" t="str">
        <f>IF(Table1_14[[#This Row],[Registered]] = 0, "ABSENT_BASE", IF(Table1_14[[#This Row],[Registered]]&lt;100, "SMALL_BASE", "VALID_BASE"))</f>
        <v>VALID_BASE</v>
      </c>
      <c r="L15" t="str">
        <f>IF(Table1_14[[#This Row],[Registered]]=0, "ABSENT", IF(Table1_14[[#This Row],[Appearance Rate]]&lt;0.98, "LOW_RATE", IF(AND(Table1_14[[#This Row],[Appearance Rate]]=1, Table1_14[[#This Row],[Registered]]&lt;100), "SUSPICIOUS_PERFECTION", "NORMAL")))</f>
        <v>NORMAL</v>
      </c>
      <c r="M15" s="7">
        <f>Table1_14[[#This Row],[Registered]]/SUM(Table1_14[Registered])</f>
        <v>2.2101490321562783E-3</v>
      </c>
      <c r="N15" t="str">
        <f xml:space="preserve"> IF(OR(Table1_14[[#This Row],[Appearance Rate]]&lt;0, Table1_14[[#This Row],[Appearance Rate]]&gt;1), "FLAG", "OK")</f>
        <v>OK</v>
      </c>
      <c r="O15" t="str">
        <f xml:space="preserve"> IF(Table1_14[[#This Row],[Appeared]]&gt;Table1_14[[#This Row],[Registered]], "FLAG", "OK")</f>
        <v>OK</v>
      </c>
      <c r="P15" t="str">
        <f xml:space="preserve"> IF(OR(ISBLANK(Table1_14[[#This Row],[Registered]]), ISBLANK(Table1_14[[#This Row],[Appeared]]), Table1_14[[#This Row],[Registered]]=0, Table1_14[[#This Row],[Appeared]]=0), "FLAG", "OK")</f>
        <v>OK</v>
      </c>
    </row>
    <row r="16" spans="1:16" x14ac:dyDescent="0.3">
      <c r="A16">
        <v>12</v>
      </c>
      <c r="B16">
        <v>2022</v>
      </c>
      <c r="C16" t="s">
        <v>20</v>
      </c>
      <c r="D16" t="s">
        <v>6</v>
      </c>
      <c r="E16">
        <v>0</v>
      </c>
      <c r="F16">
        <v>0</v>
      </c>
      <c r="I16" t="s">
        <v>35</v>
      </c>
      <c r="J16" t="str">
        <f>IF(Table1_14[[#This Row],[Registered]] = 0, "ABSENT", "NON_ZERO")</f>
        <v>ABSENT</v>
      </c>
      <c r="K16" t="str">
        <f>IF(Table1_14[[#This Row],[Registered]] = 0, "ABSENT_BASE", IF(Table1_14[[#This Row],[Registered]]&lt;100, "SMALL_BASE", "VALID_BASE"))</f>
        <v>ABSENT_BASE</v>
      </c>
      <c r="L16" t="str">
        <f>IF(Table1_14[[#This Row],[Registered]]=0, "ABSENT", IF(Table1_14[[#This Row],[Appearance Rate]]&lt;0.98, "LOW_RATE", IF(AND(Table1_14[[#This Row],[Appearance Rate]]=1, Table1_14[[#This Row],[Registered]]&lt;100), "SUSPICIOUS_PERFECTION", "NORMAL")))</f>
        <v>ABSENT</v>
      </c>
      <c r="M16" s="7">
        <f>Table1_14[[#This Row],[Registered]]/SUM(Table1_14[Registered])</f>
        <v>0</v>
      </c>
      <c r="N16" t="str">
        <f xml:space="preserve"> IF(OR(Table1_14[[#This Row],[Appearance Rate]]&lt;0, Table1_14[[#This Row],[Appearance Rate]]&gt;1), "FLAG", "OK")</f>
        <v>OK</v>
      </c>
      <c r="O16" t="str">
        <f xml:space="preserve"> IF(Table1_14[[#This Row],[Appeared]]&gt;Table1_14[[#This Row],[Registered]], "FLAG", "OK")</f>
        <v>OK</v>
      </c>
      <c r="P16" t="str">
        <f xml:space="preserve"> IF(OR(ISBLANK(Table1_14[[#This Row],[Registered]]), ISBLANK(Table1_14[[#This Row],[Appeared]]), Table1_14[[#This Row],[Registered]]=0, Table1_14[[#This Row],[Appeared]]=0), "FLAG", "OK")</f>
        <v>FLAG</v>
      </c>
    </row>
    <row r="17" spans="1:16" x14ac:dyDescent="0.3">
      <c r="A17">
        <v>12</v>
      </c>
      <c r="B17">
        <v>2022</v>
      </c>
      <c r="C17" t="s">
        <v>20</v>
      </c>
      <c r="D17" t="s">
        <v>7</v>
      </c>
      <c r="E17">
        <v>60352</v>
      </c>
      <c r="F17">
        <v>60136</v>
      </c>
      <c r="G17">
        <v>0.99642099681866381</v>
      </c>
      <c r="H17">
        <v>3.5790031813361933E-3</v>
      </c>
      <c r="J17" t="str">
        <f>IF(Table1_14[[#This Row],[Registered]] = 0, "ABSENT", "NON_ZERO")</f>
        <v>NON_ZERO</v>
      </c>
      <c r="K17" t="str">
        <f>IF(Table1_14[[#This Row],[Registered]] = 0, "ABSENT_BASE", IF(Table1_14[[#This Row],[Registered]]&lt;100, "SMALL_BASE", "VALID_BASE"))</f>
        <v>VALID_BASE</v>
      </c>
      <c r="L17" t="str">
        <f>IF(Table1_14[[#This Row],[Registered]]=0, "ABSENT", IF(Table1_14[[#This Row],[Appearance Rate]]&lt;0.98, "LOW_RATE", IF(AND(Table1_14[[#This Row],[Appearance Rate]]=1, Table1_14[[#This Row],[Registered]]&lt;100), "SUSPICIOUS_PERFECTION", "NORMAL")))</f>
        <v>NORMAL</v>
      </c>
      <c r="M17" s="7">
        <f>Table1_14[[#This Row],[Registered]]/SUM(Table1_14[Registered])</f>
        <v>4.194557056248293E-2</v>
      </c>
      <c r="N17" t="str">
        <f xml:space="preserve"> IF(OR(Table1_14[[#This Row],[Appearance Rate]]&lt;0, Table1_14[[#This Row],[Appearance Rate]]&gt;1), "FLAG", "OK")</f>
        <v>OK</v>
      </c>
      <c r="O17" t="str">
        <f xml:space="preserve"> IF(Table1_14[[#This Row],[Appeared]]&gt;Table1_14[[#This Row],[Registered]], "FLAG", "OK")</f>
        <v>OK</v>
      </c>
      <c r="P17" t="str">
        <f xml:space="preserve"> IF(OR(ISBLANK(Table1_14[[#This Row],[Registered]]), ISBLANK(Table1_14[[#This Row],[Appeared]]), Table1_14[[#This Row],[Registered]]=0, Table1_14[[#This Row],[Appeared]]=0), "FLAG", "OK")</f>
        <v>OK</v>
      </c>
    </row>
    <row r="18" spans="1:16" x14ac:dyDescent="0.3">
      <c r="A18">
        <v>12</v>
      </c>
      <c r="B18">
        <v>2022</v>
      </c>
      <c r="C18" t="s">
        <v>20</v>
      </c>
      <c r="D18" t="s">
        <v>8</v>
      </c>
      <c r="E18">
        <v>3640</v>
      </c>
      <c r="F18">
        <v>3629</v>
      </c>
      <c r="G18">
        <v>0.99697802197802199</v>
      </c>
      <c r="H18">
        <v>3.0219780219780112E-3</v>
      </c>
      <c r="J18" t="str">
        <f>IF(Table1_14[[#This Row],[Registered]] = 0, "ABSENT", "NON_ZERO")</f>
        <v>NON_ZERO</v>
      </c>
      <c r="K18" t="str">
        <f>IF(Table1_14[[#This Row],[Registered]] = 0, "ABSENT_BASE", IF(Table1_14[[#This Row],[Registered]]&lt;100, "SMALL_BASE", "VALID_BASE"))</f>
        <v>VALID_BASE</v>
      </c>
      <c r="L18" t="str">
        <f>IF(Table1_14[[#This Row],[Registered]]=0, "ABSENT", IF(Table1_14[[#This Row],[Appearance Rate]]&lt;0.98, "LOW_RATE", IF(AND(Table1_14[[#This Row],[Appearance Rate]]=1, Table1_14[[#This Row],[Registered]]&lt;100), "SUSPICIOUS_PERFECTION", "NORMAL")))</f>
        <v>NORMAL</v>
      </c>
      <c r="M18" s="7">
        <f>Table1_14[[#This Row],[Registered]]/SUM(Table1_14[Registered])</f>
        <v>2.5298561248581299E-3</v>
      </c>
      <c r="N18" t="str">
        <f xml:space="preserve"> IF(OR(Table1_14[[#This Row],[Appearance Rate]]&lt;0, Table1_14[[#This Row],[Appearance Rate]]&gt;1), "FLAG", "OK")</f>
        <v>OK</v>
      </c>
      <c r="O18" t="str">
        <f xml:space="preserve"> IF(Table1_14[[#This Row],[Appeared]]&gt;Table1_14[[#This Row],[Registered]], "FLAG", "OK")</f>
        <v>OK</v>
      </c>
      <c r="P18" t="str">
        <f xml:space="preserve"> IF(OR(ISBLANK(Table1_14[[#This Row],[Registered]]), ISBLANK(Table1_14[[#This Row],[Appeared]]), Table1_14[[#This Row],[Registered]]=0, Table1_14[[#This Row],[Appeared]]=0), "FLAG", "OK")</f>
        <v>OK</v>
      </c>
    </row>
    <row r="19" spans="1:16" x14ac:dyDescent="0.3">
      <c r="A19">
        <v>12</v>
      </c>
      <c r="B19">
        <v>2022</v>
      </c>
      <c r="C19" t="s">
        <v>20</v>
      </c>
      <c r="D19" t="s">
        <v>9</v>
      </c>
      <c r="E19">
        <v>7807</v>
      </c>
      <c r="F19">
        <v>7794</v>
      </c>
      <c r="G19">
        <v>0.99833482771871396</v>
      </c>
      <c r="H19">
        <v>1.6651722812860426E-3</v>
      </c>
      <c r="J19" t="str">
        <f>IF(Table1_14[[#This Row],[Registered]] = 0, "ABSENT", "NON_ZERO")</f>
        <v>NON_ZERO</v>
      </c>
      <c r="K19" t="str">
        <f>IF(Table1_14[[#This Row],[Registered]] = 0, "ABSENT_BASE", IF(Table1_14[[#This Row],[Registered]]&lt;100, "SMALL_BASE", "VALID_BASE"))</f>
        <v>VALID_BASE</v>
      </c>
      <c r="L19" t="str">
        <f>IF(Table1_14[[#This Row],[Registered]]=0, "ABSENT", IF(Table1_14[[#This Row],[Appearance Rate]]&lt;0.98, "LOW_RATE", IF(AND(Table1_14[[#This Row],[Appearance Rate]]=1, Table1_14[[#This Row],[Registered]]&lt;100), "SUSPICIOUS_PERFECTION", "NORMAL")))</f>
        <v>NORMAL</v>
      </c>
      <c r="M19" s="7">
        <f>Table1_14[[#This Row],[Registered]]/SUM(Table1_14[Registered])</f>
        <v>5.4259853754855553E-3</v>
      </c>
      <c r="N19" t="str">
        <f xml:space="preserve"> IF(OR(Table1_14[[#This Row],[Appearance Rate]]&lt;0, Table1_14[[#This Row],[Appearance Rate]]&gt;1), "FLAG", "OK")</f>
        <v>OK</v>
      </c>
      <c r="O19" t="str">
        <f xml:space="preserve"> IF(Table1_14[[#This Row],[Appeared]]&gt;Table1_14[[#This Row],[Registered]], "FLAG", "OK")</f>
        <v>OK</v>
      </c>
      <c r="P19" t="str">
        <f xml:space="preserve"> IF(OR(ISBLANK(Table1_14[[#This Row],[Registered]]), ISBLANK(Table1_14[[#This Row],[Appeared]]), Table1_14[[#This Row],[Registered]]=0, Table1_14[[#This Row],[Appeared]]=0), "FLAG", "OK")</f>
        <v>OK</v>
      </c>
    </row>
    <row r="20" spans="1:16" x14ac:dyDescent="0.3">
      <c r="A20">
        <v>12</v>
      </c>
      <c r="B20">
        <v>2022</v>
      </c>
      <c r="C20" t="s">
        <v>13</v>
      </c>
      <c r="D20" t="s">
        <v>4</v>
      </c>
      <c r="E20">
        <v>103</v>
      </c>
      <c r="F20">
        <v>101</v>
      </c>
      <c r="G20">
        <v>0.98058252427184467</v>
      </c>
      <c r="H20">
        <v>1.9417475728155331E-2</v>
      </c>
      <c r="J20" t="str">
        <f>IF(Table1_14[[#This Row],[Registered]] = 0, "ABSENT", "NON_ZERO")</f>
        <v>NON_ZERO</v>
      </c>
      <c r="K20" t="str">
        <f>IF(Table1_14[[#This Row],[Registered]] = 0, "ABSENT_BASE", IF(Table1_14[[#This Row],[Registered]]&lt;100, "SMALL_BASE", "VALID_BASE"))</f>
        <v>VALID_BASE</v>
      </c>
      <c r="L20" t="str">
        <f>IF(Table1_14[[#This Row],[Registered]]=0, "ABSENT", IF(Table1_14[[#This Row],[Appearance Rate]]&lt;0.98, "LOW_RATE", IF(AND(Table1_14[[#This Row],[Appearance Rate]]=1, Table1_14[[#This Row],[Registered]]&lt;100), "SUSPICIOUS_PERFECTION", "NORMAL")))</f>
        <v>NORMAL</v>
      </c>
      <c r="M20" s="7">
        <f>Table1_14[[#This Row],[Registered]]/SUM(Table1_14[Registered])</f>
        <v>7.1586588148458079E-5</v>
      </c>
      <c r="N20" t="str">
        <f xml:space="preserve"> IF(OR(Table1_14[[#This Row],[Appearance Rate]]&lt;0, Table1_14[[#This Row],[Appearance Rate]]&gt;1), "FLAG", "OK")</f>
        <v>OK</v>
      </c>
      <c r="O20" t="str">
        <f xml:space="preserve"> IF(Table1_14[[#This Row],[Appeared]]&gt;Table1_14[[#This Row],[Registered]], "FLAG", "OK")</f>
        <v>OK</v>
      </c>
      <c r="P20" t="str">
        <f xml:space="preserve"> IF(OR(ISBLANK(Table1_14[[#This Row],[Registered]]), ISBLANK(Table1_14[[#This Row],[Appeared]]), Table1_14[[#This Row],[Registered]]=0, Table1_14[[#This Row],[Appeared]]=0), "FLAG", "OK")</f>
        <v>OK</v>
      </c>
    </row>
    <row r="21" spans="1:16" x14ac:dyDescent="0.3">
      <c r="A21">
        <v>12</v>
      </c>
      <c r="B21">
        <v>2022</v>
      </c>
      <c r="C21" t="s">
        <v>13</v>
      </c>
      <c r="D21" t="s">
        <v>5</v>
      </c>
      <c r="E21">
        <v>7746</v>
      </c>
      <c r="F21">
        <v>7688</v>
      </c>
      <c r="G21">
        <v>0.99251226439452622</v>
      </c>
      <c r="H21">
        <v>7.4877356054737776E-3</v>
      </c>
      <c r="J21" t="str">
        <f>IF(Table1_14[[#This Row],[Registered]] = 0, "ABSENT", "NON_ZERO")</f>
        <v>NON_ZERO</v>
      </c>
      <c r="K21" t="str">
        <f>IF(Table1_14[[#This Row],[Registered]] = 0, "ABSENT_BASE", IF(Table1_14[[#This Row],[Registered]]&lt;100, "SMALL_BASE", "VALID_BASE"))</f>
        <v>VALID_BASE</v>
      </c>
      <c r="L21" t="str">
        <f>IF(Table1_14[[#This Row],[Registered]]=0, "ABSENT", IF(Table1_14[[#This Row],[Appearance Rate]]&lt;0.98, "LOW_RATE", IF(AND(Table1_14[[#This Row],[Appearance Rate]]=1, Table1_14[[#This Row],[Registered]]&lt;100), "SUSPICIOUS_PERFECTION", "NORMAL")))</f>
        <v>NORMAL</v>
      </c>
      <c r="M21" s="7">
        <f>Table1_14[[#This Row],[Registered]]/SUM(Table1_14[Registered])</f>
        <v>5.3835894349316136E-3</v>
      </c>
      <c r="N21" t="str">
        <f xml:space="preserve"> IF(OR(Table1_14[[#This Row],[Appearance Rate]]&lt;0, Table1_14[[#This Row],[Appearance Rate]]&gt;1), "FLAG", "OK")</f>
        <v>OK</v>
      </c>
      <c r="O21" t="str">
        <f xml:space="preserve"> IF(Table1_14[[#This Row],[Appeared]]&gt;Table1_14[[#This Row],[Registered]], "FLAG", "OK")</f>
        <v>OK</v>
      </c>
      <c r="P21" t="str">
        <f xml:space="preserve"> IF(OR(ISBLANK(Table1_14[[#This Row],[Registered]]), ISBLANK(Table1_14[[#This Row],[Appeared]]), Table1_14[[#This Row],[Registered]]=0, Table1_14[[#This Row],[Appeared]]=0), "FLAG", "OK")</f>
        <v>OK</v>
      </c>
    </row>
    <row r="22" spans="1:16" x14ac:dyDescent="0.3">
      <c r="A22">
        <v>12</v>
      </c>
      <c r="B22">
        <v>2022</v>
      </c>
      <c r="C22" t="s">
        <v>13</v>
      </c>
      <c r="D22" t="s">
        <v>6</v>
      </c>
      <c r="E22">
        <v>0</v>
      </c>
      <c r="F22">
        <v>0</v>
      </c>
      <c r="I22" t="s">
        <v>35</v>
      </c>
      <c r="J22" t="str">
        <f>IF(Table1_14[[#This Row],[Registered]] = 0, "ABSENT", "NON_ZERO")</f>
        <v>ABSENT</v>
      </c>
      <c r="K22" t="str">
        <f>IF(Table1_14[[#This Row],[Registered]] = 0, "ABSENT_BASE", IF(Table1_14[[#This Row],[Registered]]&lt;100, "SMALL_BASE", "VALID_BASE"))</f>
        <v>ABSENT_BASE</v>
      </c>
      <c r="L22" t="str">
        <f>IF(Table1_14[[#This Row],[Registered]]=0, "ABSENT", IF(Table1_14[[#This Row],[Appearance Rate]]&lt;0.98, "LOW_RATE", IF(AND(Table1_14[[#This Row],[Appearance Rate]]=1, Table1_14[[#This Row],[Registered]]&lt;100), "SUSPICIOUS_PERFECTION", "NORMAL")))</f>
        <v>ABSENT</v>
      </c>
      <c r="M22" s="7">
        <f>Table1_14[[#This Row],[Registered]]/SUM(Table1_14[Registered])</f>
        <v>0</v>
      </c>
      <c r="N22" t="str">
        <f xml:space="preserve"> IF(OR(Table1_14[[#This Row],[Appearance Rate]]&lt;0, Table1_14[[#This Row],[Appearance Rate]]&gt;1), "FLAG", "OK")</f>
        <v>OK</v>
      </c>
      <c r="O22" t="str">
        <f xml:space="preserve"> IF(Table1_14[[#This Row],[Appeared]]&gt;Table1_14[[#This Row],[Registered]], "FLAG", "OK")</f>
        <v>OK</v>
      </c>
      <c r="P22" t="str">
        <f xml:space="preserve"> IF(OR(ISBLANK(Table1_14[[#This Row],[Registered]]), ISBLANK(Table1_14[[#This Row],[Appeared]]), Table1_14[[#This Row],[Registered]]=0, Table1_14[[#This Row],[Appeared]]=0), "FLAG", "OK")</f>
        <v>FLAG</v>
      </c>
    </row>
    <row r="23" spans="1:16" x14ac:dyDescent="0.3">
      <c r="A23">
        <v>12</v>
      </c>
      <c r="B23">
        <v>2022</v>
      </c>
      <c r="C23" t="s">
        <v>13</v>
      </c>
      <c r="D23" t="s">
        <v>7</v>
      </c>
      <c r="E23">
        <v>69835</v>
      </c>
      <c r="F23">
        <v>69506</v>
      </c>
      <c r="G23">
        <v>0.99528889525309661</v>
      </c>
      <c r="H23">
        <v>4.711104746903394E-3</v>
      </c>
      <c r="J23" t="str">
        <f>IF(Table1_14[[#This Row],[Registered]] = 0, "ABSENT", "NON_ZERO")</f>
        <v>NON_ZERO</v>
      </c>
      <c r="K23" t="str">
        <f>IF(Table1_14[[#This Row],[Registered]] = 0, "ABSENT_BASE", IF(Table1_14[[#This Row],[Registered]]&lt;100, "SMALL_BASE", "VALID_BASE"))</f>
        <v>VALID_BASE</v>
      </c>
      <c r="L23" t="str">
        <f>IF(Table1_14[[#This Row],[Registered]]=0, "ABSENT", IF(Table1_14[[#This Row],[Appearance Rate]]&lt;0.98, "LOW_RATE", IF(AND(Table1_14[[#This Row],[Appearance Rate]]=1, Table1_14[[#This Row],[Registered]]&lt;100), "SUSPICIOUS_PERFECTION", "NORMAL")))</f>
        <v>NORMAL</v>
      </c>
      <c r="M23" s="7">
        <f>Table1_14[[#This Row],[Registered]]/SUM(Table1_14[Registered])</f>
        <v>4.8536401780073492E-2</v>
      </c>
      <c r="N23" t="str">
        <f xml:space="preserve"> IF(OR(Table1_14[[#This Row],[Appearance Rate]]&lt;0, Table1_14[[#This Row],[Appearance Rate]]&gt;1), "FLAG", "OK")</f>
        <v>OK</v>
      </c>
      <c r="O23" t="str">
        <f xml:space="preserve"> IF(Table1_14[[#This Row],[Appeared]]&gt;Table1_14[[#This Row],[Registered]], "FLAG", "OK")</f>
        <v>OK</v>
      </c>
      <c r="P23" t="str">
        <f xml:space="preserve"> IF(OR(ISBLANK(Table1_14[[#This Row],[Registered]]), ISBLANK(Table1_14[[#This Row],[Appeared]]), Table1_14[[#This Row],[Registered]]=0, Table1_14[[#This Row],[Appeared]]=0), "FLAG", "OK")</f>
        <v>OK</v>
      </c>
    </row>
    <row r="24" spans="1:16" x14ac:dyDescent="0.3">
      <c r="A24">
        <v>12</v>
      </c>
      <c r="B24">
        <v>2022</v>
      </c>
      <c r="C24" t="s">
        <v>13</v>
      </c>
      <c r="D24" t="s">
        <v>8</v>
      </c>
      <c r="E24">
        <v>3823</v>
      </c>
      <c r="F24">
        <v>3809</v>
      </c>
      <c r="G24">
        <v>0.99633795448600571</v>
      </c>
      <c r="H24">
        <v>3.6620455139942942E-3</v>
      </c>
      <c r="J24" t="str">
        <f>IF(Table1_14[[#This Row],[Registered]] = 0, "ABSENT", "NON_ZERO")</f>
        <v>NON_ZERO</v>
      </c>
      <c r="K24" t="str">
        <f>IF(Table1_14[[#This Row],[Registered]] = 0, "ABSENT_BASE", IF(Table1_14[[#This Row],[Registered]]&lt;100, "SMALL_BASE", "VALID_BASE"))</f>
        <v>VALID_BASE</v>
      </c>
      <c r="L24" t="str">
        <f>IF(Table1_14[[#This Row],[Registered]]=0, "ABSENT", IF(Table1_14[[#This Row],[Appearance Rate]]&lt;0.98, "LOW_RATE", IF(AND(Table1_14[[#This Row],[Appearance Rate]]=1, Table1_14[[#This Row],[Registered]]&lt;100), "SUSPICIOUS_PERFECTION", "NORMAL")))</f>
        <v>NORMAL</v>
      </c>
      <c r="M24" s="7">
        <f>Table1_14[[#This Row],[Registered]]/SUM(Table1_14[Registered])</f>
        <v>2.6570439465199536E-3</v>
      </c>
      <c r="N24" t="str">
        <f xml:space="preserve"> IF(OR(Table1_14[[#This Row],[Appearance Rate]]&lt;0, Table1_14[[#This Row],[Appearance Rate]]&gt;1), "FLAG", "OK")</f>
        <v>OK</v>
      </c>
      <c r="O24" t="str">
        <f xml:space="preserve"> IF(Table1_14[[#This Row],[Appeared]]&gt;Table1_14[[#This Row],[Registered]], "FLAG", "OK")</f>
        <v>OK</v>
      </c>
      <c r="P24" t="str">
        <f xml:space="preserve"> IF(OR(ISBLANK(Table1_14[[#This Row],[Registered]]), ISBLANK(Table1_14[[#This Row],[Appeared]]), Table1_14[[#This Row],[Registered]]=0, Table1_14[[#This Row],[Appeared]]=0), "FLAG", "OK")</f>
        <v>OK</v>
      </c>
    </row>
    <row r="25" spans="1:16" x14ac:dyDescent="0.3">
      <c r="A25">
        <v>12</v>
      </c>
      <c r="B25">
        <v>2022</v>
      </c>
      <c r="C25" t="s">
        <v>13</v>
      </c>
      <c r="D25" t="s">
        <v>9</v>
      </c>
      <c r="E25">
        <v>11465</v>
      </c>
      <c r="F25">
        <v>11431</v>
      </c>
      <c r="G25">
        <v>0.99703445268207591</v>
      </c>
      <c r="H25">
        <v>2.9655473179240888E-3</v>
      </c>
      <c r="J25" t="str">
        <f>IF(Table1_14[[#This Row],[Registered]] = 0, "ABSENT", "NON_ZERO")</f>
        <v>NON_ZERO</v>
      </c>
      <c r="K25" t="str">
        <f>IF(Table1_14[[#This Row],[Registered]] = 0, "ABSENT_BASE", IF(Table1_14[[#This Row],[Registered]]&lt;100, "SMALL_BASE", "VALID_BASE"))</f>
        <v>VALID_BASE</v>
      </c>
      <c r="L25" t="str">
        <f>IF(Table1_14[[#This Row],[Registered]]=0, "ABSENT", IF(Table1_14[[#This Row],[Appearance Rate]]&lt;0.98, "LOW_RATE", IF(AND(Table1_14[[#This Row],[Appearance Rate]]=1, Table1_14[[#This Row],[Registered]]&lt;100), "SUSPICIOUS_PERFECTION", "NORMAL")))</f>
        <v>NORMAL</v>
      </c>
      <c r="M25" s="7">
        <f>Table1_14[[#This Row],[Registered]]/SUM(Table1_14[Registered])</f>
        <v>7.9683517778841931E-3</v>
      </c>
      <c r="N25" t="str">
        <f xml:space="preserve"> IF(OR(Table1_14[[#This Row],[Appearance Rate]]&lt;0, Table1_14[[#This Row],[Appearance Rate]]&gt;1), "FLAG", "OK")</f>
        <v>OK</v>
      </c>
      <c r="O25" t="str">
        <f xml:space="preserve"> IF(Table1_14[[#This Row],[Appeared]]&gt;Table1_14[[#This Row],[Registered]], "FLAG", "OK")</f>
        <v>OK</v>
      </c>
      <c r="P25" t="str">
        <f xml:space="preserve"> IF(OR(ISBLANK(Table1_14[[#This Row],[Registered]]), ISBLANK(Table1_14[[#This Row],[Appeared]]), Table1_14[[#This Row],[Registered]]=0, Table1_14[[#This Row],[Appeared]]=0), "FLAG", "OK")</f>
        <v>OK</v>
      </c>
    </row>
    <row r="26" spans="1:16" x14ac:dyDescent="0.3">
      <c r="A26">
        <v>12</v>
      </c>
      <c r="B26">
        <v>2022</v>
      </c>
      <c r="C26" t="s">
        <v>14</v>
      </c>
      <c r="D26" t="s">
        <v>4</v>
      </c>
      <c r="E26">
        <v>0</v>
      </c>
      <c r="F26">
        <v>0</v>
      </c>
      <c r="I26" t="s">
        <v>35</v>
      </c>
      <c r="J26" t="str">
        <f>IF(Table1_14[[#This Row],[Registered]] = 0, "ABSENT", "NON_ZERO")</f>
        <v>ABSENT</v>
      </c>
      <c r="K26" t="str">
        <f>IF(Table1_14[[#This Row],[Registered]] = 0, "ABSENT_BASE", IF(Table1_14[[#This Row],[Registered]]&lt;100, "SMALL_BASE", "VALID_BASE"))</f>
        <v>ABSENT_BASE</v>
      </c>
      <c r="L26" t="str">
        <f>IF(Table1_14[[#This Row],[Registered]]=0, "ABSENT", IF(Table1_14[[#This Row],[Appearance Rate]]&lt;0.98, "LOW_RATE", IF(AND(Table1_14[[#This Row],[Appearance Rate]]=1, Table1_14[[#This Row],[Registered]]&lt;100), "SUSPICIOUS_PERFECTION", "NORMAL")))</f>
        <v>ABSENT</v>
      </c>
      <c r="M26" s="7">
        <f>Table1_14[[#This Row],[Registered]]/SUM(Table1_14[Registered])</f>
        <v>0</v>
      </c>
      <c r="N26" t="str">
        <f xml:space="preserve"> IF(OR(Table1_14[[#This Row],[Appearance Rate]]&lt;0, Table1_14[[#This Row],[Appearance Rate]]&gt;1), "FLAG", "OK")</f>
        <v>OK</v>
      </c>
      <c r="O26" t="str">
        <f xml:space="preserve"> IF(Table1_14[[#This Row],[Appeared]]&gt;Table1_14[[#This Row],[Registered]], "FLAG", "OK")</f>
        <v>OK</v>
      </c>
      <c r="P26" t="str">
        <f xml:space="preserve"> IF(OR(ISBLANK(Table1_14[[#This Row],[Registered]]), ISBLANK(Table1_14[[#This Row],[Appeared]]), Table1_14[[#This Row],[Registered]]=0, Table1_14[[#This Row],[Appeared]]=0), "FLAG", "OK")</f>
        <v>FLAG</v>
      </c>
    </row>
    <row r="27" spans="1:16" x14ac:dyDescent="0.3">
      <c r="A27">
        <v>12</v>
      </c>
      <c r="B27">
        <v>2022</v>
      </c>
      <c r="C27" t="s">
        <v>14</v>
      </c>
      <c r="D27" t="s">
        <v>5</v>
      </c>
      <c r="E27">
        <v>13060</v>
      </c>
      <c r="F27">
        <v>13025</v>
      </c>
      <c r="G27">
        <v>0.99732006125574268</v>
      </c>
      <c r="H27">
        <v>2.6799387442573153E-3</v>
      </c>
      <c r="J27" t="str">
        <f>IF(Table1_14[[#This Row],[Registered]] = 0, "ABSENT", "NON_ZERO")</f>
        <v>NON_ZERO</v>
      </c>
      <c r="K27" t="str">
        <f>IF(Table1_14[[#This Row],[Registered]] = 0, "ABSENT_BASE", IF(Table1_14[[#This Row],[Registered]]&lt;100, "SMALL_BASE", "VALID_BASE"))</f>
        <v>VALID_BASE</v>
      </c>
      <c r="L27" t="str">
        <f>IF(Table1_14[[#This Row],[Registered]]=0, "ABSENT", IF(Table1_14[[#This Row],[Appearance Rate]]&lt;0.98, "LOW_RATE", IF(AND(Table1_14[[#This Row],[Appearance Rate]]=1, Table1_14[[#This Row],[Registered]]&lt;100), "SUSPICIOUS_PERFECTION", "NORMAL")))</f>
        <v>NORMAL</v>
      </c>
      <c r="M27" s="7">
        <f>Table1_14[[#This Row],[Registered]]/SUM(Table1_14[Registered])</f>
        <v>9.0769013710569162E-3</v>
      </c>
      <c r="N27" t="str">
        <f xml:space="preserve"> IF(OR(Table1_14[[#This Row],[Appearance Rate]]&lt;0, Table1_14[[#This Row],[Appearance Rate]]&gt;1), "FLAG", "OK")</f>
        <v>OK</v>
      </c>
      <c r="O27" t="str">
        <f xml:space="preserve"> IF(Table1_14[[#This Row],[Appeared]]&gt;Table1_14[[#This Row],[Registered]], "FLAG", "OK")</f>
        <v>OK</v>
      </c>
      <c r="P27" t="str">
        <f xml:space="preserve"> IF(OR(ISBLANK(Table1_14[[#This Row],[Registered]]), ISBLANK(Table1_14[[#This Row],[Appeared]]), Table1_14[[#This Row],[Registered]]=0, Table1_14[[#This Row],[Appeared]]=0), "FLAG", "OK")</f>
        <v>OK</v>
      </c>
    </row>
    <row r="28" spans="1:16" x14ac:dyDescent="0.3">
      <c r="A28">
        <v>12</v>
      </c>
      <c r="B28">
        <v>2022</v>
      </c>
      <c r="C28" t="s">
        <v>14</v>
      </c>
      <c r="D28" t="s">
        <v>6</v>
      </c>
      <c r="E28">
        <v>55</v>
      </c>
      <c r="F28">
        <v>55</v>
      </c>
      <c r="G28">
        <v>1</v>
      </c>
      <c r="H28">
        <v>0</v>
      </c>
      <c r="J28" t="str">
        <f>IF(Table1_14[[#This Row],[Registered]] = 0, "ABSENT", "NON_ZERO")</f>
        <v>NON_ZERO</v>
      </c>
      <c r="K28" t="str">
        <f>IF(Table1_14[[#This Row],[Registered]] = 0, "ABSENT_BASE", IF(Table1_14[[#This Row],[Registered]]&lt;100, "SMALL_BASE", "VALID_BASE"))</f>
        <v>SMALL_BASE</v>
      </c>
      <c r="L28" t="str">
        <f>IF(Table1_14[[#This Row],[Registered]]=0, "ABSENT", IF(Table1_14[[#This Row],[Appearance Rate]]&lt;0.98, "LOW_RATE", IF(AND(Table1_14[[#This Row],[Appearance Rate]]=1, Table1_14[[#This Row],[Registered]]&lt;100), "SUSPICIOUS_PERFECTION", "NORMAL")))</f>
        <v>SUSPICIOUS_PERFECTION</v>
      </c>
      <c r="M28" s="7">
        <f>Table1_14[[#This Row],[Registered]]/SUM(Table1_14[Registered])</f>
        <v>3.8225848040438776E-5</v>
      </c>
      <c r="N28" t="str">
        <f xml:space="preserve"> IF(OR(Table1_14[[#This Row],[Appearance Rate]]&lt;0, Table1_14[[#This Row],[Appearance Rate]]&gt;1), "FLAG", "OK")</f>
        <v>OK</v>
      </c>
      <c r="O28" t="str">
        <f xml:space="preserve"> IF(Table1_14[[#This Row],[Appeared]]&gt;Table1_14[[#This Row],[Registered]], "FLAG", "OK")</f>
        <v>OK</v>
      </c>
      <c r="P28" t="str">
        <f xml:space="preserve"> IF(OR(ISBLANK(Table1_14[[#This Row],[Registered]]), ISBLANK(Table1_14[[#This Row],[Appeared]]), Table1_14[[#This Row],[Registered]]=0, Table1_14[[#This Row],[Appeared]]=0), "FLAG", "OK")</f>
        <v>OK</v>
      </c>
    </row>
    <row r="29" spans="1:16" x14ac:dyDescent="0.3">
      <c r="A29">
        <v>12</v>
      </c>
      <c r="B29">
        <v>2022</v>
      </c>
      <c r="C29" t="s">
        <v>14</v>
      </c>
      <c r="D29" t="s">
        <v>7</v>
      </c>
      <c r="E29">
        <v>89637</v>
      </c>
      <c r="F29">
        <v>89317</v>
      </c>
      <c r="G29">
        <v>0.99643004562847937</v>
      </c>
      <c r="H29">
        <v>3.5699543715206339E-3</v>
      </c>
      <c r="J29" t="str">
        <f>IF(Table1_14[[#This Row],[Registered]] = 0, "ABSENT", "NON_ZERO")</f>
        <v>NON_ZERO</v>
      </c>
      <c r="K29" t="str">
        <f>IF(Table1_14[[#This Row],[Registered]] = 0, "ABSENT_BASE", IF(Table1_14[[#This Row],[Registered]]&lt;100, "SMALL_BASE", "VALID_BASE"))</f>
        <v>VALID_BASE</v>
      </c>
      <c r="L29" t="str">
        <f>IF(Table1_14[[#This Row],[Registered]]=0, "ABSENT", IF(Table1_14[[#This Row],[Appearance Rate]]&lt;0.98, "LOW_RATE", IF(AND(Table1_14[[#This Row],[Appearance Rate]]=1, Table1_14[[#This Row],[Registered]]&lt;100), "SUSPICIOUS_PERFECTION", "NORMAL")))</f>
        <v>NORMAL</v>
      </c>
      <c r="M29" s="7">
        <f>Table1_14[[#This Row],[Registered]]/SUM(Table1_14[Registered])</f>
        <v>6.2299097105469284E-2</v>
      </c>
      <c r="N29" t="str">
        <f xml:space="preserve"> IF(OR(Table1_14[[#This Row],[Appearance Rate]]&lt;0, Table1_14[[#This Row],[Appearance Rate]]&gt;1), "FLAG", "OK")</f>
        <v>OK</v>
      </c>
      <c r="O29" t="str">
        <f xml:space="preserve"> IF(Table1_14[[#This Row],[Appeared]]&gt;Table1_14[[#This Row],[Registered]], "FLAG", "OK")</f>
        <v>OK</v>
      </c>
      <c r="P29" t="str">
        <f xml:space="preserve"> IF(OR(ISBLANK(Table1_14[[#This Row],[Registered]]), ISBLANK(Table1_14[[#This Row],[Appeared]]), Table1_14[[#This Row],[Registered]]=0, Table1_14[[#This Row],[Appeared]]=0), "FLAG", "OK")</f>
        <v>OK</v>
      </c>
    </row>
    <row r="30" spans="1:16" x14ac:dyDescent="0.3">
      <c r="A30">
        <v>12</v>
      </c>
      <c r="B30">
        <v>2022</v>
      </c>
      <c r="C30" t="s">
        <v>14</v>
      </c>
      <c r="D30" t="s">
        <v>8</v>
      </c>
      <c r="E30">
        <v>2549</v>
      </c>
      <c r="F30">
        <v>2537</v>
      </c>
      <c r="G30">
        <v>0.99529227147901134</v>
      </c>
      <c r="H30">
        <v>4.7077285209886632E-3</v>
      </c>
      <c r="J30" t="str">
        <f>IF(Table1_14[[#This Row],[Registered]] = 0, "ABSENT", "NON_ZERO")</f>
        <v>NON_ZERO</v>
      </c>
      <c r="K30" t="str">
        <f>IF(Table1_14[[#This Row],[Registered]] = 0, "ABSENT_BASE", IF(Table1_14[[#This Row],[Registered]]&lt;100, "SMALL_BASE", "VALID_BASE"))</f>
        <v>VALID_BASE</v>
      </c>
      <c r="L30" t="str">
        <f>IF(Table1_14[[#This Row],[Registered]]=0, "ABSENT", IF(Table1_14[[#This Row],[Appearance Rate]]&lt;0.98, "LOW_RATE", IF(AND(Table1_14[[#This Row],[Appearance Rate]]=1, Table1_14[[#This Row],[Registered]]&lt;100), "SUSPICIOUS_PERFECTION", "NORMAL")))</f>
        <v>NORMAL</v>
      </c>
      <c r="M30" s="7">
        <f>Table1_14[[#This Row],[Registered]]/SUM(Table1_14[Registered])</f>
        <v>1.771594302819608E-3</v>
      </c>
      <c r="N30" t="str">
        <f xml:space="preserve"> IF(OR(Table1_14[[#This Row],[Appearance Rate]]&lt;0, Table1_14[[#This Row],[Appearance Rate]]&gt;1), "FLAG", "OK")</f>
        <v>OK</v>
      </c>
      <c r="O30" t="str">
        <f xml:space="preserve"> IF(Table1_14[[#This Row],[Appeared]]&gt;Table1_14[[#This Row],[Registered]], "FLAG", "OK")</f>
        <v>OK</v>
      </c>
      <c r="P30" t="str">
        <f xml:space="preserve"> IF(OR(ISBLANK(Table1_14[[#This Row],[Registered]]), ISBLANK(Table1_14[[#This Row],[Appeared]]), Table1_14[[#This Row],[Registered]]=0, Table1_14[[#This Row],[Appeared]]=0), "FLAG", "OK")</f>
        <v>OK</v>
      </c>
    </row>
    <row r="31" spans="1:16" x14ac:dyDescent="0.3">
      <c r="A31">
        <v>12</v>
      </c>
      <c r="B31">
        <v>2022</v>
      </c>
      <c r="C31" t="s">
        <v>14</v>
      </c>
      <c r="D31" t="s">
        <v>9</v>
      </c>
      <c r="E31">
        <v>5861</v>
      </c>
      <c r="F31">
        <v>5844</v>
      </c>
      <c r="G31">
        <v>0.99709947108002051</v>
      </c>
      <c r="H31">
        <v>2.9005289199794948E-3</v>
      </c>
      <c r="J31" t="str">
        <f>IF(Table1_14[[#This Row],[Registered]] = 0, "ABSENT", "NON_ZERO")</f>
        <v>NON_ZERO</v>
      </c>
      <c r="K31" t="str">
        <f>IF(Table1_14[[#This Row],[Registered]] = 0, "ABSENT_BASE", IF(Table1_14[[#This Row],[Registered]]&lt;100, "SMALL_BASE", "VALID_BASE"))</f>
        <v>VALID_BASE</v>
      </c>
      <c r="L31" t="str">
        <f>IF(Table1_14[[#This Row],[Registered]]=0, "ABSENT", IF(Table1_14[[#This Row],[Appearance Rate]]&lt;0.98, "LOW_RATE", IF(AND(Table1_14[[#This Row],[Appearance Rate]]=1, Table1_14[[#This Row],[Registered]]&lt;100), "SUSPICIOUS_PERFECTION", "NORMAL")))</f>
        <v>NORMAL</v>
      </c>
      <c r="M31" s="7">
        <f>Table1_14[[#This Row],[Registered]]/SUM(Table1_14[Registered])</f>
        <v>4.0734853702729399E-3</v>
      </c>
      <c r="N31" t="str">
        <f xml:space="preserve"> IF(OR(Table1_14[[#This Row],[Appearance Rate]]&lt;0, Table1_14[[#This Row],[Appearance Rate]]&gt;1), "FLAG", "OK")</f>
        <v>OK</v>
      </c>
      <c r="O31" t="str">
        <f xml:space="preserve"> IF(Table1_14[[#This Row],[Appeared]]&gt;Table1_14[[#This Row],[Registered]], "FLAG", "OK")</f>
        <v>OK</v>
      </c>
      <c r="P31" t="str">
        <f xml:space="preserve"> IF(OR(ISBLANK(Table1_14[[#This Row],[Registered]]), ISBLANK(Table1_14[[#This Row],[Appeared]]), Table1_14[[#This Row],[Registered]]=0, Table1_14[[#This Row],[Appeared]]=0), "FLAG", "OK")</f>
        <v>OK</v>
      </c>
    </row>
    <row r="32" spans="1:16" x14ac:dyDescent="0.3">
      <c r="A32">
        <v>12</v>
      </c>
      <c r="B32">
        <v>2022</v>
      </c>
      <c r="C32" t="s">
        <v>21</v>
      </c>
      <c r="D32" t="s">
        <v>4</v>
      </c>
      <c r="E32">
        <v>0</v>
      </c>
      <c r="F32">
        <v>0</v>
      </c>
      <c r="I32" t="s">
        <v>35</v>
      </c>
      <c r="J32" t="str">
        <f>IF(Table1_14[[#This Row],[Registered]] = 0, "ABSENT", "NON_ZERO")</f>
        <v>ABSENT</v>
      </c>
      <c r="K32" t="str">
        <f>IF(Table1_14[[#This Row],[Registered]] = 0, "ABSENT_BASE", IF(Table1_14[[#This Row],[Registered]]&lt;100, "SMALL_BASE", "VALID_BASE"))</f>
        <v>ABSENT_BASE</v>
      </c>
      <c r="L32" t="str">
        <f>IF(Table1_14[[#This Row],[Registered]]=0, "ABSENT", IF(Table1_14[[#This Row],[Appearance Rate]]&lt;0.98, "LOW_RATE", IF(AND(Table1_14[[#This Row],[Appearance Rate]]=1, Table1_14[[#This Row],[Registered]]&lt;100), "SUSPICIOUS_PERFECTION", "NORMAL")))</f>
        <v>ABSENT</v>
      </c>
      <c r="M32" s="7">
        <f>Table1_14[[#This Row],[Registered]]/SUM(Table1_14[Registered])</f>
        <v>0</v>
      </c>
      <c r="N32" t="str">
        <f xml:space="preserve"> IF(OR(Table1_14[[#This Row],[Appearance Rate]]&lt;0, Table1_14[[#This Row],[Appearance Rate]]&gt;1), "FLAG", "OK")</f>
        <v>OK</v>
      </c>
      <c r="O32" t="str">
        <f xml:space="preserve"> IF(Table1_14[[#This Row],[Appeared]]&gt;Table1_14[[#This Row],[Registered]], "FLAG", "OK")</f>
        <v>OK</v>
      </c>
      <c r="P32" t="str">
        <f xml:space="preserve"> IF(OR(ISBLANK(Table1_14[[#This Row],[Registered]]), ISBLANK(Table1_14[[#This Row],[Appeared]]), Table1_14[[#This Row],[Registered]]=0, Table1_14[[#This Row],[Appeared]]=0), "FLAG", "OK")</f>
        <v>FLAG</v>
      </c>
    </row>
    <row r="33" spans="1:16" x14ac:dyDescent="0.3">
      <c r="A33">
        <v>12</v>
      </c>
      <c r="B33">
        <v>2022</v>
      </c>
      <c r="C33" t="s">
        <v>21</v>
      </c>
      <c r="D33" t="s">
        <v>5</v>
      </c>
      <c r="E33">
        <v>3565</v>
      </c>
      <c r="F33">
        <v>3552</v>
      </c>
      <c r="G33">
        <v>0.99635343618513328</v>
      </c>
      <c r="H33">
        <v>3.6465638148667212E-3</v>
      </c>
      <c r="J33" t="str">
        <f>IF(Table1_14[[#This Row],[Registered]] = 0, "ABSENT", "NON_ZERO")</f>
        <v>NON_ZERO</v>
      </c>
      <c r="K33" t="str">
        <f>IF(Table1_14[[#This Row],[Registered]] = 0, "ABSENT_BASE", IF(Table1_14[[#This Row],[Registered]]&lt;100, "SMALL_BASE", "VALID_BASE"))</f>
        <v>VALID_BASE</v>
      </c>
      <c r="L33" t="str">
        <f>IF(Table1_14[[#This Row],[Registered]]=0, "ABSENT", IF(Table1_14[[#This Row],[Appearance Rate]]&lt;0.98, "LOW_RATE", IF(AND(Table1_14[[#This Row],[Appearance Rate]]=1, Table1_14[[#This Row],[Registered]]&lt;100), "SUSPICIOUS_PERFECTION", "NORMAL")))</f>
        <v>NORMAL</v>
      </c>
      <c r="M33" s="7">
        <f>Table1_14[[#This Row],[Registered]]/SUM(Table1_14[Registered])</f>
        <v>2.4777299684393497E-3</v>
      </c>
      <c r="N33" t="str">
        <f xml:space="preserve"> IF(OR(Table1_14[[#This Row],[Appearance Rate]]&lt;0, Table1_14[[#This Row],[Appearance Rate]]&gt;1), "FLAG", "OK")</f>
        <v>OK</v>
      </c>
      <c r="O33" t="str">
        <f xml:space="preserve"> IF(Table1_14[[#This Row],[Appeared]]&gt;Table1_14[[#This Row],[Registered]], "FLAG", "OK")</f>
        <v>OK</v>
      </c>
      <c r="P33" t="str">
        <f xml:space="preserve"> IF(OR(ISBLANK(Table1_14[[#This Row],[Registered]]), ISBLANK(Table1_14[[#This Row],[Appeared]]), Table1_14[[#This Row],[Registered]]=0, Table1_14[[#This Row],[Appeared]]=0), "FLAG", "OK")</f>
        <v>OK</v>
      </c>
    </row>
    <row r="34" spans="1:16" x14ac:dyDescent="0.3">
      <c r="A34">
        <v>12</v>
      </c>
      <c r="B34">
        <v>2022</v>
      </c>
      <c r="C34" t="s">
        <v>21</v>
      </c>
      <c r="D34" t="s">
        <v>6</v>
      </c>
      <c r="E34">
        <v>0</v>
      </c>
      <c r="F34">
        <v>0</v>
      </c>
      <c r="I34" t="s">
        <v>35</v>
      </c>
      <c r="J34" t="str">
        <f>IF(Table1_14[[#This Row],[Registered]] = 0, "ABSENT", "NON_ZERO")</f>
        <v>ABSENT</v>
      </c>
      <c r="K34" t="str">
        <f>IF(Table1_14[[#This Row],[Registered]] = 0, "ABSENT_BASE", IF(Table1_14[[#This Row],[Registered]]&lt;100, "SMALL_BASE", "VALID_BASE"))</f>
        <v>ABSENT_BASE</v>
      </c>
      <c r="L34" t="str">
        <f>IF(Table1_14[[#This Row],[Registered]]=0, "ABSENT", IF(Table1_14[[#This Row],[Appearance Rate]]&lt;0.98, "LOW_RATE", IF(AND(Table1_14[[#This Row],[Appearance Rate]]=1, Table1_14[[#This Row],[Registered]]&lt;100), "SUSPICIOUS_PERFECTION", "NORMAL")))</f>
        <v>ABSENT</v>
      </c>
      <c r="M34" s="7">
        <f>Table1_14[[#This Row],[Registered]]/SUM(Table1_14[Registered])</f>
        <v>0</v>
      </c>
      <c r="N34" t="str">
        <f xml:space="preserve"> IF(OR(Table1_14[[#This Row],[Appearance Rate]]&lt;0, Table1_14[[#This Row],[Appearance Rate]]&gt;1), "FLAG", "OK")</f>
        <v>OK</v>
      </c>
      <c r="O34" t="str">
        <f xml:space="preserve"> IF(Table1_14[[#This Row],[Appeared]]&gt;Table1_14[[#This Row],[Registered]], "FLAG", "OK")</f>
        <v>OK</v>
      </c>
      <c r="P34" t="str">
        <f xml:space="preserve"> IF(OR(ISBLANK(Table1_14[[#This Row],[Registered]]), ISBLANK(Table1_14[[#This Row],[Appeared]]), Table1_14[[#This Row],[Registered]]=0, Table1_14[[#This Row],[Appeared]]=0), "FLAG", "OK")</f>
        <v>FLAG</v>
      </c>
    </row>
    <row r="35" spans="1:16" x14ac:dyDescent="0.3">
      <c r="A35">
        <v>12</v>
      </c>
      <c r="B35">
        <v>2022</v>
      </c>
      <c r="C35" t="s">
        <v>21</v>
      </c>
      <c r="D35" t="s">
        <v>7</v>
      </c>
      <c r="E35">
        <v>67799</v>
      </c>
      <c r="F35">
        <v>67700</v>
      </c>
      <c r="G35">
        <v>0.99853980147199817</v>
      </c>
      <c r="H35">
        <v>1.4601985280018326E-3</v>
      </c>
      <c r="J35" t="str">
        <f>IF(Table1_14[[#This Row],[Registered]] = 0, "ABSENT", "NON_ZERO")</f>
        <v>NON_ZERO</v>
      </c>
      <c r="K35" t="str">
        <f>IF(Table1_14[[#This Row],[Registered]] = 0, "ABSENT_BASE", IF(Table1_14[[#This Row],[Registered]]&lt;100, "SMALL_BASE", "VALID_BASE"))</f>
        <v>VALID_BASE</v>
      </c>
      <c r="L35" t="str">
        <f>IF(Table1_14[[#This Row],[Registered]]=0, "ABSENT", IF(Table1_14[[#This Row],[Appearance Rate]]&lt;0.98, "LOW_RATE", IF(AND(Table1_14[[#This Row],[Appearance Rate]]=1, Table1_14[[#This Row],[Registered]]&lt;100), "SUSPICIOUS_PERFECTION", "NORMAL")))</f>
        <v>NORMAL</v>
      </c>
      <c r="M35" s="7">
        <f>Table1_14[[#This Row],[Registered]]/SUM(Table1_14[Registered])</f>
        <v>4.7121350387158339E-2</v>
      </c>
      <c r="N35" t="str">
        <f xml:space="preserve"> IF(OR(Table1_14[[#This Row],[Appearance Rate]]&lt;0, Table1_14[[#This Row],[Appearance Rate]]&gt;1), "FLAG", "OK")</f>
        <v>OK</v>
      </c>
      <c r="O35" t="str">
        <f xml:space="preserve"> IF(Table1_14[[#This Row],[Appeared]]&gt;Table1_14[[#This Row],[Registered]], "FLAG", "OK")</f>
        <v>OK</v>
      </c>
      <c r="P35" t="str">
        <f xml:space="preserve"> IF(OR(ISBLANK(Table1_14[[#This Row],[Registered]]), ISBLANK(Table1_14[[#This Row],[Appeared]]), Table1_14[[#This Row],[Registered]]=0, Table1_14[[#This Row],[Appeared]]=0), "FLAG", "OK")</f>
        <v>OK</v>
      </c>
    </row>
    <row r="36" spans="1:16" x14ac:dyDescent="0.3">
      <c r="A36">
        <v>12</v>
      </c>
      <c r="B36">
        <v>2022</v>
      </c>
      <c r="C36" t="s">
        <v>21</v>
      </c>
      <c r="D36" t="s">
        <v>8</v>
      </c>
      <c r="E36">
        <v>1646</v>
      </c>
      <c r="F36">
        <v>1642</v>
      </c>
      <c r="G36">
        <v>0.99756986634264888</v>
      </c>
      <c r="H36">
        <v>2.430133657351119E-3</v>
      </c>
      <c r="J36" t="str">
        <f>IF(Table1_14[[#This Row],[Registered]] = 0, "ABSENT", "NON_ZERO")</f>
        <v>NON_ZERO</v>
      </c>
      <c r="K36" t="str">
        <f>IF(Table1_14[[#This Row],[Registered]] = 0, "ABSENT_BASE", IF(Table1_14[[#This Row],[Registered]]&lt;100, "SMALL_BASE", "VALID_BASE"))</f>
        <v>VALID_BASE</v>
      </c>
      <c r="L36" t="str">
        <f>IF(Table1_14[[#This Row],[Registered]]=0, "ABSENT", IF(Table1_14[[#This Row],[Appearance Rate]]&lt;0.98, "LOW_RATE", IF(AND(Table1_14[[#This Row],[Appearance Rate]]=1, Table1_14[[#This Row],[Registered]]&lt;100), "SUSPICIOUS_PERFECTION", "NORMAL")))</f>
        <v>NORMAL</v>
      </c>
      <c r="M36" s="7">
        <f>Table1_14[[#This Row],[Registered]]/SUM(Table1_14[Registered])</f>
        <v>1.143995379537495E-3</v>
      </c>
      <c r="N36" t="str">
        <f xml:space="preserve"> IF(OR(Table1_14[[#This Row],[Appearance Rate]]&lt;0, Table1_14[[#This Row],[Appearance Rate]]&gt;1), "FLAG", "OK")</f>
        <v>OK</v>
      </c>
      <c r="O36" t="str">
        <f xml:space="preserve"> IF(Table1_14[[#This Row],[Appeared]]&gt;Table1_14[[#This Row],[Registered]], "FLAG", "OK")</f>
        <v>OK</v>
      </c>
      <c r="P36" t="str">
        <f xml:space="preserve"> IF(OR(ISBLANK(Table1_14[[#This Row],[Registered]]), ISBLANK(Table1_14[[#This Row],[Appeared]]), Table1_14[[#This Row],[Registered]]=0, Table1_14[[#This Row],[Appeared]]=0), "FLAG", "OK")</f>
        <v>OK</v>
      </c>
    </row>
    <row r="37" spans="1:16" x14ac:dyDescent="0.3">
      <c r="A37">
        <v>12</v>
      </c>
      <c r="B37">
        <v>2022</v>
      </c>
      <c r="C37" t="s">
        <v>21</v>
      </c>
      <c r="D37" t="s">
        <v>9</v>
      </c>
      <c r="E37">
        <v>6713</v>
      </c>
      <c r="F37">
        <v>6701</v>
      </c>
      <c r="G37">
        <v>0.99821242365559359</v>
      </c>
      <c r="H37">
        <v>1.7875763444064052E-3</v>
      </c>
      <c r="J37" t="str">
        <f>IF(Table1_14[[#This Row],[Registered]] = 0, "ABSENT", "NON_ZERO")</f>
        <v>NON_ZERO</v>
      </c>
      <c r="K37" t="str">
        <f>IF(Table1_14[[#This Row],[Registered]] = 0, "ABSENT_BASE", IF(Table1_14[[#This Row],[Registered]]&lt;100, "SMALL_BASE", "VALID_BASE"))</f>
        <v>VALID_BASE</v>
      </c>
      <c r="L37" t="str">
        <f>IF(Table1_14[[#This Row],[Registered]]=0, "ABSENT", IF(Table1_14[[#This Row],[Appearance Rate]]&lt;0.98, "LOW_RATE", IF(AND(Table1_14[[#This Row],[Appearance Rate]]=1, Table1_14[[#This Row],[Registered]]&lt;100), "SUSPICIOUS_PERFECTION", "NORMAL")))</f>
        <v>NORMAL</v>
      </c>
      <c r="M37" s="7">
        <f>Table1_14[[#This Row],[Registered]]/SUM(Table1_14[Registered])</f>
        <v>4.6656385071902817E-3</v>
      </c>
      <c r="N37" t="str">
        <f xml:space="preserve"> IF(OR(Table1_14[[#This Row],[Appearance Rate]]&lt;0, Table1_14[[#This Row],[Appearance Rate]]&gt;1), "FLAG", "OK")</f>
        <v>OK</v>
      </c>
      <c r="O37" t="str">
        <f xml:space="preserve"> IF(Table1_14[[#This Row],[Appeared]]&gt;Table1_14[[#This Row],[Registered]], "FLAG", "OK")</f>
        <v>OK</v>
      </c>
      <c r="P37" t="str">
        <f xml:space="preserve"> IF(OR(ISBLANK(Table1_14[[#This Row],[Registered]]), ISBLANK(Table1_14[[#This Row],[Appeared]]), Table1_14[[#This Row],[Registered]]=0, Table1_14[[#This Row],[Appeared]]=0), "FLAG", "OK")</f>
        <v>OK</v>
      </c>
    </row>
    <row r="38" spans="1:16" x14ac:dyDescent="0.3">
      <c r="A38">
        <v>12</v>
      </c>
      <c r="B38">
        <v>2022</v>
      </c>
      <c r="C38" t="s">
        <v>26</v>
      </c>
      <c r="D38" t="s">
        <v>4</v>
      </c>
      <c r="E38">
        <v>164</v>
      </c>
      <c r="F38">
        <v>162</v>
      </c>
      <c r="G38">
        <v>0.98780487804878048</v>
      </c>
      <c r="H38">
        <v>1.2195121951219523E-2</v>
      </c>
      <c r="J38" t="str">
        <f>IF(Table1_14[[#This Row],[Registered]] = 0, "ABSENT", "NON_ZERO")</f>
        <v>NON_ZERO</v>
      </c>
      <c r="K38" t="str">
        <f>IF(Table1_14[[#This Row],[Registered]] = 0, "ABSENT_BASE", IF(Table1_14[[#This Row],[Registered]]&lt;100, "SMALL_BASE", "VALID_BASE"))</f>
        <v>VALID_BASE</v>
      </c>
      <c r="L38" t="str">
        <f>IF(Table1_14[[#This Row],[Registered]]=0, "ABSENT", IF(Table1_14[[#This Row],[Appearance Rate]]&lt;0.98, "LOW_RATE", IF(AND(Table1_14[[#This Row],[Appearance Rate]]=1, Table1_14[[#This Row],[Registered]]&lt;100), "SUSPICIOUS_PERFECTION", "NORMAL")))</f>
        <v>NORMAL</v>
      </c>
      <c r="M38" s="7">
        <f>Table1_14[[#This Row],[Registered]]/SUM(Table1_14[Registered])</f>
        <v>1.1398252870239926E-4</v>
      </c>
      <c r="N38" t="str">
        <f xml:space="preserve"> IF(OR(Table1_14[[#This Row],[Appearance Rate]]&lt;0, Table1_14[[#This Row],[Appearance Rate]]&gt;1), "FLAG", "OK")</f>
        <v>OK</v>
      </c>
      <c r="O38" t="str">
        <f xml:space="preserve"> IF(Table1_14[[#This Row],[Appeared]]&gt;Table1_14[[#This Row],[Registered]], "FLAG", "OK")</f>
        <v>OK</v>
      </c>
      <c r="P38" t="str">
        <f xml:space="preserve"> IF(OR(ISBLANK(Table1_14[[#This Row],[Registered]]), ISBLANK(Table1_14[[#This Row],[Appeared]]), Table1_14[[#This Row],[Registered]]=0, Table1_14[[#This Row],[Appeared]]=0), "FLAG", "OK")</f>
        <v>OK</v>
      </c>
    </row>
    <row r="39" spans="1:16" x14ac:dyDescent="0.3">
      <c r="A39">
        <v>12</v>
      </c>
      <c r="B39">
        <v>2022</v>
      </c>
      <c r="C39" t="s">
        <v>26</v>
      </c>
      <c r="D39" t="s">
        <v>5</v>
      </c>
      <c r="E39">
        <v>1555</v>
      </c>
      <c r="F39">
        <v>1552</v>
      </c>
      <c r="G39">
        <v>0.99807073954983927</v>
      </c>
      <c r="H39">
        <v>1.9292604501607302E-3</v>
      </c>
      <c r="J39" t="str">
        <f>IF(Table1_14[[#This Row],[Registered]] = 0, "ABSENT", "NON_ZERO")</f>
        <v>NON_ZERO</v>
      </c>
      <c r="K39" t="str">
        <f>IF(Table1_14[[#This Row],[Registered]] = 0, "ABSENT_BASE", IF(Table1_14[[#This Row],[Registered]]&lt;100, "SMALL_BASE", "VALID_BASE"))</f>
        <v>VALID_BASE</v>
      </c>
      <c r="L39" t="str">
        <f>IF(Table1_14[[#This Row],[Registered]]=0, "ABSENT", IF(Table1_14[[#This Row],[Appearance Rate]]&lt;0.98, "LOW_RATE", IF(AND(Table1_14[[#This Row],[Appearance Rate]]=1, Table1_14[[#This Row],[Registered]]&lt;100), "SUSPICIOUS_PERFECTION", "NORMAL")))</f>
        <v>NORMAL</v>
      </c>
      <c r="M39" s="7">
        <f>Table1_14[[#This Row],[Registered]]/SUM(Table1_14[Registered])</f>
        <v>1.0807489764160419E-3</v>
      </c>
      <c r="N39" t="str">
        <f xml:space="preserve"> IF(OR(Table1_14[[#This Row],[Appearance Rate]]&lt;0, Table1_14[[#This Row],[Appearance Rate]]&gt;1), "FLAG", "OK")</f>
        <v>OK</v>
      </c>
      <c r="O39" t="str">
        <f xml:space="preserve"> IF(Table1_14[[#This Row],[Appeared]]&gt;Table1_14[[#This Row],[Registered]], "FLAG", "OK")</f>
        <v>OK</v>
      </c>
      <c r="P39" t="str">
        <f xml:space="preserve"> IF(OR(ISBLANK(Table1_14[[#This Row],[Registered]]), ISBLANK(Table1_14[[#This Row],[Appeared]]), Table1_14[[#This Row],[Registered]]=0, Table1_14[[#This Row],[Appeared]]=0), "FLAG", "OK")</f>
        <v>OK</v>
      </c>
    </row>
    <row r="40" spans="1:16" x14ac:dyDescent="0.3">
      <c r="A40">
        <v>12</v>
      </c>
      <c r="B40">
        <v>2022</v>
      </c>
      <c r="C40" t="s">
        <v>26</v>
      </c>
      <c r="D40" t="s">
        <v>6</v>
      </c>
      <c r="E40">
        <v>22</v>
      </c>
      <c r="F40">
        <v>22</v>
      </c>
      <c r="G40">
        <v>1</v>
      </c>
      <c r="H40">
        <v>0</v>
      </c>
      <c r="J40" t="str">
        <f>IF(Table1_14[[#This Row],[Registered]] = 0, "ABSENT", "NON_ZERO")</f>
        <v>NON_ZERO</v>
      </c>
      <c r="K40" t="str">
        <f>IF(Table1_14[[#This Row],[Registered]] = 0, "ABSENT_BASE", IF(Table1_14[[#This Row],[Registered]]&lt;100, "SMALL_BASE", "VALID_BASE"))</f>
        <v>SMALL_BASE</v>
      </c>
      <c r="L40" t="str">
        <f>IF(Table1_14[[#This Row],[Registered]]=0, "ABSENT", IF(Table1_14[[#This Row],[Appearance Rate]]&lt;0.98, "LOW_RATE", IF(AND(Table1_14[[#This Row],[Appearance Rate]]=1, Table1_14[[#This Row],[Registered]]&lt;100), "SUSPICIOUS_PERFECTION", "NORMAL")))</f>
        <v>SUSPICIOUS_PERFECTION</v>
      </c>
      <c r="M40" s="7">
        <f>Table1_14[[#This Row],[Registered]]/SUM(Table1_14[Registered])</f>
        <v>1.5290339216175512E-5</v>
      </c>
      <c r="N40" t="str">
        <f xml:space="preserve"> IF(OR(Table1_14[[#This Row],[Appearance Rate]]&lt;0, Table1_14[[#This Row],[Appearance Rate]]&gt;1), "FLAG", "OK")</f>
        <v>OK</v>
      </c>
      <c r="O40" t="str">
        <f xml:space="preserve"> IF(Table1_14[[#This Row],[Appeared]]&gt;Table1_14[[#This Row],[Registered]], "FLAG", "OK")</f>
        <v>OK</v>
      </c>
      <c r="P40" t="str">
        <f xml:space="preserve"> IF(OR(ISBLANK(Table1_14[[#This Row],[Registered]]), ISBLANK(Table1_14[[#This Row],[Appeared]]), Table1_14[[#This Row],[Registered]]=0, Table1_14[[#This Row],[Appeared]]=0), "FLAG", "OK")</f>
        <v>OK</v>
      </c>
    </row>
    <row r="41" spans="1:16" x14ac:dyDescent="0.3">
      <c r="A41">
        <v>12</v>
      </c>
      <c r="B41">
        <v>2022</v>
      </c>
      <c r="C41" t="s">
        <v>26</v>
      </c>
      <c r="D41" t="s">
        <v>7</v>
      </c>
      <c r="E41">
        <v>62473</v>
      </c>
      <c r="F41">
        <v>62094</v>
      </c>
      <c r="G41">
        <v>0.99393337921982294</v>
      </c>
      <c r="H41">
        <v>6.0666207801770566E-3</v>
      </c>
      <c r="J41" t="str">
        <f>IF(Table1_14[[#This Row],[Registered]] = 0, "ABSENT", "NON_ZERO")</f>
        <v>NON_ZERO</v>
      </c>
      <c r="K41" t="str">
        <f>IF(Table1_14[[#This Row],[Registered]] = 0, "ABSENT_BASE", IF(Table1_14[[#This Row],[Registered]]&lt;100, "SMALL_BASE", "VALID_BASE"))</f>
        <v>VALID_BASE</v>
      </c>
      <c r="L41" t="str">
        <f>IF(Table1_14[[#This Row],[Registered]]=0, "ABSENT", IF(Table1_14[[#This Row],[Appearance Rate]]&lt;0.98, "LOW_RATE", IF(AND(Table1_14[[#This Row],[Appearance Rate]]=1, Table1_14[[#This Row],[Registered]]&lt;100), "SUSPICIOUS_PERFECTION", "NORMAL")))</f>
        <v>NORMAL</v>
      </c>
      <c r="M41" s="7">
        <f>Table1_14[[#This Row],[Registered]]/SUM(Table1_14[Registered])</f>
        <v>4.3419698266006029E-2</v>
      </c>
      <c r="N41" t="str">
        <f xml:space="preserve"> IF(OR(Table1_14[[#This Row],[Appearance Rate]]&lt;0, Table1_14[[#This Row],[Appearance Rate]]&gt;1), "FLAG", "OK")</f>
        <v>OK</v>
      </c>
      <c r="O41" t="str">
        <f xml:space="preserve"> IF(Table1_14[[#This Row],[Appeared]]&gt;Table1_14[[#This Row],[Registered]], "FLAG", "OK")</f>
        <v>OK</v>
      </c>
      <c r="P41" t="str">
        <f xml:space="preserve"> IF(OR(ISBLANK(Table1_14[[#This Row],[Registered]]), ISBLANK(Table1_14[[#This Row],[Appeared]]), Table1_14[[#This Row],[Registered]]=0, Table1_14[[#This Row],[Appeared]]=0), "FLAG", "OK")</f>
        <v>OK</v>
      </c>
    </row>
    <row r="42" spans="1:16" x14ac:dyDescent="0.3">
      <c r="A42">
        <v>12</v>
      </c>
      <c r="B42">
        <v>2022</v>
      </c>
      <c r="C42" t="s">
        <v>26</v>
      </c>
      <c r="D42" t="s">
        <v>8</v>
      </c>
      <c r="E42">
        <v>1120</v>
      </c>
      <c r="F42">
        <v>1117</v>
      </c>
      <c r="G42">
        <v>0.99732142857142858</v>
      </c>
      <c r="H42">
        <v>2.6785714285714191E-3</v>
      </c>
      <c r="J42" t="str">
        <f>IF(Table1_14[[#This Row],[Registered]] = 0, "ABSENT", "NON_ZERO")</f>
        <v>NON_ZERO</v>
      </c>
      <c r="K42" t="str">
        <f>IF(Table1_14[[#This Row],[Registered]] = 0, "ABSENT_BASE", IF(Table1_14[[#This Row],[Registered]]&lt;100, "SMALL_BASE", "VALID_BASE"))</f>
        <v>VALID_BASE</v>
      </c>
      <c r="L42" t="str">
        <f>IF(Table1_14[[#This Row],[Registered]]=0, "ABSENT", IF(Table1_14[[#This Row],[Appearance Rate]]&lt;0.98, "LOW_RATE", IF(AND(Table1_14[[#This Row],[Appearance Rate]]=1, Table1_14[[#This Row],[Registered]]&lt;100), "SUSPICIOUS_PERFECTION", "NORMAL")))</f>
        <v>NORMAL</v>
      </c>
      <c r="M42" s="7">
        <f>Table1_14[[#This Row],[Registered]]/SUM(Table1_14[Registered])</f>
        <v>7.7841726918711693E-4</v>
      </c>
      <c r="N42" t="str">
        <f xml:space="preserve"> IF(OR(Table1_14[[#This Row],[Appearance Rate]]&lt;0, Table1_14[[#This Row],[Appearance Rate]]&gt;1), "FLAG", "OK")</f>
        <v>OK</v>
      </c>
      <c r="O42" t="str">
        <f xml:space="preserve"> IF(Table1_14[[#This Row],[Appeared]]&gt;Table1_14[[#This Row],[Registered]], "FLAG", "OK")</f>
        <v>OK</v>
      </c>
      <c r="P42" t="str">
        <f xml:space="preserve"> IF(OR(ISBLANK(Table1_14[[#This Row],[Registered]]), ISBLANK(Table1_14[[#This Row],[Appeared]]), Table1_14[[#This Row],[Registered]]=0, Table1_14[[#This Row],[Appeared]]=0), "FLAG", "OK")</f>
        <v>OK</v>
      </c>
    </row>
    <row r="43" spans="1:16" x14ac:dyDescent="0.3">
      <c r="A43">
        <v>12</v>
      </c>
      <c r="B43">
        <v>2022</v>
      </c>
      <c r="C43" t="s">
        <v>26</v>
      </c>
      <c r="D43" t="s">
        <v>9</v>
      </c>
      <c r="E43">
        <v>4312</v>
      </c>
      <c r="F43">
        <v>4307</v>
      </c>
      <c r="G43">
        <v>0.99884044526901672</v>
      </c>
      <c r="H43">
        <v>1.159554730983281E-3</v>
      </c>
      <c r="J43" t="str">
        <f>IF(Table1_14[[#This Row],[Registered]] = 0, "ABSENT", "NON_ZERO")</f>
        <v>NON_ZERO</v>
      </c>
      <c r="K43" t="str">
        <f>IF(Table1_14[[#This Row],[Registered]] = 0, "ABSENT_BASE", IF(Table1_14[[#This Row],[Registered]]&lt;100, "SMALL_BASE", "VALID_BASE"))</f>
        <v>VALID_BASE</v>
      </c>
      <c r="L43" t="str">
        <f>IF(Table1_14[[#This Row],[Registered]]=0, "ABSENT", IF(Table1_14[[#This Row],[Appearance Rate]]&lt;0.98, "LOW_RATE", IF(AND(Table1_14[[#This Row],[Appearance Rate]]=1, Table1_14[[#This Row],[Registered]]&lt;100), "SUSPICIOUS_PERFECTION", "NORMAL")))</f>
        <v>NORMAL</v>
      </c>
      <c r="M43" s="7">
        <f>Table1_14[[#This Row],[Registered]]/SUM(Table1_14[Registered])</f>
        <v>2.9969064863704003E-3</v>
      </c>
      <c r="N43" t="str">
        <f xml:space="preserve"> IF(OR(Table1_14[[#This Row],[Appearance Rate]]&lt;0, Table1_14[[#This Row],[Appearance Rate]]&gt;1), "FLAG", "OK")</f>
        <v>OK</v>
      </c>
      <c r="O43" t="str">
        <f xml:space="preserve"> IF(Table1_14[[#This Row],[Appeared]]&gt;Table1_14[[#This Row],[Registered]], "FLAG", "OK")</f>
        <v>OK</v>
      </c>
      <c r="P43" t="str">
        <f xml:space="preserve"> IF(OR(ISBLANK(Table1_14[[#This Row],[Registered]]), ISBLANK(Table1_14[[#This Row],[Appeared]]), Table1_14[[#This Row],[Registered]]=0, Table1_14[[#This Row],[Appeared]]=0), "FLAG", "OK")</f>
        <v>OK</v>
      </c>
    </row>
    <row r="44" spans="1:16" x14ac:dyDescent="0.3">
      <c r="A44">
        <v>12</v>
      </c>
      <c r="B44">
        <v>2022</v>
      </c>
      <c r="C44" t="s">
        <v>15</v>
      </c>
      <c r="D44" t="s">
        <v>4</v>
      </c>
      <c r="E44">
        <v>0</v>
      </c>
      <c r="F44">
        <v>0</v>
      </c>
      <c r="I44" t="s">
        <v>35</v>
      </c>
      <c r="J44" t="str">
        <f>IF(Table1_14[[#This Row],[Registered]] = 0, "ABSENT", "NON_ZERO")</f>
        <v>ABSENT</v>
      </c>
      <c r="K44" t="str">
        <f>IF(Table1_14[[#This Row],[Registered]] = 0, "ABSENT_BASE", IF(Table1_14[[#This Row],[Registered]]&lt;100, "SMALL_BASE", "VALID_BASE"))</f>
        <v>ABSENT_BASE</v>
      </c>
      <c r="L44" t="str">
        <f>IF(Table1_14[[#This Row],[Registered]]=0, "ABSENT", IF(Table1_14[[#This Row],[Appearance Rate]]&lt;0.98, "LOW_RATE", IF(AND(Table1_14[[#This Row],[Appearance Rate]]=1, Table1_14[[#This Row],[Registered]]&lt;100), "SUSPICIOUS_PERFECTION", "NORMAL")))</f>
        <v>ABSENT</v>
      </c>
      <c r="M44" s="7">
        <f>Table1_14[[#This Row],[Registered]]/SUM(Table1_14[Registered])</f>
        <v>0</v>
      </c>
      <c r="N44" t="str">
        <f xml:space="preserve"> IF(OR(Table1_14[[#This Row],[Appearance Rate]]&lt;0, Table1_14[[#This Row],[Appearance Rate]]&gt;1), "FLAG", "OK")</f>
        <v>OK</v>
      </c>
      <c r="O44" t="str">
        <f xml:space="preserve"> IF(Table1_14[[#This Row],[Appeared]]&gt;Table1_14[[#This Row],[Registered]], "FLAG", "OK")</f>
        <v>OK</v>
      </c>
      <c r="P44" t="str">
        <f xml:space="preserve"> IF(OR(ISBLANK(Table1_14[[#This Row],[Registered]]), ISBLANK(Table1_14[[#This Row],[Appeared]]), Table1_14[[#This Row],[Registered]]=0, Table1_14[[#This Row],[Appeared]]=0), "FLAG", "OK")</f>
        <v>FLAG</v>
      </c>
    </row>
    <row r="45" spans="1:16" x14ac:dyDescent="0.3">
      <c r="A45">
        <v>12</v>
      </c>
      <c r="B45">
        <v>2022</v>
      </c>
      <c r="C45" t="s">
        <v>15</v>
      </c>
      <c r="D45" t="s">
        <v>5</v>
      </c>
      <c r="E45">
        <v>100216</v>
      </c>
      <c r="F45">
        <v>99566</v>
      </c>
      <c r="G45">
        <v>0.99351400973896387</v>
      </c>
      <c r="H45">
        <v>6.4859902610361342E-3</v>
      </c>
      <c r="J45" t="str">
        <f>IF(Table1_14[[#This Row],[Registered]] = 0, "ABSENT", "NON_ZERO")</f>
        <v>NON_ZERO</v>
      </c>
      <c r="K45" t="str">
        <f>IF(Table1_14[[#This Row],[Registered]] = 0, "ABSENT_BASE", IF(Table1_14[[#This Row],[Registered]]&lt;100, "SMALL_BASE", "VALID_BASE"))</f>
        <v>VALID_BASE</v>
      </c>
      <c r="L45" t="str">
        <f>IF(Table1_14[[#This Row],[Registered]]=0, "ABSENT", IF(Table1_14[[#This Row],[Appearance Rate]]&lt;0.98, "LOW_RATE", IF(AND(Table1_14[[#This Row],[Appearance Rate]]=1, Table1_14[[#This Row],[Registered]]&lt;100), "SUSPICIOUS_PERFECTION", "NORMAL")))</f>
        <v>NORMAL</v>
      </c>
      <c r="M45" s="7">
        <f>Table1_14[[#This Row],[Registered]]/SUM(Table1_14[Registered])</f>
        <v>6.965166522219296E-2</v>
      </c>
      <c r="N45" t="str">
        <f xml:space="preserve"> IF(OR(Table1_14[[#This Row],[Appearance Rate]]&lt;0, Table1_14[[#This Row],[Appearance Rate]]&gt;1), "FLAG", "OK")</f>
        <v>OK</v>
      </c>
      <c r="O45" t="str">
        <f xml:space="preserve"> IF(Table1_14[[#This Row],[Appeared]]&gt;Table1_14[[#This Row],[Registered]], "FLAG", "OK")</f>
        <v>OK</v>
      </c>
      <c r="P45" t="str">
        <f xml:space="preserve"> IF(OR(ISBLANK(Table1_14[[#This Row],[Registered]]), ISBLANK(Table1_14[[#This Row],[Appeared]]), Table1_14[[#This Row],[Registered]]=0, Table1_14[[#This Row],[Appeared]]=0), "FLAG", "OK")</f>
        <v>OK</v>
      </c>
    </row>
    <row r="46" spans="1:16" x14ac:dyDescent="0.3">
      <c r="A46">
        <v>12</v>
      </c>
      <c r="B46">
        <v>2022</v>
      </c>
      <c r="C46" t="s">
        <v>15</v>
      </c>
      <c r="D46" t="s">
        <v>6</v>
      </c>
      <c r="E46">
        <v>6420</v>
      </c>
      <c r="F46">
        <v>6393</v>
      </c>
      <c r="G46">
        <v>0.99579439252336444</v>
      </c>
      <c r="H46">
        <v>4.2056074766355644E-3</v>
      </c>
      <c r="J46" t="str">
        <f>IF(Table1_14[[#This Row],[Registered]] = 0, "ABSENT", "NON_ZERO")</f>
        <v>NON_ZERO</v>
      </c>
      <c r="K46" t="str">
        <f>IF(Table1_14[[#This Row],[Registered]] = 0, "ABSENT_BASE", IF(Table1_14[[#This Row],[Registered]]&lt;100, "SMALL_BASE", "VALID_BASE"))</f>
        <v>VALID_BASE</v>
      </c>
      <c r="L46" t="str">
        <f>IF(Table1_14[[#This Row],[Registered]]=0, "ABSENT", IF(Table1_14[[#This Row],[Appearance Rate]]&lt;0.98, "LOW_RATE", IF(AND(Table1_14[[#This Row],[Appearance Rate]]=1, Table1_14[[#This Row],[Registered]]&lt;100), "SUSPICIOUS_PERFECTION", "NORMAL")))</f>
        <v>NORMAL</v>
      </c>
      <c r="M46" s="7">
        <f>Table1_14[[#This Row],[Registered]]/SUM(Table1_14[Registered])</f>
        <v>4.4619989894475812E-3</v>
      </c>
      <c r="N46" t="str">
        <f xml:space="preserve"> IF(OR(Table1_14[[#This Row],[Appearance Rate]]&lt;0, Table1_14[[#This Row],[Appearance Rate]]&gt;1), "FLAG", "OK")</f>
        <v>OK</v>
      </c>
      <c r="O46" t="str">
        <f xml:space="preserve"> IF(Table1_14[[#This Row],[Appeared]]&gt;Table1_14[[#This Row],[Registered]], "FLAG", "OK")</f>
        <v>OK</v>
      </c>
      <c r="P46" t="str">
        <f xml:space="preserve"> IF(OR(ISBLANK(Table1_14[[#This Row],[Registered]]), ISBLANK(Table1_14[[#This Row],[Appeared]]), Table1_14[[#This Row],[Registered]]=0, Table1_14[[#This Row],[Appeared]]=0), "FLAG", "OK")</f>
        <v>OK</v>
      </c>
    </row>
    <row r="47" spans="1:16" x14ac:dyDescent="0.3">
      <c r="A47">
        <v>12</v>
      </c>
      <c r="B47">
        <v>2022</v>
      </c>
      <c r="C47" t="s">
        <v>15</v>
      </c>
      <c r="D47" t="s">
        <v>7</v>
      </c>
      <c r="E47">
        <v>64953</v>
      </c>
      <c r="F47">
        <v>64774</v>
      </c>
      <c r="G47">
        <v>0.99724416116268688</v>
      </c>
      <c r="H47">
        <v>2.7558388373131182E-3</v>
      </c>
      <c r="J47" t="str">
        <f>IF(Table1_14[[#This Row],[Registered]] = 0, "ABSENT", "NON_ZERO")</f>
        <v>NON_ZERO</v>
      </c>
      <c r="K47" t="str">
        <f>IF(Table1_14[[#This Row],[Registered]] = 0, "ABSENT_BASE", IF(Table1_14[[#This Row],[Registered]]&lt;100, "SMALL_BASE", "VALID_BASE"))</f>
        <v>VALID_BASE</v>
      </c>
      <c r="L47" t="str">
        <f>IF(Table1_14[[#This Row],[Registered]]=0, "ABSENT", IF(Table1_14[[#This Row],[Appearance Rate]]&lt;0.98, "LOW_RATE", IF(AND(Table1_14[[#This Row],[Appearance Rate]]=1, Table1_14[[#This Row],[Registered]]&lt;100), "SUSPICIOUS_PERFECTION", "NORMAL")))</f>
        <v>NORMAL</v>
      </c>
      <c r="M47" s="7">
        <f>Table1_14[[#This Row],[Registered]]/SUM(Table1_14[Registered])</f>
        <v>4.5143336504920362E-2</v>
      </c>
      <c r="N47" t="str">
        <f xml:space="preserve"> IF(OR(Table1_14[[#This Row],[Appearance Rate]]&lt;0, Table1_14[[#This Row],[Appearance Rate]]&gt;1), "FLAG", "OK")</f>
        <v>OK</v>
      </c>
      <c r="O47" t="str">
        <f xml:space="preserve"> IF(Table1_14[[#This Row],[Appeared]]&gt;Table1_14[[#This Row],[Registered]], "FLAG", "OK")</f>
        <v>OK</v>
      </c>
      <c r="P47" t="str">
        <f xml:space="preserve"> IF(OR(ISBLANK(Table1_14[[#This Row],[Registered]]), ISBLANK(Table1_14[[#This Row],[Appeared]]), Table1_14[[#This Row],[Registered]]=0, Table1_14[[#This Row],[Appeared]]=0), "FLAG", "OK")</f>
        <v>OK</v>
      </c>
    </row>
    <row r="48" spans="1:16" x14ac:dyDescent="0.3">
      <c r="A48">
        <v>12</v>
      </c>
      <c r="B48">
        <v>2022</v>
      </c>
      <c r="C48" t="s">
        <v>15</v>
      </c>
      <c r="D48" t="s">
        <v>8</v>
      </c>
      <c r="E48">
        <v>81</v>
      </c>
      <c r="F48">
        <v>81</v>
      </c>
      <c r="G48">
        <v>1</v>
      </c>
      <c r="H48">
        <v>0</v>
      </c>
      <c r="J48" t="str">
        <f>IF(Table1_14[[#This Row],[Registered]] = 0, "ABSENT", "NON_ZERO")</f>
        <v>NON_ZERO</v>
      </c>
      <c r="K48" t="str">
        <f>IF(Table1_14[[#This Row],[Registered]] = 0, "ABSENT_BASE", IF(Table1_14[[#This Row],[Registered]]&lt;100, "SMALL_BASE", "VALID_BASE"))</f>
        <v>SMALL_BASE</v>
      </c>
      <c r="L48" t="str">
        <f>IF(Table1_14[[#This Row],[Registered]]=0, "ABSENT", IF(Table1_14[[#This Row],[Appearance Rate]]&lt;0.98, "LOW_RATE", IF(AND(Table1_14[[#This Row],[Appearance Rate]]=1, Table1_14[[#This Row],[Registered]]&lt;100), "SUSPICIOUS_PERFECTION", "NORMAL")))</f>
        <v>SUSPICIOUS_PERFECTION</v>
      </c>
      <c r="M48" s="7">
        <f>Table1_14[[#This Row],[Registered]]/SUM(Table1_14[Registered])</f>
        <v>5.6296248932282561E-5</v>
      </c>
      <c r="N48" t="str">
        <f xml:space="preserve"> IF(OR(Table1_14[[#This Row],[Appearance Rate]]&lt;0, Table1_14[[#This Row],[Appearance Rate]]&gt;1), "FLAG", "OK")</f>
        <v>OK</v>
      </c>
      <c r="O48" t="str">
        <f xml:space="preserve"> IF(Table1_14[[#This Row],[Appeared]]&gt;Table1_14[[#This Row],[Registered]], "FLAG", "OK")</f>
        <v>OK</v>
      </c>
      <c r="P48" t="str">
        <f xml:space="preserve"> IF(OR(ISBLANK(Table1_14[[#This Row],[Registered]]), ISBLANK(Table1_14[[#This Row],[Appeared]]), Table1_14[[#This Row],[Registered]]=0, Table1_14[[#This Row],[Appeared]]=0), "FLAG", "OK")</f>
        <v>OK</v>
      </c>
    </row>
    <row r="49" spans="1:16" x14ac:dyDescent="0.3">
      <c r="A49">
        <v>12</v>
      </c>
      <c r="B49">
        <v>2022</v>
      </c>
      <c r="C49" t="s">
        <v>15</v>
      </c>
      <c r="D49" t="s">
        <v>9</v>
      </c>
      <c r="E49">
        <v>6669</v>
      </c>
      <c r="F49">
        <v>6661</v>
      </c>
      <c r="G49">
        <v>0.99880041985305146</v>
      </c>
      <c r="H49">
        <v>1.1995801469485423E-3</v>
      </c>
      <c r="J49" t="str">
        <f>IF(Table1_14[[#This Row],[Registered]] = 0, "ABSENT", "NON_ZERO")</f>
        <v>NON_ZERO</v>
      </c>
      <c r="K49" t="str">
        <f>IF(Table1_14[[#This Row],[Registered]] = 0, "ABSENT_BASE", IF(Table1_14[[#This Row],[Registered]]&lt;100, "SMALL_BASE", "VALID_BASE"))</f>
        <v>VALID_BASE</v>
      </c>
      <c r="L49" t="str">
        <f>IF(Table1_14[[#This Row],[Registered]]=0, "ABSENT", IF(Table1_14[[#This Row],[Appearance Rate]]&lt;0.98, "LOW_RATE", IF(AND(Table1_14[[#This Row],[Appearance Rate]]=1, Table1_14[[#This Row],[Registered]]&lt;100), "SUSPICIOUS_PERFECTION", "NORMAL")))</f>
        <v>NORMAL</v>
      </c>
      <c r="M49" s="7">
        <f>Table1_14[[#This Row],[Registered]]/SUM(Table1_14[Registered])</f>
        <v>4.6350578287579309E-3</v>
      </c>
      <c r="N49" t="str">
        <f xml:space="preserve"> IF(OR(Table1_14[[#This Row],[Appearance Rate]]&lt;0, Table1_14[[#This Row],[Appearance Rate]]&gt;1), "FLAG", "OK")</f>
        <v>OK</v>
      </c>
      <c r="O49" t="str">
        <f xml:space="preserve"> IF(Table1_14[[#This Row],[Appeared]]&gt;Table1_14[[#This Row],[Registered]], "FLAG", "OK")</f>
        <v>OK</v>
      </c>
      <c r="P49" t="str">
        <f xml:space="preserve"> IF(OR(ISBLANK(Table1_14[[#This Row],[Registered]]), ISBLANK(Table1_14[[#This Row],[Appeared]]), Table1_14[[#This Row],[Registered]]=0, Table1_14[[#This Row],[Appeared]]=0), "FLAG", "OK")</f>
        <v>OK</v>
      </c>
    </row>
    <row r="50" spans="1:16" x14ac:dyDescent="0.3">
      <c r="A50">
        <v>12</v>
      </c>
      <c r="B50">
        <v>2022</v>
      </c>
      <c r="C50" t="s">
        <v>27</v>
      </c>
      <c r="D50" t="s">
        <v>4</v>
      </c>
      <c r="E50">
        <v>0</v>
      </c>
      <c r="F50">
        <v>0</v>
      </c>
      <c r="I50" t="s">
        <v>35</v>
      </c>
      <c r="J50" t="str">
        <f>IF(Table1_14[[#This Row],[Registered]] = 0, "ABSENT", "NON_ZERO")</f>
        <v>ABSENT</v>
      </c>
      <c r="K50" t="str">
        <f>IF(Table1_14[[#This Row],[Registered]] = 0, "ABSENT_BASE", IF(Table1_14[[#This Row],[Registered]]&lt;100, "SMALL_BASE", "VALID_BASE"))</f>
        <v>ABSENT_BASE</v>
      </c>
      <c r="L50" t="str">
        <f>IF(Table1_14[[#This Row],[Registered]]=0, "ABSENT", IF(Table1_14[[#This Row],[Appearance Rate]]&lt;0.98, "LOW_RATE", IF(AND(Table1_14[[#This Row],[Appearance Rate]]=1, Table1_14[[#This Row],[Registered]]&lt;100), "SUSPICIOUS_PERFECTION", "NORMAL")))</f>
        <v>ABSENT</v>
      </c>
      <c r="M50" s="7">
        <f>Table1_14[[#This Row],[Registered]]/SUM(Table1_14[Registered])</f>
        <v>0</v>
      </c>
      <c r="N50" t="str">
        <f xml:space="preserve"> IF(OR(Table1_14[[#This Row],[Appearance Rate]]&lt;0, Table1_14[[#This Row],[Appearance Rate]]&gt;1), "FLAG", "OK")</f>
        <v>OK</v>
      </c>
      <c r="O50" t="str">
        <f xml:space="preserve"> IF(Table1_14[[#This Row],[Appeared]]&gt;Table1_14[[#This Row],[Registered]], "FLAG", "OK")</f>
        <v>OK</v>
      </c>
      <c r="P50" t="str">
        <f xml:space="preserve"> IF(OR(ISBLANK(Table1_14[[#This Row],[Registered]]), ISBLANK(Table1_14[[#This Row],[Appeared]]), Table1_14[[#This Row],[Registered]]=0, Table1_14[[#This Row],[Appeared]]=0), "FLAG", "OK")</f>
        <v>FLAG</v>
      </c>
    </row>
    <row r="51" spans="1:16" x14ac:dyDescent="0.3">
      <c r="A51">
        <v>12</v>
      </c>
      <c r="B51">
        <v>2022</v>
      </c>
      <c r="C51" t="s">
        <v>27</v>
      </c>
      <c r="D51" t="s">
        <v>5</v>
      </c>
      <c r="E51">
        <v>69504</v>
      </c>
      <c r="F51">
        <v>69109</v>
      </c>
      <c r="G51">
        <v>0.99431687384898715</v>
      </c>
      <c r="H51">
        <v>5.6831261510128517E-3</v>
      </c>
      <c r="J51" t="str">
        <f>IF(Table1_14[[#This Row],[Registered]] = 0, "ABSENT", "NON_ZERO")</f>
        <v>NON_ZERO</v>
      </c>
      <c r="K51" t="str">
        <f>IF(Table1_14[[#This Row],[Registered]] = 0, "ABSENT_BASE", IF(Table1_14[[#This Row],[Registered]]&lt;100, "SMALL_BASE", "VALID_BASE"))</f>
        <v>VALID_BASE</v>
      </c>
      <c r="L51" t="str">
        <f>IF(Table1_14[[#This Row],[Registered]]=0, "ABSENT", IF(Table1_14[[#This Row],[Appearance Rate]]&lt;0.98, "LOW_RATE", IF(AND(Table1_14[[#This Row],[Appearance Rate]]=1, Table1_14[[#This Row],[Registered]]&lt;100), "SUSPICIOUS_PERFECTION", "NORMAL")))</f>
        <v>NORMAL</v>
      </c>
      <c r="M51" s="7">
        <f>Table1_14[[#This Row],[Registered]]/SUM(Table1_14[Registered])</f>
        <v>4.8306351676411945E-2</v>
      </c>
      <c r="N51" t="str">
        <f xml:space="preserve"> IF(OR(Table1_14[[#This Row],[Appearance Rate]]&lt;0, Table1_14[[#This Row],[Appearance Rate]]&gt;1), "FLAG", "OK")</f>
        <v>OK</v>
      </c>
      <c r="O51" t="str">
        <f xml:space="preserve"> IF(Table1_14[[#This Row],[Appeared]]&gt;Table1_14[[#This Row],[Registered]], "FLAG", "OK")</f>
        <v>OK</v>
      </c>
      <c r="P51" t="str">
        <f xml:space="preserve"> IF(OR(ISBLANK(Table1_14[[#This Row],[Registered]]), ISBLANK(Table1_14[[#This Row],[Appeared]]), Table1_14[[#This Row],[Registered]]=0, Table1_14[[#This Row],[Appeared]]=0), "FLAG", "OK")</f>
        <v>OK</v>
      </c>
    </row>
    <row r="52" spans="1:16" x14ac:dyDescent="0.3">
      <c r="A52">
        <v>12</v>
      </c>
      <c r="B52">
        <v>2022</v>
      </c>
      <c r="C52" t="s">
        <v>27</v>
      </c>
      <c r="D52" t="s">
        <v>6</v>
      </c>
      <c r="E52">
        <v>7775</v>
      </c>
      <c r="F52">
        <v>7743</v>
      </c>
      <c r="G52">
        <v>0.99588424437299039</v>
      </c>
      <c r="H52">
        <v>4.1157556270096096E-3</v>
      </c>
      <c r="J52" t="str">
        <f>IF(Table1_14[[#This Row],[Registered]] = 0, "ABSENT", "NON_ZERO")</f>
        <v>NON_ZERO</v>
      </c>
      <c r="K52" t="str">
        <f>IF(Table1_14[[#This Row],[Registered]] = 0, "ABSENT_BASE", IF(Table1_14[[#This Row],[Registered]]&lt;100, "SMALL_BASE", "VALID_BASE"))</f>
        <v>VALID_BASE</v>
      </c>
      <c r="L52" t="str">
        <f>IF(Table1_14[[#This Row],[Registered]]=0, "ABSENT", IF(Table1_14[[#This Row],[Appearance Rate]]&lt;0.98, "LOW_RATE", IF(AND(Table1_14[[#This Row],[Appearance Rate]]=1, Table1_14[[#This Row],[Registered]]&lt;100), "SUSPICIOUS_PERFECTION", "NORMAL")))</f>
        <v>NORMAL</v>
      </c>
      <c r="M52" s="7">
        <f>Table1_14[[#This Row],[Registered]]/SUM(Table1_14[Registered])</f>
        <v>5.4037448820802086E-3</v>
      </c>
      <c r="N52" t="str">
        <f xml:space="preserve"> IF(OR(Table1_14[[#This Row],[Appearance Rate]]&lt;0, Table1_14[[#This Row],[Appearance Rate]]&gt;1), "FLAG", "OK")</f>
        <v>OK</v>
      </c>
      <c r="O52" t="str">
        <f xml:space="preserve"> IF(Table1_14[[#This Row],[Appeared]]&gt;Table1_14[[#This Row],[Registered]], "FLAG", "OK")</f>
        <v>OK</v>
      </c>
      <c r="P52" t="str">
        <f xml:space="preserve"> IF(OR(ISBLANK(Table1_14[[#This Row],[Registered]]), ISBLANK(Table1_14[[#This Row],[Appeared]]), Table1_14[[#This Row],[Registered]]=0, Table1_14[[#This Row],[Appeared]]=0), "FLAG", "OK")</f>
        <v>OK</v>
      </c>
    </row>
    <row r="53" spans="1:16" x14ac:dyDescent="0.3">
      <c r="A53">
        <v>12</v>
      </c>
      <c r="B53">
        <v>2022</v>
      </c>
      <c r="C53" t="s">
        <v>27</v>
      </c>
      <c r="D53" t="s">
        <v>7</v>
      </c>
      <c r="E53">
        <v>40461</v>
      </c>
      <c r="F53">
        <v>40291</v>
      </c>
      <c r="G53">
        <v>0.99579842317293199</v>
      </c>
      <c r="H53">
        <v>4.2015768270680098E-3</v>
      </c>
      <c r="J53" t="str">
        <f>IF(Table1_14[[#This Row],[Registered]] = 0, "ABSENT", "NON_ZERO")</f>
        <v>NON_ZERO</v>
      </c>
      <c r="K53" t="str">
        <f>IF(Table1_14[[#This Row],[Registered]] = 0, "ABSENT_BASE", IF(Table1_14[[#This Row],[Registered]]&lt;100, "SMALL_BASE", "VALID_BASE"))</f>
        <v>VALID_BASE</v>
      </c>
      <c r="L53" t="str">
        <f>IF(Table1_14[[#This Row],[Registered]]=0, "ABSENT", IF(Table1_14[[#This Row],[Appearance Rate]]&lt;0.98, "LOW_RATE", IF(AND(Table1_14[[#This Row],[Appearance Rate]]=1, Table1_14[[#This Row],[Registered]]&lt;100), "SUSPICIOUS_PERFECTION", "NORMAL")))</f>
        <v>NORMAL</v>
      </c>
      <c r="M53" s="7">
        <f>Table1_14[[#This Row],[Registered]]/SUM(Table1_14[Registered])</f>
        <v>2.8121018864803515E-2</v>
      </c>
      <c r="N53" t="str">
        <f xml:space="preserve"> IF(OR(Table1_14[[#This Row],[Appearance Rate]]&lt;0, Table1_14[[#This Row],[Appearance Rate]]&gt;1), "FLAG", "OK")</f>
        <v>OK</v>
      </c>
      <c r="O53" t="str">
        <f xml:space="preserve"> IF(Table1_14[[#This Row],[Appeared]]&gt;Table1_14[[#This Row],[Registered]], "FLAG", "OK")</f>
        <v>OK</v>
      </c>
      <c r="P53" t="str">
        <f xml:space="preserve"> IF(OR(ISBLANK(Table1_14[[#This Row],[Registered]]), ISBLANK(Table1_14[[#This Row],[Appeared]]), Table1_14[[#This Row],[Registered]]=0, Table1_14[[#This Row],[Appeared]]=0), "FLAG", "OK")</f>
        <v>OK</v>
      </c>
    </row>
    <row r="54" spans="1:16" x14ac:dyDescent="0.3">
      <c r="A54">
        <v>12</v>
      </c>
      <c r="B54">
        <v>2022</v>
      </c>
      <c r="C54" t="s">
        <v>27</v>
      </c>
      <c r="D54" t="s">
        <v>8</v>
      </c>
      <c r="E54">
        <v>65</v>
      </c>
      <c r="F54">
        <v>65</v>
      </c>
      <c r="G54">
        <v>1</v>
      </c>
      <c r="H54">
        <v>0</v>
      </c>
      <c r="J54" t="str">
        <f>IF(Table1_14[[#This Row],[Registered]] = 0, "ABSENT", "NON_ZERO")</f>
        <v>NON_ZERO</v>
      </c>
      <c r="K54" t="str">
        <f>IF(Table1_14[[#This Row],[Registered]] = 0, "ABSENT_BASE", IF(Table1_14[[#This Row],[Registered]]&lt;100, "SMALL_BASE", "VALID_BASE"))</f>
        <v>SMALL_BASE</v>
      </c>
      <c r="L54" t="str">
        <f>IF(Table1_14[[#This Row],[Registered]]=0, "ABSENT", IF(Table1_14[[#This Row],[Appearance Rate]]&lt;0.98, "LOW_RATE", IF(AND(Table1_14[[#This Row],[Appearance Rate]]=1, Table1_14[[#This Row],[Registered]]&lt;100), "SUSPICIOUS_PERFECTION", "NORMAL")))</f>
        <v>SUSPICIOUS_PERFECTION</v>
      </c>
      <c r="M54" s="7">
        <f>Table1_14[[#This Row],[Registered]]/SUM(Table1_14[Registered])</f>
        <v>4.5176002229609464E-5</v>
      </c>
      <c r="N54" t="str">
        <f xml:space="preserve"> IF(OR(Table1_14[[#This Row],[Appearance Rate]]&lt;0, Table1_14[[#This Row],[Appearance Rate]]&gt;1), "FLAG", "OK")</f>
        <v>OK</v>
      </c>
      <c r="O54" t="str">
        <f xml:space="preserve"> IF(Table1_14[[#This Row],[Appeared]]&gt;Table1_14[[#This Row],[Registered]], "FLAG", "OK")</f>
        <v>OK</v>
      </c>
      <c r="P54" t="str">
        <f xml:space="preserve"> IF(OR(ISBLANK(Table1_14[[#This Row],[Registered]]), ISBLANK(Table1_14[[#This Row],[Appeared]]), Table1_14[[#This Row],[Registered]]=0, Table1_14[[#This Row],[Appeared]]=0), "FLAG", "OK")</f>
        <v>OK</v>
      </c>
    </row>
    <row r="55" spans="1:16" x14ac:dyDescent="0.3">
      <c r="A55">
        <v>12</v>
      </c>
      <c r="B55">
        <v>2022</v>
      </c>
      <c r="C55" t="s">
        <v>27</v>
      </c>
      <c r="D55" t="s">
        <v>9</v>
      </c>
      <c r="E55">
        <v>2872</v>
      </c>
      <c r="F55">
        <v>2872</v>
      </c>
      <c r="G55">
        <v>1</v>
      </c>
      <c r="H55">
        <v>0</v>
      </c>
      <c r="J55" t="str">
        <f>IF(Table1_14[[#This Row],[Registered]] = 0, "ABSENT", "NON_ZERO")</f>
        <v>NON_ZERO</v>
      </c>
      <c r="K55" t="str">
        <f>IF(Table1_14[[#This Row],[Registered]] = 0, "ABSENT_BASE", IF(Table1_14[[#This Row],[Registered]]&lt;100, "SMALL_BASE", "VALID_BASE"))</f>
        <v>VALID_BASE</v>
      </c>
      <c r="L55" t="str">
        <f>IF(Table1_14[[#This Row],[Registered]]=0, "ABSENT", IF(Table1_14[[#This Row],[Appearance Rate]]&lt;0.98, "LOW_RATE", IF(AND(Table1_14[[#This Row],[Appearance Rate]]=1, Table1_14[[#This Row],[Registered]]&lt;100), "SUSPICIOUS_PERFECTION", "NORMAL")))</f>
        <v>NORMAL</v>
      </c>
      <c r="M55" s="7">
        <f>Table1_14[[#This Row],[Registered]]/SUM(Table1_14[Registered])</f>
        <v>1.9960842831298212E-3</v>
      </c>
      <c r="N55" t="str">
        <f xml:space="preserve"> IF(OR(Table1_14[[#This Row],[Appearance Rate]]&lt;0, Table1_14[[#This Row],[Appearance Rate]]&gt;1), "FLAG", "OK")</f>
        <v>OK</v>
      </c>
      <c r="O55" t="str">
        <f xml:space="preserve"> IF(Table1_14[[#This Row],[Appeared]]&gt;Table1_14[[#This Row],[Registered]], "FLAG", "OK")</f>
        <v>OK</v>
      </c>
      <c r="P55" t="str">
        <f xml:space="preserve"> IF(OR(ISBLANK(Table1_14[[#This Row],[Registered]]), ISBLANK(Table1_14[[#This Row],[Appeared]]), Table1_14[[#This Row],[Registered]]=0, Table1_14[[#This Row],[Appeared]]=0), "FLAG", "OK")</f>
        <v>OK</v>
      </c>
    </row>
    <row r="56" spans="1:16" x14ac:dyDescent="0.3">
      <c r="A56">
        <v>12</v>
      </c>
      <c r="B56">
        <v>2022</v>
      </c>
      <c r="C56" t="s">
        <v>17</v>
      </c>
      <c r="D56" t="s">
        <v>4</v>
      </c>
      <c r="E56">
        <v>0</v>
      </c>
      <c r="F56">
        <v>0</v>
      </c>
      <c r="I56" t="s">
        <v>35</v>
      </c>
      <c r="J56" t="str">
        <f>IF(Table1_14[[#This Row],[Registered]] = 0, "ABSENT", "NON_ZERO")</f>
        <v>ABSENT</v>
      </c>
      <c r="K56" t="str">
        <f>IF(Table1_14[[#This Row],[Registered]] = 0, "ABSENT_BASE", IF(Table1_14[[#This Row],[Registered]]&lt;100, "SMALL_BASE", "VALID_BASE"))</f>
        <v>ABSENT_BASE</v>
      </c>
      <c r="L56" t="str">
        <f>IF(Table1_14[[#This Row],[Registered]]=0, "ABSENT", IF(Table1_14[[#This Row],[Appearance Rate]]&lt;0.98, "LOW_RATE", IF(AND(Table1_14[[#This Row],[Appearance Rate]]=1, Table1_14[[#This Row],[Registered]]&lt;100), "SUSPICIOUS_PERFECTION", "NORMAL")))</f>
        <v>ABSENT</v>
      </c>
      <c r="M56" s="7">
        <f>Table1_14[[#This Row],[Registered]]/SUM(Table1_14[Registered])</f>
        <v>0</v>
      </c>
      <c r="N56" t="str">
        <f xml:space="preserve"> IF(OR(Table1_14[[#This Row],[Appearance Rate]]&lt;0, Table1_14[[#This Row],[Appearance Rate]]&gt;1), "FLAG", "OK")</f>
        <v>OK</v>
      </c>
      <c r="O56" t="str">
        <f xml:space="preserve"> IF(Table1_14[[#This Row],[Appeared]]&gt;Table1_14[[#This Row],[Registered]], "FLAG", "OK")</f>
        <v>OK</v>
      </c>
      <c r="P56" t="str">
        <f xml:space="preserve"> IF(OR(ISBLANK(Table1_14[[#This Row],[Registered]]), ISBLANK(Table1_14[[#This Row],[Appeared]]), Table1_14[[#This Row],[Registered]]=0, Table1_14[[#This Row],[Appeared]]=0), "FLAG", "OK")</f>
        <v>FLAG</v>
      </c>
    </row>
    <row r="57" spans="1:16" x14ac:dyDescent="0.3">
      <c r="A57">
        <v>12</v>
      </c>
      <c r="B57">
        <v>2022</v>
      </c>
      <c r="C57" t="s">
        <v>17</v>
      </c>
      <c r="D57" t="s">
        <v>5</v>
      </c>
      <c r="E57">
        <v>20672</v>
      </c>
      <c r="F57">
        <v>20518</v>
      </c>
      <c r="G57">
        <v>0.99255030959752322</v>
      </c>
      <c r="H57">
        <v>7.4496904024767829E-3</v>
      </c>
      <c r="J57" t="str">
        <f>IF(Table1_14[[#This Row],[Registered]] = 0, "ABSENT", "NON_ZERO")</f>
        <v>NON_ZERO</v>
      </c>
      <c r="K57" t="str">
        <f>IF(Table1_14[[#This Row],[Registered]] = 0, "ABSENT_BASE", IF(Table1_14[[#This Row],[Registered]]&lt;100, "SMALL_BASE", "VALID_BASE"))</f>
        <v>VALID_BASE</v>
      </c>
      <c r="L57" t="str">
        <f>IF(Table1_14[[#This Row],[Registered]]=0, "ABSENT", IF(Table1_14[[#This Row],[Appearance Rate]]&lt;0.98, "LOW_RATE", IF(AND(Table1_14[[#This Row],[Appearance Rate]]=1, Table1_14[[#This Row],[Registered]]&lt;100), "SUSPICIOUS_PERFECTION", "NORMAL")))</f>
        <v>NORMAL</v>
      </c>
      <c r="M57" s="7">
        <f>Table1_14[[#This Row],[Registered]]/SUM(Table1_14[Registered])</f>
        <v>1.4367358739853644E-2</v>
      </c>
      <c r="N57" t="str">
        <f xml:space="preserve"> IF(OR(Table1_14[[#This Row],[Appearance Rate]]&lt;0, Table1_14[[#This Row],[Appearance Rate]]&gt;1), "FLAG", "OK")</f>
        <v>OK</v>
      </c>
      <c r="O57" t="str">
        <f xml:space="preserve"> IF(Table1_14[[#This Row],[Appeared]]&gt;Table1_14[[#This Row],[Registered]], "FLAG", "OK")</f>
        <v>OK</v>
      </c>
      <c r="P57" t="str">
        <f xml:space="preserve"> IF(OR(ISBLANK(Table1_14[[#This Row],[Registered]]), ISBLANK(Table1_14[[#This Row],[Appeared]]), Table1_14[[#This Row],[Registered]]=0, Table1_14[[#This Row],[Appeared]]=0), "FLAG", "OK")</f>
        <v>OK</v>
      </c>
    </row>
    <row r="58" spans="1:16" x14ac:dyDescent="0.3">
      <c r="A58">
        <v>12</v>
      </c>
      <c r="B58">
        <v>2022</v>
      </c>
      <c r="C58" t="s">
        <v>17</v>
      </c>
      <c r="D58" t="s">
        <v>6</v>
      </c>
      <c r="E58">
        <v>102</v>
      </c>
      <c r="F58">
        <v>101</v>
      </c>
      <c r="G58">
        <v>0.99019607843137258</v>
      </c>
      <c r="H58">
        <v>9.8039215686274161E-3</v>
      </c>
      <c r="J58" t="str">
        <f>IF(Table1_14[[#This Row],[Registered]] = 0, "ABSENT", "NON_ZERO")</f>
        <v>NON_ZERO</v>
      </c>
      <c r="K58" t="str">
        <f>IF(Table1_14[[#This Row],[Registered]] = 0, "ABSENT_BASE", IF(Table1_14[[#This Row],[Registered]]&lt;100, "SMALL_BASE", "VALID_BASE"))</f>
        <v>VALID_BASE</v>
      </c>
      <c r="L58" t="str">
        <f>IF(Table1_14[[#This Row],[Registered]]=0, "ABSENT", IF(Table1_14[[#This Row],[Appearance Rate]]&lt;0.98, "LOW_RATE", IF(AND(Table1_14[[#This Row],[Appearance Rate]]=1, Table1_14[[#This Row],[Registered]]&lt;100), "SUSPICIOUS_PERFECTION", "NORMAL")))</f>
        <v>NORMAL</v>
      </c>
      <c r="M58" s="7">
        <f>Table1_14[[#This Row],[Registered]]/SUM(Table1_14[Registered])</f>
        <v>7.0891572729541008E-5</v>
      </c>
      <c r="N58" t="str">
        <f xml:space="preserve"> IF(OR(Table1_14[[#This Row],[Appearance Rate]]&lt;0, Table1_14[[#This Row],[Appearance Rate]]&gt;1), "FLAG", "OK")</f>
        <v>OK</v>
      </c>
      <c r="O58" t="str">
        <f xml:space="preserve"> IF(Table1_14[[#This Row],[Appeared]]&gt;Table1_14[[#This Row],[Registered]], "FLAG", "OK")</f>
        <v>OK</v>
      </c>
      <c r="P58" t="str">
        <f xml:space="preserve"> IF(OR(ISBLANK(Table1_14[[#This Row],[Registered]]), ISBLANK(Table1_14[[#This Row],[Appeared]]), Table1_14[[#This Row],[Registered]]=0, Table1_14[[#This Row],[Appeared]]=0), "FLAG", "OK")</f>
        <v>OK</v>
      </c>
    </row>
    <row r="59" spans="1:16" x14ac:dyDescent="0.3">
      <c r="A59">
        <v>12</v>
      </c>
      <c r="B59">
        <v>2022</v>
      </c>
      <c r="C59" t="s">
        <v>17</v>
      </c>
      <c r="D59" t="s">
        <v>7</v>
      </c>
      <c r="E59">
        <v>20768</v>
      </c>
      <c r="F59">
        <v>20601</v>
      </c>
      <c r="G59">
        <v>0.99195878274268101</v>
      </c>
      <c r="H59">
        <v>8.0412172573189888E-3</v>
      </c>
      <c r="J59" t="str">
        <f>IF(Table1_14[[#This Row],[Registered]] = 0, "ABSENT", "NON_ZERO")</f>
        <v>NON_ZERO</v>
      </c>
      <c r="K59" t="str">
        <f>IF(Table1_14[[#This Row],[Registered]] = 0, "ABSENT_BASE", IF(Table1_14[[#This Row],[Registered]]&lt;100, "SMALL_BASE", "VALID_BASE"))</f>
        <v>VALID_BASE</v>
      </c>
      <c r="L59" t="str">
        <f>IF(Table1_14[[#This Row],[Registered]]=0, "ABSENT", IF(Table1_14[[#This Row],[Appearance Rate]]&lt;0.98, "LOW_RATE", IF(AND(Table1_14[[#This Row],[Appearance Rate]]=1, Table1_14[[#This Row],[Registered]]&lt;100), "SUSPICIOUS_PERFECTION", "NORMAL")))</f>
        <v>NORMAL</v>
      </c>
      <c r="M59" s="7">
        <f>Table1_14[[#This Row],[Registered]]/SUM(Table1_14[Registered])</f>
        <v>1.4434080220069681E-2</v>
      </c>
      <c r="N59" t="str">
        <f xml:space="preserve"> IF(OR(Table1_14[[#This Row],[Appearance Rate]]&lt;0, Table1_14[[#This Row],[Appearance Rate]]&gt;1), "FLAG", "OK")</f>
        <v>OK</v>
      </c>
      <c r="O59" t="str">
        <f xml:space="preserve"> IF(Table1_14[[#This Row],[Appeared]]&gt;Table1_14[[#This Row],[Registered]], "FLAG", "OK")</f>
        <v>OK</v>
      </c>
      <c r="P59" t="str">
        <f xml:space="preserve"> IF(OR(ISBLANK(Table1_14[[#This Row],[Registered]]), ISBLANK(Table1_14[[#This Row],[Appeared]]), Table1_14[[#This Row],[Registered]]=0, Table1_14[[#This Row],[Appeared]]=0), "FLAG", "OK")</f>
        <v>OK</v>
      </c>
    </row>
    <row r="60" spans="1:16" x14ac:dyDescent="0.3">
      <c r="A60">
        <v>12</v>
      </c>
      <c r="B60">
        <v>2022</v>
      </c>
      <c r="C60" t="s">
        <v>17</v>
      </c>
      <c r="D60" t="s">
        <v>8</v>
      </c>
      <c r="E60">
        <v>4536</v>
      </c>
      <c r="F60">
        <v>4481</v>
      </c>
      <c r="G60">
        <v>0.9878747795414462</v>
      </c>
      <c r="H60">
        <v>1.2125220458553798E-2</v>
      </c>
      <c r="J60" t="str">
        <f>IF(Table1_14[[#This Row],[Registered]] = 0, "ABSENT", "NON_ZERO")</f>
        <v>NON_ZERO</v>
      </c>
      <c r="K60" t="str">
        <f>IF(Table1_14[[#This Row],[Registered]] = 0, "ABSENT_BASE", IF(Table1_14[[#This Row],[Registered]]&lt;100, "SMALL_BASE", "VALID_BASE"))</f>
        <v>VALID_BASE</v>
      </c>
      <c r="L60" t="str">
        <f>IF(Table1_14[[#This Row],[Registered]]=0, "ABSENT", IF(Table1_14[[#This Row],[Appearance Rate]]&lt;0.98, "LOW_RATE", IF(AND(Table1_14[[#This Row],[Appearance Rate]]=1, Table1_14[[#This Row],[Registered]]&lt;100), "SUSPICIOUS_PERFECTION", "NORMAL")))</f>
        <v>NORMAL</v>
      </c>
      <c r="M60" s="7">
        <f>Table1_14[[#This Row],[Registered]]/SUM(Table1_14[Registered])</f>
        <v>3.1525899402078234E-3</v>
      </c>
      <c r="N60" t="str">
        <f xml:space="preserve"> IF(OR(Table1_14[[#This Row],[Appearance Rate]]&lt;0, Table1_14[[#This Row],[Appearance Rate]]&gt;1), "FLAG", "OK")</f>
        <v>OK</v>
      </c>
      <c r="O60" t="str">
        <f xml:space="preserve"> IF(Table1_14[[#This Row],[Appeared]]&gt;Table1_14[[#This Row],[Registered]], "FLAG", "OK")</f>
        <v>OK</v>
      </c>
      <c r="P60" t="str">
        <f xml:space="preserve"> IF(OR(ISBLANK(Table1_14[[#This Row],[Registered]]), ISBLANK(Table1_14[[#This Row],[Appeared]]), Table1_14[[#This Row],[Registered]]=0, Table1_14[[#This Row],[Appeared]]=0), "FLAG", "OK")</f>
        <v>OK</v>
      </c>
    </row>
    <row r="61" spans="1:16" x14ac:dyDescent="0.3">
      <c r="A61">
        <v>12</v>
      </c>
      <c r="B61">
        <v>2022</v>
      </c>
      <c r="C61" t="s">
        <v>17</v>
      </c>
      <c r="D61" t="s">
        <v>9</v>
      </c>
      <c r="E61">
        <v>6071</v>
      </c>
      <c r="F61">
        <v>6047</v>
      </c>
      <c r="G61">
        <v>0.99604677977268985</v>
      </c>
      <c r="H61">
        <v>3.9532202273101502E-3</v>
      </c>
      <c r="J61" t="str">
        <f>IF(Table1_14[[#This Row],[Registered]] = 0, "ABSENT", "NON_ZERO")</f>
        <v>NON_ZERO</v>
      </c>
      <c r="K61" t="str">
        <f>IF(Table1_14[[#This Row],[Registered]] = 0, "ABSENT_BASE", IF(Table1_14[[#This Row],[Registered]]&lt;100, "SMALL_BASE", "VALID_BASE"))</f>
        <v>VALID_BASE</v>
      </c>
      <c r="L61" t="str">
        <f>IF(Table1_14[[#This Row],[Registered]]=0, "ABSENT", IF(Table1_14[[#This Row],[Appearance Rate]]&lt;0.98, "LOW_RATE", IF(AND(Table1_14[[#This Row],[Appearance Rate]]=1, Table1_14[[#This Row],[Registered]]&lt;100), "SUSPICIOUS_PERFECTION", "NORMAL")))</f>
        <v>NORMAL</v>
      </c>
      <c r="M61" s="7">
        <f>Table1_14[[#This Row],[Registered]]/SUM(Table1_14[Registered])</f>
        <v>4.2194386082455241E-3</v>
      </c>
      <c r="N61" t="str">
        <f xml:space="preserve"> IF(OR(Table1_14[[#This Row],[Appearance Rate]]&lt;0, Table1_14[[#This Row],[Appearance Rate]]&gt;1), "FLAG", "OK")</f>
        <v>OK</v>
      </c>
      <c r="O61" t="str">
        <f xml:space="preserve"> IF(Table1_14[[#This Row],[Appeared]]&gt;Table1_14[[#This Row],[Registered]], "FLAG", "OK")</f>
        <v>OK</v>
      </c>
      <c r="P61" t="str">
        <f xml:space="preserve"> IF(OR(ISBLANK(Table1_14[[#This Row],[Registered]]), ISBLANK(Table1_14[[#This Row],[Appeared]]), Table1_14[[#This Row],[Registered]]=0, Table1_14[[#This Row],[Appeared]]=0), "FLAG", "OK")</f>
        <v>OK</v>
      </c>
    </row>
    <row r="62" spans="1:16" x14ac:dyDescent="0.3">
      <c r="A62">
        <v>12</v>
      </c>
      <c r="B62">
        <v>2022</v>
      </c>
      <c r="C62" t="s">
        <v>22</v>
      </c>
      <c r="D62" t="s">
        <v>4</v>
      </c>
      <c r="E62">
        <v>0</v>
      </c>
      <c r="F62">
        <v>0</v>
      </c>
      <c r="I62" t="s">
        <v>35</v>
      </c>
      <c r="J62" t="str">
        <f>IF(Table1_14[[#This Row],[Registered]] = 0, "ABSENT", "NON_ZERO")</f>
        <v>ABSENT</v>
      </c>
      <c r="K62" t="str">
        <f>IF(Table1_14[[#This Row],[Registered]] = 0, "ABSENT_BASE", IF(Table1_14[[#This Row],[Registered]]&lt;100, "SMALL_BASE", "VALID_BASE"))</f>
        <v>ABSENT_BASE</v>
      </c>
      <c r="L62" t="str">
        <f>IF(Table1_14[[#This Row],[Registered]]=0, "ABSENT", IF(Table1_14[[#This Row],[Appearance Rate]]&lt;0.98, "LOW_RATE", IF(AND(Table1_14[[#This Row],[Appearance Rate]]=1, Table1_14[[#This Row],[Registered]]&lt;100), "SUSPICIOUS_PERFECTION", "NORMAL")))</f>
        <v>ABSENT</v>
      </c>
      <c r="M62" s="7">
        <f>Table1_14[[#This Row],[Registered]]/SUM(Table1_14[Registered])</f>
        <v>0</v>
      </c>
      <c r="N62" t="str">
        <f xml:space="preserve"> IF(OR(Table1_14[[#This Row],[Appearance Rate]]&lt;0, Table1_14[[#This Row],[Appearance Rate]]&gt;1), "FLAG", "OK")</f>
        <v>OK</v>
      </c>
      <c r="O62" t="str">
        <f xml:space="preserve"> IF(Table1_14[[#This Row],[Appeared]]&gt;Table1_14[[#This Row],[Registered]], "FLAG", "OK")</f>
        <v>OK</v>
      </c>
      <c r="P62" t="str">
        <f xml:space="preserve"> IF(OR(ISBLANK(Table1_14[[#This Row],[Registered]]), ISBLANK(Table1_14[[#This Row],[Appeared]]), Table1_14[[#This Row],[Registered]]=0, Table1_14[[#This Row],[Appeared]]=0), "FLAG", "OK")</f>
        <v>FLAG</v>
      </c>
    </row>
    <row r="63" spans="1:16" x14ac:dyDescent="0.3">
      <c r="A63">
        <v>12</v>
      </c>
      <c r="B63">
        <v>2022</v>
      </c>
      <c r="C63" t="s">
        <v>22</v>
      </c>
      <c r="D63" t="s">
        <v>5</v>
      </c>
      <c r="E63">
        <v>278</v>
      </c>
      <c r="F63">
        <v>272</v>
      </c>
      <c r="G63">
        <v>0.97841726618705038</v>
      </c>
      <c r="H63">
        <v>2.1582733812949617E-2</v>
      </c>
      <c r="J63" t="str">
        <f>IF(Table1_14[[#This Row],[Registered]] = 0, "ABSENT", "NON_ZERO")</f>
        <v>NON_ZERO</v>
      </c>
      <c r="K63" t="str">
        <f>IF(Table1_14[[#This Row],[Registered]] = 0, "ABSENT_BASE", IF(Table1_14[[#This Row],[Registered]]&lt;100, "SMALL_BASE", "VALID_BASE"))</f>
        <v>VALID_BASE</v>
      </c>
      <c r="L63" t="str">
        <f>IF(Table1_14[[#This Row],[Registered]]=0, "ABSENT", IF(Table1_14[[#This Row],[Appearance Rate]]&lt;0.98, "LOW_RATE", IF(AND(Table1_14[[#This Row],[Appearance Rate]]=1, Table1_14[[#This Row],[Registered]]&lt;100), "SUSPICIOUS_PERFECTION", "NORMAL")))</f>
        <v>LOW_RATE</v>
      </c>
      <c r="M63" s="7">
        <f>Table1_14[[#This Row],[Registered]]/SUM(Table1_14[Registered])</f>
        <v>1.9321428645894509E-4</v>
      </c>
      <c r="N63" t="str">
        <f xml:space="preserve"> IF(OR(Table1_14[[#This Row],[Appearance Rate]]&lt;0, Table1_14[[#This Row],[Appearance Rate]]&gt;1), "FLAG", "OK")</f>
        <v>OK</v>
      </c>
      <c r="O63" t="str">
        <f xml:space="preserve"> IF(Table1_14[[#This Row],[Appeared]]&gt;Table1_14[[#This Row],[Registered]], "FLAG", "OK")</f>
        <v>OK</v>
      </c>
      <c r="P63" t="str">
        <f xml:space="preserve"> IF(OR(ISBLANK(Table1_14[[#This Row],[Registered]]), ISBLANK(Table1_14[[#This Row],[Appeared]]), Table1_14[[#This Row],[Registered]]=0, Table1_14[[#This Row],[Appeared]]=0), "FLAG", "OK")</f>
        <v>OK</v>
      </c>
    </row>
    <row r="64" spans="1:16" x14ac:dyDescent="0.3">
      <c r="A64">
        <v>12</v>
      </c>
      <c r="B64">
        <v>2022</v>
      </c>
      <c r="C64" t="s">
        <v>22</v>
      </c>
      <c r="D64" t="s">
        <v>6</v>
      </c>
      <c r="E64">
        <v>921</v>
      </c>
      <c r="F64">
        <v>920</v>
      </c>
      <c r="G64">
        <v>0.998914223669924</v>
      </c>
      <c r="H64">
        <v>1.0857763300760048E-3</v>
      </c>
      <c r="J64" t="str">
        <f>IF(Table1_14[[#This Row],[Registered]] = 0, "ABSENT", "NON_ZERO")</f>
        <v>NON_ZERO</v>
      </c>
      <c r="K64" t="str">
        <f>IF(Table1_14[[#This Row],[Registered]] = 0, "ABSENT_BASE", IF(Table1_14[[#This Row],[Registered]]&lt;100, "SMALL_BASE", "VALID_BASE"))</f>
        <v>VALID_BASE</v>
      </c>
      <c r="L64" t="str">
        <f>IF(Table1_14[[#This Row],[Registered]]=0, "ABSENT", IF(Table1_14[[#This Row],[Appearance Rate]]&lt;0.98, "LOW_RATE", IF(AND(Table1_14[[#This Row],[Appearance Rate]]=1, Table1_14[[#This Row],[Registered]]&lt;100), "SUSPICIOUS_PERFECTION", "NORMAL")))</f>
        <v>NORMAL</v>
      </c>
      <c r="M64" s="7">
        <f>Table1_14[[#This Row],[Registered]]/SUM(Table1_14[Registered])</f>
        <v>6.4010920082262029E-4</v>
      </c>
      <c r="N64" t="str">
        <f xml:space="preserve"> IF(OR(Table1_14[[#This Row],[Appearance Rate]]&lt;0, Table1_14[[#This Row],[Appearance Rate]]&gt;1), "FLAG", "OK")</f>
        <v>OK</v>
      </c>
      <c r="O64" t="str">
        <f xml:space="preserve"> IF(Table1_14[[#This Row],[Appeared]]&gt;Table1_14[[#This Row],[Registered]], "FLAG", "OK")</f>
        <v>OK</v>
      </c>
      <c r="P64" t="str">
        <f xml:space="preserve"> IF(OR(ISBLANK(Table1_14[[#This Row],[Registered]]), ISBLANK(Table1_14[[#This Row],[Appeared]]), Table1_14[[#This Row],[Registered]]=0, Table1_14[[#This Row],[Appeared]]=0), "FLAG", "OK")</f>
        <v>OK</v>
      </c>
    </row>
    <row r="65" spans="1:16" x14ac:dyDescent="0.3">
      <c r="A65">
        <v>12</v>
      </c>
      <c r="B65">
        <v>2022</v>
      </c>
      <c r="C65" t="s">
        <v>22</v>
      </c>
      <c r="D65" t="s">
        <v>7</v>
      </c>
      <c r="E65">
        <v>100688</v>
      </c>
      <c r="F65">
        <v>99746</v>
      </c>
      <c r="G65">
        <v>0.99064436675671386</v>
      </c>
      <c r="H65">
        <v>9.3556332432861433E-3</v>
      </c>
      <c r="J65" t="str">
        <f>IF(Table1_14[[#This Row],[Registered]] = 0, "ABSENT", "NON_ZERO")</f>
        <v>NON_ZERO</v>
      </c>
      <c r="K65" t="str">
        <f>IF(Table1_14[[#This Row],[Registered]] = 0, "ABSENT_BASE", IF(Table1_14[[#This Row],[Registered]]&lt;100, "SMALL_BASE", "VALID_BASE"))</f>
        <v>VALID_BASE</v>
      </c>
      <c r="L65" t="str">
        <f>IF(Table1_14[[#This Row],[Registered]]=0, "ABSENT", IF(Table1_14[[#This Row],[Appearance Rate]]&lt;0.98, "LOW_RATE", IF(AND(Table1_14[[#This Row],[Appearance Rate]]=1, Table1_14[[#This Row],[Registered]]&lt;100), "SUSPICIOUS_PERFECTION", "NORMAL")))</f>
        <v>NORMAL</v>
      </c>
      <c r="M65" s="7">
        <f>Table1_14[[#This Row],[Registered]]/SUM(Table1_14[Registered])</f>
        <v>6.9979712499921812E-2</v>
      </c>
      <c r="N65" t="str">
        <f xml:space="preserve"> IF(OR(Table1_14[[#This Row],[Appearance Rate]]&lt;0, Table1_14[[#This Row],[Appearance Rate]]&gt;1), "FLAG", "OK")</f>
        <v>OK</v>
      </c>
      <c r="O65" t="str">
        <f xml:space="preserve"> IF(Table1_14[[#This Row],[Appeared]]&gt;Table1_14[[#This Row],[Registered]], "FLAG", "OK")</f>
        <v>OK</v>
      </c>
      <c r="P65" t="str">
        <f xml:space="preserve"> IF(OR(ISBLANK(Table1_14[[#This Row],[Registered]]), ISBLANK(Table1_14[[#This Row],[Appeared]]), Table1_14[[#This Row],[Registered]]=0, Table1_14[[#This Row],[Appeared]]=0), "FLAG", "OK")</f>
        <v>OK</v>
      </c>
    </row>
    <row r="66" spans="1:16" x14ac:dyDescent="0.3">
      <c r="A66">
        <v>12</v>
      </c>
      <c r="B66">
        <v>2022</v>
      </c>
      <c r="C66" t="s">
        <v>22</v>
      </c>
      <c r="D66" t="s">
        <v>8</v>
      </c>
      <c r="E66">
        <v>1069</v>
      </c>
      <c r="F66">
        <v>1060</v>
      </c>
      <c r="G66">
        <v>0.99158091674462112</v>
      </c>
      <c r="H66">
        <v>8.4190832553788786E-3</v>
      </c>
      <c r="J66" t="str">
        <f>IF(Table1_14[[#This Row],[Registered]] = 0, "ABSENT", "NON_ZERO")</f>
        <v>NON_ZERO</v>
      </c>
      <c r="K66" t="str">
        <f>IF(Table1_14[[#This Row],[Registered]] = 0, "ABSENT_BASE", IF(Table1_14[[#This Row],[Registered]]&lt;100, "SMALL_BASE", "VALID_BASE"))</f>
        <v>VALID_BASE</v>
      </c>
      <c r="L66" t="str">
        <f>IF(Table1_14[[#This Row],[Registered]]=0, "ABSENT", IF(Table1_14[[#This Row],[Appearance Rate]]&lt;0.98, "LOW_RATE", IF(AND(Table1_14[[#This Row],[Appearance Rate]]=1, Table1_14[[#This Row],[Registered]]&lt;100), "SUSPICIOUS_PERFECTION", "NORMAL")))</f>
        <v>NORMAL</v>
      </c>
      <c r="M66" s="7">
        <f>Table1_14[[#This Row],[Registered]]/SUM(Table1_14[Registered])</f>
        <v>7.4297148282234638E-4</v>
      </c>
      <c r="N66" t="str">
        <f xml:space="preserve"> IF(OR(Table1_14[[#This Row],[Appearance Rate]]&lt;0, Table1_14[[#This Row],[Appearance Rate]]&gt;1), "FLAG", "OK")</f>
        <v>OK</v>
      </c>
      <c r="O66" t="str">
        <f xml:space="preserve"> IF(Table1_14[[#This Row],[Appeared]]&gt;Table1_14[[#This Row],[Registered]], "FLAG", "OK")</f>
        <v>OK</v>
      </c>
      <c r="P66" t="str">
        <f xml:space="preserve"> IF(OR(ISBLANK(Table1_14[[#This Row],[Registered]]), ISBLANK(Table1_14[[#This Row],[Appeared]]), Table1_14[[#This Row],[Registered]]=0, Table1_14[[#This Row],[Appeared]]=0), "FLAG", "OK")</f>
        <v>OK</v>
      </c>
    </row>
    <row r="67" spans="1:16" x14ac:dyDescent="0.3">
      <c r="A67">
        <v>12</v>
      </c>
      <c r="B67">
        <v>2022</v>
      </c>
      <c r="C67" t="s">
        <v>22</v>
      </c>
      <c r="D67" t="s">
        <v>9</v>
      </c>
      <c r="E67">
        <v>4480</v>
      </c>
      <c r="F67">
        <v>4471</v>
      </c>
      <c r="G67">
        <v>0.99799107142857146</v>
      </c>
      <c r="H67">
        <v>2.0089285714285365E-3</v>
      </c>
      <c r="J67" t="str">
        <f>IF(Table1_14[[#This Row],[Registered]] = 0, "ABSENT", "NON_ZERO")</f>
        <v>NON_ZERO</v>
      </c>
      <c r="K67" t="str">
        <f>IF(Table1_14[[#This Row],[Registered]] = 0, "ABSENT_BASE", IF(Table1_14[[#This Row],[Registered]]&lt;100, "SMALL_BASE", "VALID_BASE"))</f>
        <v>VALID_BASE</v>
      </c>
      <c r="L67" t="str">
        <f>IF(Table1_14[[#This Row],[Registered]]=0, "ABSENT", IF(Table1_14[[#This Row],[Appearance Rate]]&lt;0.98, "LOW_RATE", IF(AND(Table1_14[[#This Row],[Appearance Rate]]=1, Table1_14[[#This Row],[Registered]]&lt;100), "SUSPICIOUS_PERFECTION", "NORMAL")))</f>
        <v>NORMAL</v>
      </c>
      <c r="M67" s="7">
        <f>Table1_14[[#This Row],[Registered]]/SUM(Table1_14[Registered])</f>
        <v>3.1136690767484677E-3</v>
      </c>
      <c r="N67" t="str">
        <f xml:space="preserve"> IF(OR(Table1_14[[#This Row],[Appearance Rate]]&lt;0, Table1_14[[#This Row],[Appearance Rate]]&gt;1), "FLAG", "OK")</f>
        <v>OK</v>
      </c>
      <c r="O67" t="str">
        <f xml:space="preserve"> IF(Table1_14[[#This Row],[Appeared]]&gt;Table1_14[[#This Row],[Registered]], "FLAG", "OK")</f>
        <v>OK</v>
      </c>
      <c r="P67" t="str">
        <f xml:space="preserve"> IF(OR(ISBLANK(Table1_14[[#This Row],[Registered]]), ISBLANK(Table1_14[[#This Row],[Appeared]]), Table1_14[[#This Row],[Registered]]=0, Table1_14[[#This Row],[Appeared]]=0), "FLAG", "OK")</f>
        <v>OK</v>
      </c>
    </row>
    <row r="68" spans="1:16" x14ac:dyDescent="0.3">
      <c r="A68">
        <v>12</v>
      </c>
      <c r="B68">
        <v>2022</v>
      </c>
      <c r="C68" t="s">
        <v>18</v>
      </c>
      <c r="D68" t="s">
        <v>4</v>
      </c>
      <c r="E68">
        <v>38</v>
      </c>
      <c r="F68">
        <v>38</v>
      </c>
      <c r="G68">
        <v>1</v>
      </c>
      <c r="H68">
        <v>0</v>
      </c>
      <c r="J68" t="str">
        <f>IF(Table1_14[[#This Row],[Registered]] = 0, "ABSENT", "NON_ZERO")</f>
        <v>NON_ZERO</v>
      </c>
      <c r="K68" t="str">
        <f>IF(Table1_14[[#This Row],[Registered]] = 0, "ABSENT_BASE", IF(Table1_14[[#This Row],[Registered]]&lt;100, "SMALL_BASE", "VALID_BASE"))</f>
        <v>SMALL_BASE</v>
      </c>
      <c r="L68" t="str">
        <f>IF(Table1_14[[#This Row],[Registered]]=0, "ABSENT", IF(Table1_14[[#This Row],[Appearance Rate]]&lt;0.98, "LOW_RATE", IF(AND(Table1_14[[#This Row],[Appearance Rate]]=1, Table1_14[[#This Row],[Registered]]&lt;100), "SUSPICIOUS_PERFECTION", "NORMAL")))</f>
        <v>SUSPICIOUS_PERFECTION</v>
      </c>
      <c r="M68" s="7">
        <f>Table1_14[[#This Row],[Registered]]/SUM(Table1_14[Registered])</f>
        <v>2.6410585918848608E-5</v>
      </c>
      <c r="N68" t="str">
        <f xml:space="preserve"> IF(OR(Table1_14[[#This Row],[Appearance Rate]]&lt;0, Table1_14[[#This Row],[Appearance Rate]]&gt;1), "FLAG", "OK")</f>
        <v>OK</v>
      </c>
      <c r="O68" t="str">
        <f xml:space="preserve"> IF(Table1_14[[#This Row],[Appeared]]&gt;Table1_14[[#This Row],[Registered]], "FLAG", "OK")</f>
        <v>OK</v>
      </c>
      <c r="P68" t="str">
        <f xml:space="preserve"> IF(OR(ISBLANK(Table1_14[[#This Row],[Registered]]), ISBLANK(Table1_14[[#This Row],[Appeared]]), Table1_14[[#This Row],[Registered]]=0, Table1_14[[#This Row],[Appeared]]=0), "FLAG", "OK")</f>
        <v>OK</v>
      </c>
    </row>
    <row r="69" spans="1:16" x14ac:dyDescent="0.3">
      <c r="A69">
        <v>12</v>
      </c>
      <c r="B69">
        <v>2022</v>
      </c>
      <c r="C69" t="s">
        <v>18</v>
      </c>
      <c r="D69" t="s">
        <v>5</v>
      </c>
      <c r="E69">
        <v>357</v>
      </c>
      <c r="F69">
        <v>357</v>
      </c>
      <c r="G69">
        <v>1</v>
      </c>
      <c r="H69">
        <v>0</v>
      </c>
      <c r="J69" t="str">
        <f>IF(Table1_14[[#This Row],[Registered]] = 0, "ABSENT", "NON_ZERO")</f>
        <v>NON_ZERO</v>
      </c>
      <c r="K69" t="str">
        <f>IF(Table1_14[[#This Row],[Registered]] = 0, "ABSENT_BASE", IF(Table1_14[[#This Row],[Registered]]&lt;100, "SMALL_BASE", "VALID_BASE"))</f>
        <v>VALID_BASE</v>
      </c>
      <c r="L69" t="str">
        <f>IF(Table1_14[[#This Row],[Registered]]=0, "ABSENT", IF(Table1_14[[#This Row],[Appearance Rate]]&lt;0.98, "LOW_RATE", IF(AND(Table1_14[[#This Row],[Appearance Rate]]=1, Table1_14[[#This Row],[Registered]]&lt;100), "SUSPICIOUS_PERFECTION", "NORMAL")))</f>
        <v>NORMAL</v>
      </c>
      <c r="M69" s="7">
        <f>Table1_14[[#This Row],[Registered]]/SUM(Table1_14[Registered])</f>
        <v>2.4812050455339353E-4</v>
      </c>
      <c r="N69" t="str">
        <f xml:space="preserve"> IF(OR(Table1_14[[#This Row],[Appearance Rate]]&lt;0, Table1_14[[#This Row],[Appearance Rate]]&gt;1), "FLAG", "OK")</f>
        <v>OK</v>
      </c>
      <c r="O69" t="str">
        <f xml:space="preserve"> IF(Table1_14[[#This Row],[Appeared]]&gt;Table1_14[[#This Row],[Registered]], "FLAG", "OK")</f>
        <v>OK</v>
      </c>
      <c r="P69" t="str">
        <f xml:space="preserve"> IF(OR(ISBLANK(Table1_14[[#This Row],[Registered]]), ISBLANK(Table1_14[[#This Row],[Appeared]]), Table1_14[[#This Row],[Registered]]=0, Table1_14[[#This Row],[Appeared]]=0), "FLAG", "OK")</f>
        <v>OK</v>
      </c>
    </row>
    <row r="70" spans="1:16" x14ac:dyDescent="0.3">
      <c r="A70">
        <v>12</v>
      </c>
      <c r="B70">
        <v>2022</v>
      </c>
      <c r="C70" t="s">
        <v>18</v>
      </c>
      <c r="D70" t="s">
        <v>6</v>
      </c>
      <c r="E70">
        <v>0</v>
      </c>
      <c r="F70">
        <v>0</v>
      </c>
      <c r="I70" t="s">
        <v>35</v>
      </c>
      <c r="J70" t="str">
        <f>IF(Table1_14[[#This Row],[Registered]] = 0, "ABSENT", "NON_ZERO")</f>
        <v>ABSENT</v>
      </c>
      <c r="K70" t="str">
        <f>IF(Table1_14[[#This Row],[Registered]] = 0, "ABSENT_BASE", IF(Table1_14[[#This Row],[Registered]]&lt;100, "SMALL_BASE", "VALID_BASE"))</f>
        <v>ABSENT_BASE</v>
      </c>
      <c r="L70" t="str">
        <f>IF(Table1_14[[#This Row],[Registered]]=0, "ABSENT", IF(Table1_14[[#This Row],[Appearance Rate]]&lt;0.98, "LOW_RATE", IF(AND(Table1_14[[#This Row],[Appearance Rate]]=1, Table1_14[[#This Row],[Registered]]&lt;100), "SUSPICIOUS_PERFECTION", "NORMAL")))</f>
        <v>ABSENT</v>
      </c>
      <c r="M70" s="7">
        <f>Table1_14[[#This Row],[Registered]]/SUM(Table1_14[Registered])</f>
        <v>0</v>
      </c>
      <c r="N70" t="str">
        <f xml:space="preserve"> IF(OR(Table1_14[[#This Row],[Appearance Rate]]&lt;0, Table1_14[[#This Row],[Appearance Rate]]&gt;1), "FLAG", "OK")</f>
        <v>OK</v>
      </c>
      <c r="O70" t="str">
        <f xml:space="preserve"> IF(Table1_14[[#This Row],[Appeared]]&gt;Table1_14[[#This Row],[Registered]], "FLAG", "OK")</f>
        <v>OK</v>
      </c>
      <c r="P70" t="str">
        <f xml:space="preserve"> IF(OR(ISBLANK(Table1_14[[#This Row],[Registered]]), ISBLANK(Table1_14[[#This Row],[Appeared]]), Table1_14[[#This Row],[Registered]]=0, Table1_14[[#This Row],[Appeared]]=0), "FLAG", "OK")</f>
        <v>FLAG</v>
      </c>
    </row>
    <row r="71" spans="1:16" x14ac:dyDescent="0.3">
      <c r="A71">
        <v>12</v>
      </c>
      <c r="B71">
        <v>2022</v>
      </c>
      <c r="C71" t="s">
        <v>18</v>
      </c>
      <c r="D71" t="s">
        <v>7</v>
      </c>
      <c r="E71">
        <v>118675</v>
      </c>
      <c r="F71">
        <v>118046</v>
      </c>
      <c r="G71">
        <v>0.99469981040657263</v>
      </c>
      <c r="H71">
        <v>5.3001895934273735E-3</v>
      </c>
      <c r="J71" t="str">
        <f>IF(Table1_14[[#This Row],[Registered]] = 0, "ABSENT", "NON_ZERO")</f>
        <v>NON_ZERO</v>
      </c>
      <c r="K71" t="str">
        <f>IF(Table1_14[[#This Row],[Registered]] = 0, "ABSENT_BASE", IF(Table1_14[[#This Row],[Registered]]&lt;100, "SMALL_BASE", "VALID_BASE"))</f>
        <v>VALID_BASE</v>
      </c>
      <c r="L71" t="str">
        <f>IF(Table1_14[[#This Row],[Registered]]=0, "ABSENT", IF(Table1_14[[#This Row],[Appearance Rate]]&lt;0.98, "LOW_RATE", IF(AND(Table1_14[[#This Row],[Appearance Rate]]=1, Table1_14[[#This Row],[Registered]]&lt;100), "SUSPICIOUS_PERFECTION", "NORMAL")))</f>
        <v>NORMAL</v>
      </c>
      <c r="M71" s="7">
        <f>Table1_14[[#This Row],[Registered]]/SUM(Table1_14[Registered])</f>
        <v>8.248095483998312E-2</v>
      </c>
      <c r="N71" t="str">
        <f xml:space="preserve"> IF(OR(Table1_14[[#This Row],[Appearance Rate]]&lt;0, Table1_14[[#This Row],[Appearance Rate]]&gt;1), "FLAG", "OK")</f>
        <v>OK</v>
      </c>
      <c r="O71" t="str">
        <f xml:space="preserve"> IF(Table1_14[[#This Row],[Appeared]]&gt;Table1_14[[#This Row],[Registered]], "FLAG", "OK")</f>
        <v>OK</v>
      </c>
      <c r="P71" t="str">
        <f xml:space="preserve"> IF(OR(ISBLANK(Table1_14[[#This Row],[Registered]]), ISBLANK(Table1_14[[#This Row],[Appeared]]), Table1_14[[#This Row],[Registered]]=0, Table1_14[[#This Row],[Appeared]]=0), "FLAG", "OK")</f>
        <v>OK</v>
      </c>
    </row>
    <row r="72" spans="1:16" x14ac:dyDescent="0.3">
      <c r="A72">
        <v>12</v>
      </c>
      <c r="B72">
        <v>2022</v>
      </c>
      <c r="C72" t="s">
        <v>18</v>
      </c>
      <c r="D72" t="s">
        <v>8</v>
      </c>
      <c r="E72">
        <v>2231</v>
      </c>
      <c r="F72">
        <v>2225</v>
      </c>
      <c r="G72">
        <v>0.99731062303899598</v>
      </c>
      <c r="H72">
        <v>2.6893769610040197E-3</v>
      </c>
      <c r="J72" t="str">
        <f>IF(Table1_14[[#This Row],[Registered]] = 0, "ABSENT", "NON_ZERO")</f>
        <v>NON_ZERO</v>
      </c>
      <c r="K72" t="str">
        <f>IF(Table1_14[[#This Row],[Registered]] = 0, "ABSENT_BASE", IF(Table1_14[[#This Row],[Registered]]&lt;100, "SMALL_BASE", "VALID_BASE"))</f>
        <v>VALID_BASE</v>
      </c>
      <c r="L72" t="str">
        <f>IF(Table1_14[[#This Row],[Registered]]=0, "ABSENT", IF(Table1_14[[#This Row],[Appearance Rate]]&lt;0.98, "LOW_RATE", IF(AND(Table1_14[[#This Row],[Appearance Rate]]=1, Table1_14[[#This Row],[Registered]]&lt;100), "SUSPICIOUS_PERFECTION", "NORMAL")))</f>
        <v>NORMAL</v>
      </c>
      <c r="M72" s="7">
        <f>Table1_14[[#This Row],[Registered]]/SUM(Table1_14[Registered])</f>
        <v>1.5505793996039802E-3</v>
      </c>
      <c r="N72" t="str">
        <f xml:space="preserve"> IF(OR(Table1_14[[#This Row],[Appearance Rate]]&lt;0, Table1_14[[#This Row],[Appearance Rate]]&gt;1), "FLAG", "OK")</f>
        <v>OK</v>
      </c>
      <c r="O72" t="str">
        <f xml:space="preserve"> IF(Table1_14[[#This Row],[Appeared]]&gt;Table1_14[[#This Row],[Registered]], "FLAG", "OK")</f>
        <v>OK</v>
      </c>
      <c r="P72" t="str">
        <f xml:space="preserve"> IF(OR(ISBLANK(Table1_14[[#This Row],[Registered]]), ISBLANK(Table1_14[[#This Row],[Appeared]]), Table1_14[[#This Row],[Registered]]=0, Table1_14[[#This Row],[Appeared]]=0), "FLAG", "OK")</f>
        <v>OK</v>
      </c>
    </row>
    <row r="73" spans="1:16" x14ac:dyDescent="0.3">
      <c r="A73">
        <v>12</v>
      </c>
      <c r="B73">
        <v>2022</v>
      </c>
      <c r="C73" t="s">
        <v>18</v>
      </c>
      <c r="D73" t="s">
        <v>9</v>
      </c>
      <c r="E73">
        <v>3615</v>
      </c>
      <c r="F73">
        <v>3607</v>
      </c>
      <c r="G73">
        <v>0.99778699861687414</v>
      </c>
      <c r="H73">
        <v>2.2130013831258566E-3</v>
      </c>
      <c r="J73" t="str">
        <f>IF(Table1_14[[#This Row],[Registered]] = 0, "ABSENT", "NON_ZERO")</f>
        <v>NON_ZERO</v>
      </c>
      <c r="K73" t="str">
        <f>IF(Table1_14[[#This Row],[Registered]] = 0, "ABSENT_BASE", IF(Table1_14[[#This Row],[Registered]]&lt;100, "SMALL_BASE", "VALID_BASE"))</f>
        <v>VALID_BASE</v>
      </c>
      <c r="L73" t="str">
        <f>IF(Table1_14[[#This Row],[Registered]]=0, "ABSENT", IF(Table1_14[[#This Row],[Appearance Rate]]&lt;0.98, "LOW_RATE", IF(AND(Table1_14[[#This Row],[Appearance Rate]]=1, Table1_14[[#This Row],[Registered]]&lt;100), "SUSPICIOUS_PERFECTION", "NORMAL")))</f>
        <v>NORMAL</v>
      </c>
      <c r="M73" s="7">
        <f>Table1_14[[#This Row],[Registered]]/SUM(Table1_14[Registered])</f>
        <v>2.5124807393852033E-3</v>
      </c>
      <c r="N73" t="str">
        <f xml:space="preserve"> IF(OR(Table1_14[[#This Row],[Appearance Rate]]&lt;0, Table1_14[[#This Row],[Appearance Rate]]&gt;1), "FLAG", "OK")</f>
        <v>OK</v>
      </c>
      <c r="O73" t="str">
        <f xml:space="preserve"> IF(Table1_14[[#This Row],[Appeared]]&gt;Table1_14[[#This Row],[Registered]], "FLAG", "OK")</f>
        <v>OK</v>
      </c>
      <c r="P73" t="str">
        <f xml:space="preserve"> IF(OR(ISBLANK(Table1_14[[#This Row],[Registered]]), ISBLANK(Table1_14[[#This Row],[Appeared]]), Table1_14[[#This Row],[Registered]]=0, Table1_14[[#This Row],[Appeared]]=0), "FLAG", "OK")</f>
        <v>OK</v>
      </c>
    </row>
    <row r="74" spans="1:16" x14ac:dyDescent="0.3">
      <c r="A74">
        <v>12</v>
      </c>
      <c r="B74">
        <v>2022</v>
      </c>
      <c r="C74" t="s">
        <v>23</v>
      </c>
      <c r="D74" t="s">
        <v>4</v>
      </c>
      <c r="E74">
        <v>0</v>
      </c>
      <c r="F74">
        <v>0</v>
      </c>
      <c r="I74" t="s">
        <v>35</v>
      </c>
      <c r="J74" t="str">
        <f>IF(Table1_14[[#This Row],[Registered]] = 0, "ABSENT", "NON_ZERO")</f>
        <v>ABSENT</v>
      </c>
      <c r="K74" t="str">
        <f>IF(Table1_14[[#This Row],[Registered]] = 0, "ABSENT_BASE", IF(Table1_14[[#This Row],[Registered]]&lt;100, "SMALL_BASE", "VALID_BASE"))</f>
        <v>ABSENT_BASE</v>
      </c>
      <c r="L74" t="str">
        <f>IF(Table1_14[[#This Row],[Registered]]=0, "ABSENT", IF(Table1_14[[#This Row],[Appearance Rate]]&lt;0.98, "LOW_RATE", IF(AND(Table1_14[[#This Row],[Appearance Rate]]=1, Table1_14[[#This Row],[Registered]]&lt;100), "SUSPICIOUS_PERFECTION", "NORMAL")))</f>
        <v>ABSENT</v>
      </c>
      <c r="M74" s="7">
        <f>Table1_14[[#This Row],[Registered]]/SUM(Table1_14[Registered])</f>
        <v>0</v>
      </c>
      <c r="N74" t="str">
        <f xml:space="preserve"> IF(OR(Table1_14[[#This Row],[Appearance Rate]]&lt;0, Table1_14[[#This Row],[Appearance Rate]]&gt;1), "FLAG", "OK")</f>
        <v>OK</v>
      </c>
      <c r="O74" t="str">
        <f xml:space="preserve"> IF(Table1_14[[#This Row],[Appeared]]&gt;Table1_14[[#This Row],[Registered]], "FLAG", "OK")</f>
        <v>OK</v>
      </c>
      <c r="P74" t="str">
        <f xml:space="preserve"> IF(OR(ISBLANK(Table1_14[[#This Row],[Registered]]), ISBLANK(Table1_14[[#This Row],[Appeared]]), Table1_14[[#This Row],[Registered]]=0, Table1_14[[#This Row],[Appeared]]=0), "FLAG", "OK")</f>
        <v>FLAG</v>
      </c>
    </row>
    <row r="75" spans="1:16" x14ac:dyDescent="0.3">
      <c r="A75">
        <v>12</v>
      </c>
      <c r="B75">
        <v>2022</v>
      </c>
      <c r="C75" t="s">
        <v>23</v>
      </c>
      <c r="D75" t="s">
        <v>5</v>
      </c>
      <c r="E75">
        <v>84</v>
      </c>
      <c r="F75">
        <v>83</v>
      </c>
      <c r="G75">
        <v>0.98809523809523814</v>
      </c>
      <c r="H75">
        <v>1.1904761904761862E-2</v>
      </c>
      <c r="J75" t="str">
        <f>IF(Table1_14[[#This Row],[Registered]] = 0, "ABSENT", "NON_ZERO")</f>
        <v>NON_ZERO</v>
      </c>
      <c r="K75" t="str">
        <f>IF(Table1_14[[#This Row],[Registered]] = 0, "ABSENT_BASE", IF(Table1_14[[#This Row],[Registered]]&lt;100, "SMALL_BASE", "VALID_BASE"))</f>
        <v>SMALL_BASE</v>
      </c>
      <c r="L75" t="str">
        <f>IF(Table1_14[[#This Row],[Registered]]=0, "ABSENT", IF(Table1_14[[#This Row],[Appearance Rate]]&lt;0.98, "LOW_RATE", IF(AND(Table1_14[[#This Row],[Appearance Rate]]=1, Table1_14[[#This Row],[Registered]]&lt;100), "SUSPICIOUS_PERFECTION", "NORMAL")))</f>
        <v>NORMAL</v>
      </c>
      <c r="M75" s="7">
        <f>Table1_14[[#This Row],[Registered]]/SUM(Table1_14[Registered])</f>
        <v>5.8381295189033768E-5</v>
      </c>
      <c r="N75" t="str">
        <f xml:space="preserve"> IF(OR(Table1_14[[#This Row],[Appearance Rate]]&lt;0, Table1_14[[#This Row],[Appearance Rate]]&gt;1), "FLAG", "OK")</f>
        <v>OK</v>
      </c>
      <c r="O75" t="str">
        <f xml:space="preserve"> IF(Table1_14[[#This Row],[Appeared]]&gt;Table1_14[[#This Row],[Registered]], "FLAG", "OK")</f>
        <v>OK</v>
      </c>
      <c r="P75" t="str">
        <f xml:space="preserve"> IF(OR(ISBLANK(Table1_14[[#This Row],[Registered]]), ISBLANK(Table1_14[[#This Row],[Appeared]]), Table1_14[[#This Row],[Registered]]=0, Table1_14[[#This Row],[Appeared]]=0), "FLAG", "OK")</f>
        <v>OK</v>
      </c>
    </row>
    <row r="76" spans="1:16" x14ac:dyDescent="0.3">
      <c r="A76">
        <v>12</v>
      </c>
      <c r="B76">
        <v>2022</v>
      </c>
      <c r="C76" t="s">
        <v>23</v>
      </c>
      <c r="D76" t="s">
        <v>6</v>
      </c>
      <c r="E76">
        <v>0</v>
      </c>
      <c r="F76">
        <v>0</v>
      </c>
      <c r="I76" t="s">
        <v>35</v>
      </c>
      <c r="J76" t="str">
        <f>IF(Table1_14[[#This Row],[Registered]] = 0, "ABSENT", "NON_ZERO")</f>
        <v>ABSENT</v>
      </c>
      <c r="K76" t="str">
        <f>IF(Table1_14[[#This Row],[Registered]] = 0, "ABSENT_BASE", IF(Table1_14[[#This Row],[Registered]]&lt;100, "SMALL_BASE", "VALID_BASE"))</f>
        <v>ABSENT_BASE</v>
      </c>
      <c r="L76" t="str">
        <f>IF(Table1_14[[#This Row],[Registered]]=0, "ABSENT", IF(Table1_14[[#This Row],[Appearance Rate]]&lt;0.98, "LOW_RATE", IF(AND(Table1_14[[#This Row],[Appearance Rate]]=1, Table1_14[[#This Row],[Registered]]&lt;100), "SUSPICIOUS_PERFECTION", "NORMAL")))</f>
        <v>ABSENT</v>
      </c>
      <c r="M76" s="7">
        <f>Table1_14[[#This Row],[Registered]]/SUM(Table1_14[Registered])</f>
        <v>0</v>
      </c>
      <c r="N76" t="str">
        <f xml:space="preserve"> IF(OR(Table1_14[[#This Row],[Appearance Rate]]&lt;0, Table1_14[[#This Row],[Appearance Rate]]&gt;1), "FLAG", "OK")</f>
        <v>OK</v>
      </c>
      <c r="O76" t="str">
        <f xml:space="preserve"> IF(Table1_14[[#This Row],[Appeared]]&gt;Table1_14[[#This Row],[Registered]], "FLAG", "OK")</f>
        <v>OK</v>
      </c>
      <c r="P76" t="str">
        <f xml:space="preserve"> IF(OR(ISBLANK(Table1_14[[#This Row],[Registered]]), ISBLANK(Table1_14[[#This Row],[Appeared]]), Table1_14[[#This Row],[Registered]]=0, Table1_14[[#This Row],[Appeared]]=0), "FLAG", "OK")</f>
        <v>FLAG</v>
      </c>
    </row>
    <row r="77" spans="1:16" x14ac:dyDescent="0.3">
      <c r="A77">
        <v>12</v>
      </c>
      <c r="B77">
        <v>2022</v>
      </c>
      <c r="C77" t="s">
        <v>23</v>
      </c>
      <c r="D77" t="s">
        <v>7</v>
      </c>
      <c r="E77">
        <v>84716</v>
      </c>
      <c r="F77">
        <v>83962</v>
      </c>
      <c r="G77">
        <v>0.99109967420558098</v>
      </c>
      <c r="H77">
        <v>8.9003257944190173E-3</v>
      </c>
      <c r="J77" t="str">
        <f>IF(Table1_14[[#This Row],[Registered]] = 0, "ABSENT", "NON_ZERO")</f>
        <v>NON_ZERO</v>
      </c>
      <c r="K77" t="str">
        <f>IF(Table1_14[[#This Row],[Registered]] = 0, "ABSENT_BASE", IF(Table1_14[[#This Row],[Registered]]&lt;100, "SMALL_BASE", "VALID_BASE"))</f>
        <v>VALID_BASE</v>
      </c>
      <c r="L77" t="str">
        <f>IF(Table1_14[[#This Row],[Registered]]=0, "ABSENT", IF(Table1_14[[#This Row],[Appearance Rate]]&lt;0.98, "LOW_RATE", IF(AND(Table1_14[[#This Row],[Appearance Rate]]=1, Table1_14[[#This Row],[Registered]]&lt;100), "SUSPICIOUS_PERFECTION", "NORMAL")))</f>
        <v>NORMAL</v>
      </c>
      <c r="M77" s="7">
        <f>Table1_14[[#This Row],[Registered]]/SUM(Table1_14[Registered])</f>
        <v>5.887892622897839E-2</v>
      </c>
      <c r="N77" t="str">
        <f xml:space="preserve"> IF(OR(Table1_14[[#This Row],[Appearance Rate]]&lt;0, Table1_14[[#This Row],[Appearance Rate]]&gt;1), "FLAG", "OK")</f>
        <v>OK</v>
      </c>
      <c r="O77" t="str">
        <f xml:space="preserve"> IF(Table1_14[[#This Row],[Appeared]]&gt;Table1_14[[#This Row],[Registered]], "FLAG", "OK")</f>
        <v>OK</v>
      </c>
      <c r="P77" t="str">
        <f xml:space="preserve"> IF(OR(ISBLANK(Table1_14[[#This Row],[Registered]]), ISBLANK(Table1_14[[#This Row],[Appeared]]), Table1_14[[#This Row],[Registered]]=0, Table1_14[[#This Row],[Appeared]]=0), "FLAG", "OK")</f>
        <v>OK</v>
      </c>
    </row>
    <row r="78" spans="1:16" x14ac:dyDescent="0.3">
      <c r="A78">
        <v>12</v>
      </c>
      <c r="B78">
        <v>2022</v>
      </c>
      <c r="C78" t="s">
        <v>23</v>
      </c>
      <c r="D78" t="s">
        <v>8</v>
      </c>
      <c r="E78">
        <v>3714</v>
      </c>
      <c r="F78">
        <v>3669</v>
      </c>
      <c r="G78">
        <v>0.98788368336025845</v>
      </c>
      <c r="H78">
        <v>1.2116316639741553E-2</v>
      </c>
      <c r="J78" t="str">
        <f>IF(Table1_14[[#This Row],[Registered]] = 0, "ABSENT", "NON_ZERO")</f>
        <v>NON_ZERO</v>
      </c>
      <c r="K78" t="str">
        <f>IF(Table1_14[[#This Row],[Registered]] = 0, "ABSENT_BASE", IF(Table1_14[[#This Row],[Registered]]&lt;100, "SMALL_BASE", "VALID_BASE"))</f>
        <v>VALID_BASE</v>
      </c>
      <c r="L78" t="str">
        <f>IF(Table1_14[[#This Row],[Registered]]=0, "ABSENT", IF(Table1_14[[#This Row],[Appearance Rate]]&lt;0.98, "LOW_RATE", IF(AND(Table1_14[[#This Row],[Appearance Rate]]=1, Table1_14[[#This Row],[Registered]]&lt;100), "SUSPICIOUS_PERFECTION", "NORMAL")))</f>
        <v>NORMAL</v>
      </c>
      <c r="M78" s="7">
        <f>Table1_14[[#This Row],[Registered]]/SUM(Table1_14[Registered])</f>
        <v>2.581287265857993E-3</v>
      </c>
      <c r="N78" t="str">
        <f xml:space="preserve"> IF(OR(Table1_14[[#This Row],[Appearance Rate]]&lt;0, Table1_14[[#This Row],[Appearance Rate]]&gt;1), "FLAG", "OK")</f>
        <v>OK</v>
      </c>
      <c r="O78" t="str">
        <f xml:space="preserve"> IF(Table1_14[[#This Row],[Appeared]]&gt;Table1_14[[#This Row],[Registered]], "FLAG", "OK")</f>
        <v>OK</v>
      </c>
      <c r="P78" t="str">
        <f xml:space="preserve"> IF(OR(ISBLANK(Table1_14[[#This Row],[Registered]]), ISBLANK(Table1_14[[#This Row],[Appeared]]), Table1_14[[#This Row],[Registered]]=0, Table1_14[[#This Row],[Appeared]]=0), "FLAG", "OK")</f>
        <v>OK</v>
      </c>
    </row>
    <row r="79" spans="1:16" x14ac:dyDescent="0.3">
      <c r="A79">
        <v>12</v>
      </c>
      <c r="B79">
        <v>2022</v>
      </c>
      <c r="C79" t="s">
        <v>23</v>
      </c>
      <c r="D79" t="s">
        <v>9</v>
      </c>
      <c r="E79">
        <v>5409</v>
      </c>
      <c r="F79">
        <v>5398</v>
      </c>
      <c r="G79">
        <v>0.99796635237567022</v>
      </c>
      <c r="H79">
        <v>2.0336476243297819E-3</v>
      </c>
      <c r="J79" t="str">
        <f>IF(Table1_14[[#This Row],[Registered]] = 0, "ABSENT", "NON_ZERO")</f>
        <v>NON_ZERO</v>
      </c>
      <c r="K79" t="str">
        <f>IF(Table1_14[[#This Row],[Registered]] = 0, "ABSENT_BASE", IF(Table1_14[[#This Row],[Registered]]&lt;100, "SMALL_BASE", "VALID_BASE"))</f>
        <v>VALID_BASE</v>
      </c>
      <c r="L79" t="str">
        <f>IF(Table1_14[[#This Row],[Registered]]=0, "ABSENT", IF(Table1_14[[#This Row],[Appearance Rate]]&lt;0.98, "LOW_RATE", IF(AND(Table1_14[[#This Row],[Appearance Rate]]=1, Table1_14[[#This Row],[Registered]]&lt;100), "SUSPICIOUS_PERFECTION", "NORMAL")))</f>
        <v>NORMAL</v>
      </c>
      <c r="M79" s="7">
        <f>Table1_14[[#This Row],[Registered]]/SUM(Table1_14[Registered])</f>
        <v>3.7593384009224243E-3</v>
      </c>
      <c r="N79" t="str">
        <f xml:space="preserve"> IF(OR(Table1_14[[#This Row],[Appearance Rate]]&lt;0, Table1_14[[#This Row],[Appearance Rate]]&gt;1), "FLAG", "OK")</f>
        <v>OK</v>
      </c>
      <c r="O79" t="str">
        <f xml:space="preserve"> IF(Table1_14[[#This Row],[Appeared]]&gt;Table1_14[[#This Row],[Registered]], "FLAG", "OK")</f>
        <v>OK</v>
      </c>
      <c r="P79" t="str">
        <f xml:space="preserve"> IF(OR(ISBLANK(Table1_14[[#This Row],[Registered]]), ISBLANK(Table1_14[[#This Row],[Appeared]]), Table1_14[[#This Row],[Registered]]=0, Table1_14[[#This Row],[Appeared]]=0), "FLAG", "OK")</f>
        <v>OK</v>
      </c>
    </row>
    <row r="80" spans="1:16" x14ac:dyDescent="0.3">
      <c r="A80">
        <v>12</v>
      </c>
      <c r="B80">
        <v>2022</v>
      </c>
      <c r="C80" t="s">
        <v>24</v>
      </c>
      <c r="D80" t="s">
        <v>4</v>
      </c>
      <c r="E80">
        <v>0</v>
      </c>
      <c r="F80">
        <v>0</v>
      </c>
      <c r="I80" t="s">
        <v>35</v>
      </c>
      <c r="J80" t="str">
        <f>IF(Table1_14[[#This Row],[Registered]] = 0, "ABSENT", "NON_ZERO")</f>
        <v>ABSENT</v>
      </c>
      <c r="K80" t="str">
        <f>IF(Table1_14[[#This Row],[Registered]] = 0, "ABSENT_BASE", IF(Table1_14[[#This Row],[Registered]]&lt;100, "SMALL_BASE", "VALID_BASE"))</f>
        <v>ABSENT_BASE</v>
      </c>
      <c r="L80" t="str">
        <f>IF(Table1_14[[#This Row],[Registered]]=0, "ABSENT", IF(Table1_14[[#This Row],[Appearance Rate]]&lt;0.98, "LOW_RATE", IF(AND(Table1_14[[#This Row],[Appearance Rate]]=1, Table1_14[[#This Row],[Registered]]&lt;100), "SUSPICIOUS_PERFECTION", "NORMAL")))</f>
        <v>ABSENT</v>
      </c>
      <c r="M80" s="7">
        <f>Table1_14[[#This Row],[Registered]]/SUM(Table1_14[Registered])</f>
        <v>0</v>
      </c>
      <c r="N80" t="str">
        <f xml:space="preserve"> IF(OR(Table1_14[[#This Row],[Appearance Rate]]&lt;0, Table1_14[[#This Row],[Appearance Rate]]&gt;1), "FLAG", "OK")</f>
        <v>OK</v>
      </c>
      <c r="O80" t="str">
        <f xml:space="preserve"> IF(Table1_14[[#This Row],[Appeared]]&gt;Table1_14[[#This Row],[Registered]], "FLAG", "OK")</f>
        <v>OK</v>
      </c>
      <c r="P80" t="str">
        <f xml:space="preserve"> IF(OR(ISBLANK(Table1_14[[#This Row],[Registered]]), ISBLANK(Table1_14[[#This Row],[Appeared]]), Table1_14[[#This Row],[Registered]]=0, Table1_14[[#This Row],[Appeared]]=0), "FLAG", "OK")</f>
        <v>FLAG</v>
      </c>
    </row>
    <row r="81" spans="1:16" x14ac:dyDescent="0.3">
      <c r="A81">
        <v>12</v>
      </c>
      <c r="B81">
        <v>2022</v>
      </c>
      <c r="C81" t="s">
        <v>24</v>
      </c>
      <c r="D81" t="s">
        <v>5</v>
      </c>
      <c r="E81">
        <v>1336</v>
      </c>
      <c r="F81">
        <v>1272</v>
      </c>
      <c r="G81">
        <v>0.95209580838323349</v>
      </c>
      <c r="H81">
        <v>4.7904191616766512E-2</v>
      </c>
      <c r="J81" t="str">
        <f>IF(Table1_14[[#This Row],[Registered]] = 0, "ABSENT", "NON_ZERO")</f>
        <v>NON_ZERO</v>
      </c>
      <c r="K81" t="str">
        <f>IF(Table1_14[[#This Row],[Registered]] = 0, "ABSENT_BASE", IF(Table1_14[[#This Row],[Registered]]&lt;100, "SMALL_BASE", "VALID_BASE"))</f>
        <v>VALID_BASE</v>
      </c>
      <c r="L81" t="str">
        <f>IF(Table1_14[[#This Row],[Registered]]=0, "ABSENT", IF(Table1_14[[#This Row],[Appearance Rate]]&lt;0.98, "LOW_RATE", IF(AND(Table1_14[[#This Row],[Appearance Rate]]=1, Table1_14[[#This Row],[Registered]]&lt;100), "SUSPICIOUS_PERFECTION", "NORMAL")))</f>
        <v>LOW_RATE</v>
      </c>
      <c r="M81" s="7">
        <f>Table1_14[[#This Row],[Registered]]/SUM(Table1_14[Registered])</f>
        <v>9.2854059967320372E-4</v>
      </c>
      <c r="N81" t="str">
        <f xml:space="preserve"> IF(OR(Table1_14[[#This Row],[Appearance Rate]]&lt;0, Table1_14[[#This Row],[Appearance Rate]]&gt;1), "FLAG", "OK")</f>
        <v>OK</v>
      </c>
      <c r="O81" t="str">
        <f xml:space="preserve"> IF(Table1_14[[#This Row],[Appeared]]&gt;Table1_14[[#This Row],[Registered]], "FLAG", "OK")</f>
        <v>OK</v>
      </c>
      <c r="P81" t="str">
        <f xml:space="preserve"> IF(OR(ISBLANK(Table1_14[[#This Row],[Registered]]), ISBLANK(Table1_14[[#This Row],[Appeared]]), Table1_14[[#This Row],[Registered]]=0, Table1_14[[#This Row],[Appeared]]=0), "FLAG", "OK")</f>
        <v>OK</v>
      </c>
    </row>
    <row r="82" spans="1:16" x14ac:dyDescent="0.3">
      <c r="A82">
        <v>12</v>
      </c>
      <c r="B82">
        <v>2022</v>
      </c>
      <c r="C82" t="s">
        <v>24</v>
      </c>
      <c r="D82" t="s">
        <v>6</v>
      </c>
      <c r="E82">
        <v>0</v>
      </c>
      <c r="F82">
        <v>0</v>
      </c>
      <c r="I82" t="s">
        <v>35</v>
      </c>
      <c r="J82" t="str">
        <f>IF(Table1_14[[#This Row],[Registered]] = 0, "ABSENT", "NON_ZERO")</f>
        <v>ABSENT</v>
      </c>
      <c r="K82" t="str">
        <f>IF(Table1_14[[#This Row],[Registered]] = 0, "ABSENT_BASE", IF(Table1_14[[#This Row],[Registered]]&lt;100, "SMALL_BASE", "VALID_BASE"))</f>
        <v>ABSENT_BASE</v>
      </c>
      <c r="L82" t="str">
        <f>IF(Table1_14[[#This Row],[Registered]]=0, "ABSENT", IF(Table1_14[[#This Row],[Appearance Rate]]&lt;0.98, "LOW_RATE", IF(AND(Table1_14[[#This Row],[Appearance Rate]]=1, Table1_14[[#This Row],[Registered]]&lt;100), "SUSPICIOUS_PERFECTION", "NORMAL")))</f>
        <v>ABSENT</v>
      </c>
      <c r="M82" s="7">
        <f>Table1_14[[#This Row],[Registered]]/SUM(Table1_14[Registered])</f>
        <v>0</v>
      </c>
      <c r="N82" t="str">
        <f xml:space="preserve"> IF(OR(Table1_14[[#This Row],[Appearance Rate]]&lt;0, Table1_14[[#This Row],[Appearance Rate]]&gt;1), "FLAG", "OK")</f>
        <v>OK</v>
      </c>
      <c r="O82" t="str">
        <f xml:space="preserve"> IF(Table1_14[[#This Row],[Appeared]]&gt;Table1_14[[#This Row],[Registered]], "FLAG", "OK")</f>
        <v>OK</v>
      </c>
      <c r="P82" t="str">
        <f xml:space="preserve"> IF(OR(ISBLANK(Table1_14[[#This Row],[Registered]]), ISBLANK(Table1_14[[#This Row],[Appeared]]), Table1_14[[#This Row],[Registered]]=0, Table1_14[[#This Row],[Appeared]]=0), "FLAG", "OK")</f>
        <v>FLAG</v>
      </c>
    </row>
    <row r="83" spans="1:16" x14ac:dyDescent="0.3">
      <c r="A83">
        <v>12</v>
      </c>
      <c r="B83">
        <v>2022</v>
      </c>
      <c r="C83" t="s">
        <v>24</v>
      </c>
      <c r="D83" t="s">
        <v>7</v>
      </c>
      <c r="E83">
        <v>131729</v>
      </c>
      <c r="F83">
        <v>130263</v>
      </c>
      <c r="G83">
        <v>0.98887109140735907</v>
      </c>
      <c r="H83">
        <v>1.1128908592640929E-2</v>
      </c>
      <c r="J83" t="str">
        <f>IF(Table1_14[[#This Row],[Registered]] = 0, "ABSENT", "NON_ZERO")</f>
        <v>NON_ZERO</v>
      </c>
      <c r="K83" t="str">
        <f>IF(Table1_14[[#This Row],[Registered]] = 0, "ABSENT_BASE", IF(Table1_14[[#This Row],[Registered]]&lt;100, "SMALL_BASE", "VALID_BASE"))</f>
        <v>VALID_BASE</v>
      </c>
      <c r="L83" t="str">
        <f>IF(Table1_14[[#This Row],[Registered]]=0, "ABSENT", IF(Table1_14[[#This Row],[Appearance Rate]]&lt;0.98, "LOW_RATE", IF(AND(Table1_14[[#This Row],[Appearance Rate]]=1, Table1_14[[#This Row],[Registered]]&lt;100), "SUSPICIOUS_PERFECTION", "NORMAL")))</f>
        <v>NORMAL</v>
      </c>
      <c r="M83" s="7">
        <f>Table1_14[[#This Row],[Registered]]/SUM(Table1_14[Registered])</f>
        <v>9.1553686118526545E-2</v>
      </c>
      <c r="N83" t="str">
        <f xml:space="preserve"> IF(OR(Table1_14[[#This Row],[Appearance Rate]]&lt;0, Table1_14[[#This Row],[Appearance Rate]]&gt;1), "FLAG", "OK")</f>
        <v>OK</v>
      </c>
      <c r="O83" t="str">
        <f xml:space="preserve"> IF(Table1_14[[#This Row],[Appeared]]&gt;Table1_14[[#This Row],[Registered]], "FLAG", "OK")</f>
        <v>OK</v>
      </c>
      <c r="P83" t="str">
        <f xml:space="preserve"> IF(OR(ISBLANK(Table1_14[[#This Row],[Registered]]), ISBLANK(Table1_14[[#This Row],[Appeared]]), Table1_14[[#This Row],[Registered]]=0, Table1_14[[#This Row],[Appeared]]=0), "FLAG", "OK")</f>
        <v>OK</v>
      </c>
    </row>
    <row r="84" spans="1:16" x14ac:dyDescent="0.3">
      <c r="A84">
        <v>12</v>
      </c>
      <c r="B84">
        <v>2022</v>
      </c>
      <c r="C84" t="s">
        <v>24</v>
      </c>
      <c r="D84" t="s">
        <v>8</v>
      </c>
      <c r="E84">
        <v>3184</v>
      </c>
      <c r="F84">
        <v>3152</v>
      </c>
      <c r="G84">
        <v>0.98994974874371855</v>
      </c>
      <c r="H84">
        <v>1.0050251256281451E-2</v>
      </c>
      <c r="J84" t="str">
        <f>IF(Table1_14[[#This Row],[Registered]] = 0, "ABSENT", "NON_ZERO")</f>
        <v>NON_ZERO</v>
      </c>
      <c r="K84" t="str">
        <f>IF(Table1_14[[#This Row],[Registered]] = 0, "ABSENT_BASE", IF(Table1_14[[#This Row],[Registered]]&lt;100, "SMALL_BASE", "VALID_BASE"))</f>
        <v>VALID_BASE</v>
      </c>
      <c r="L84" t="str">
        <f>IF(Table1_14[[#This Row],[Registered]]=0, "ABSENT", IF(Table1_14[[#This Row],[Appearance Rate]]&lt;0.98, "LOW_RATE", IF(AND(Table1_14[[#This Row],[Appearance Rate]]=1, Table1_14[[#This Row],[Registered]]&lt;100), "SUSPICIOUS_PERFECTION", "NORMAL")))</f>
        <v>NORMAL</v>
      </c>
      <c r="M84" s="7">
        <f>Table1_14[[#This Row],[Registered]]/SUM(Table1_14[Registered])</f>
        <v>2.2129290938319468E-3</v>
      </c>
      <c r="N84" t="str">
        <f xml:space="preserve"> IF(OR(Table1_14[[#This Row],[Appearance Rate]]&lt;0, Table1_14[[#This Row],[Appearance Rate]]&gt;1), "FLAG", "OK")</f>
        <v>OK</v>
      </c>
      <c r="O84" t="str">
        <f xml:space="preserve"> IF(Table1_14[[#This Row],[Appeared]]&gt;Table1_14[[#This Row],[Registered]], "FLAG", "OK")</f>
        <v>OK</v>
      </c>
      <c r="P84" t="str">
        <f xml:space="preserve"> IF(OR(ISBLANK(Table1_14[[#This Row],[Registered]]), ISBLANK(Table1_14[[#This Row],[Appeared]]), Table1_14[[#This Row],[Registered]]=0, Table1_14[[#This Row],[Appeared]]=0), "FLAG", "OK")</f>
        <v>OK</v>
      </c>
    </row>
    <row r="85" spans="1:16" x14ac:dyDescent="0.3">
      <c r="A85">
        <v>12</v>
      </c>
      <c r="B85">
        <v>2022</v>
      </c>
      <c r="C85" t="s">
        <v>24</v>
      </c>
      <c r="D85" t="s">
        <v>9</v>
      </c>
      <c r="E85">
        <v>8680</v>
      </c>
      <c r="F85">
        <v>8666</v>
      </c>
      <c r="G85">
        <v>0.99838709677419357</v>
      </c>
      <c r="H85">
        <v>1.612903225806428E-3</v>
      </c>
      <c r="J85" t="str">
        <f>IF(Table1_14[[#This Row],[Registered]] = 0, "ABSENT", "NON_ZERO")</f>
        <v>NON_ZERO</v>
      </c>
      <c r="K85" t="str">
        <f>IF(Table1_14[[#This Row],[Registered]] = 0, "ABSENT_BASE", IF(Table1_14[[#This Row],[Registered]]&lt;100, "SMALL_BASE", "VALID_BASE"))</f>
        <v>VALID_BASE</v>
      </c>
      <c r="L85" t="str">
        <f>IF(Table1_14[[#This Row],[Registered]]=0, "ABSENT", IF(Table1_14[[#This Row],[Appearance Rate]]&lt;0.98, "LOW_RATE", IF(AND(Table1_14[[#This Row],[Appearance Rate]]=1, Table1_14[[#This Row],[Registered]]&lt;100), "SUSPICIOUS_PERFECTION", "NORMAL")))</f>
        <v>NORMAL</v>
      </c>
      <c r="M85" s="7">
        <f>Table1_14[[#This Row],[Registered]]/SUM(Table1_14[Registered])</f>
        <v>6.0327338362001562E-3</v>
      </c>
      <c r="N85" t="str">
        <f xml:space="preserve"> IF(OR(Table1_14[[#This Row],[Appearance Rate]]&lt;0, Table1_14[[#This Row],[Appearance Rate]]&gt;1), "FLAG", "OK")</f>
        <v>OK</v>
      </c>
      <c r="O85" t="str">
        <f xml:space="preserve"> IF(Table1_14[[#This Row],[Appeared]]&gt;Table1_14[[#This Row],[Registered]], "FLAG", "OK")</f>
        <v>OK</v>
      </c>
      <c r="P85" t="str">
        <f xml:space="preserve"> IF(OR(ISBLANK(Table1_14[[#This Row],[Registered]]), ISBLANK(Table1_14[[#This Row],[Appeared]]), Table1_14[[#This Row],[Registered]]=0, Table1_14[[#This Row],[Appeared]]=0), "FLAG", "OK")</f>
        <v>OK</v>
      </c>
    </row>
    <row r="86" spans="1:16" x14ac:dyDescent="0.3">
      <c r="A86">
        <v>12</v>
      </c>
      <c r="B86">
        <v>2022</v>
      </c>
      <c r="C86" t="s">
        <v>16</v>
      </c>
      <c r="D86" t="s">
        <v>4</v>
      </c>
      <c r="E86">
        <v>0</v>
      </c>
      <c r="F86">
        <v>0</v>
      </c>
      <c r="I86" t="s">
        <v>35</v>
      </c>
      <c r="J86" t="str">
        <f>IF(Table1_14[[#This Row],[Registered]] = 0, "ABSENT", "NON_ZERO")</f>
        <v>ABSENT</v>
      </c>
      <c r="K86" t="str">
        <f>IF(Table1_14[[#This Row],[Registered]] = 0, "ABSENT_BASE", IF(Table1_14[[#This Row],[Registered]]&lt;100, "SMALL_BASE", "VALID_BASE"))</f>
        <v>ABSENT_BASE</v>
      </c>
      <c r="L86" t="str">
        <f>IF(Table1_14[[#This Row],[Registered]]=0, "ABSENT", IF(Table1_14[[#This Row],[Appearance Rate]]&lt;0.98, "LOW_RATE", IF(AND(Table1_14[[#This Row],[Appearance Rate]]=1, Table1_14[[#This Row],[Registered]]&lt;100), "SUSPICIOUS_PERFECTION", "NORMAL")))</f>
        <v>ABSENT</v>
      </c>
      <c r="M86" s="7">
        <f>Table1_14[[#This Row],[Registered]]/SUM(Table1_14[Registered])</f>
        <v>0</v>
      </c>
      <c r="N86" t="str">
        <f xml:space="preserve"> IF(OR(Table1_14[[#This Row],[Appearance Rate]]&lt;0, Table1_14[[#This Row],[Appearance Rate]]&gt;1), "FLAG", "OK")</f>
        <v>OK</v>
      </c>
      <c r="O86" t="str">
        <f xml:space="preserve"> IF(Table1_14[[#This Row],[Appeared]]&gt;Table1_14[[#This Row],[Registered]], "FLAG", "OK")</f>
        <v>OK</v>
      </c>
      <c r="P86" t="str">
        <f xml:space="preserve"> IF(OR(ISBLANK(Table1_14[[#This Row],[Registered]]), ISBLANK(Table1_14[[#This Row],[Appeared]]), Table1_14[[#This Row],[Registered]]=0, Table1_14[[#This Row],[Appeared]]=0), "FLAG", "OK")</f>
        <v>FLAG</v>
      </c>
    </row>
    <row r="87" spans="1:16" x14ac:dyDescent="0.3">
      <c r="A87">
        <v>12</v>
      </c>
      <c r="B87">
        <v>2022</v>
      </c>
      <c r="C87" t="s">
        <v>16</v>
      </c>
      <c r="D87" t="s">
        <v>5</v>
      </c>
      <c r="E87">
        <v>1535</v>
      </c>
      <c r="F87">
        <v>1534</v>
      </c>
      <c r="G87">
        <v>0.99934853420195435</v>
      </c>
      <c r="H87">
        <v>6.514657980456473E-4</v>
      </c>
      <c r="J87" t="str">
        <f>IF(Table1_14[[#This Row],[Registered]] = 0, "ABSENT", "NON_ZERO")</f>
        <v>NON_ZERO</v>
      </c>
      <c r="K87" t="str">
        <f>IF(Table1_14[[#This Row],[Registered]] = 0, "ABSENT_BASE", IF(Table1_14[[#This Row],[Registered]]&lt;100, "SMALL_BASE", "VALID_BASE"))</f>
        <v>VALID_BASE</v>
      </c>
      <c r="L87" t="str">
        <f>IF(Table1_14[[#This Row],[Registered]]=0, "ABSENT", IF(Table1_14[[#This Row],[Appearance Rate]]&lt;0.98, "LOW_RATE", IF(AND(Table1_14[[#This Row],[Appearance Rate]]=1, Table1_14[[#This Row],[Registered]]&lt;100), "SUSPICIOUS_PERFECTION", "NORMAL")))</f>
        <v>NORMAL</v>
      </c>
      <c r="M87" s="7">
        <f>Table1_14[[#This Row],[Registered]]/SUM(Table1_14[Registered])</f>
        <v>1.0668486680377005E-3</v>
      </c>
      <c r="N87" t="str">
        <f xml:space="preserve"> IF(OR(Table1_14[[#This Row],[Appearance Rate]]&lt;0, Table1_14[[#This Row],[Appearance Rate]]&gt;1), "FLAG", "OK")</f>
        <v>OK</v>
      </c>
      <c r="O87" t="str">
        <f xml:space="preserve"> IF(Table1_14[[#This Row],[Appeared]]&gt;Table1_14[[#This Row],[Registered]], "FLAG", "OK")</f>
        <v>OK</v>
      </c>
      <c r="P87" t="str">
        <f xml:space="preserve"> IF(OR(ISBLANK(Table1_14[[#This Row],[Registered]]), ISBLANK(Table1_14[[#This Row],[Appeared]]), Table1_14[[#This Row],[Registered]]=0, Table1_14[[#This Row],[Appeared]]=0), "FLAG", "OK")</f>
        <v>OK</v>
      </c>
    </row>
    <row r="88" spans="1:16" x14ac:dyDescent="0.3">
      <c r="A88">
        <v>12</v>
      </c>
      <c r="B88">
        <v>2022</v>
      </c>
      <c r="C88" t="s">
        <v>16</v>
      </c>
      <c r="D88" t="s">
        <v>6</v>
      </c>
      <c r="E88">
        <v>0</v>
      </c>
      <c r="F88">
        <v>0</v>
      </c>
      <c r="I88" t="s">
        <v>35</v>
      </c>
      <c r="J88" t="str">
        <f>IF(Table1_14[[#This Row],[Registered]] = 0, "ABSENT", "NON_ZERO")</f>
        <v>ABSENT</v>
      </c>
      <c r="K88" t="str">
        <f>IF(Table1_14[[#This Row],[Registered]] = 0, "ABSENT_BASE", IF(Table1_14[[#This Row],[Registered]]&lt;100, "SMALL_BASE", "VALID_BASE"))</f>
        <v>ABSENT_BASE</v>
      </c>
      <c r="L88" t="str">
        <f>IF(Table1_14[[#This Row],[Registered]]=0, "ABSENT", IF(Table1_14[[#This Row],[Appearance Rate]]&lt;0.98, "LOW_RATE", IF(AND(Table1_14[[#This Row],[Appearance Rate]]=1, Table1_14[[#This Row],[Registered]]&lt;100), "SUSPICIOUS_PERFECTION", "NORMAL")))</f>
        <v>ABSENT</v>
      </c>
      <c r="M88" s="7">
        <f>Table1_14[[#This Row],[Registered]]/SUM(Table1_14[Registered])</f>
        <v>0</v>
      </c>
      <c r="N88" t="str">
        <f xml:space="preserve"> IF(OR(Table1_14[[#This Row],[Appearance Rate]]&lt;0, Table1_14[[#This Row],[Appearance Rate]]&gt;1), "FLAG", "OK")</f>
        <v>OK</v>
      </c>
      <c r="O88" t="str">
        <f xml:space="preserve"> IF(Table1_14[[#This Row],[Appeared]]&gt;Table1_14[[#This Row],[Registered]], "FLAG", "OK")</f>
        <v>OK</v>
      </c>
      <c r="P88" t="str">
        <f xml:space="preserve"> IF(OR(ISBLANK(Table1_14[[#This Row],[Registered]]), ISBLANK(Table1_14[[#This Row],[Appeared]]), Table1_14[[#This Row],[Registered]]=0, Table1_14[[#This Row],[Appeared]]=0), "FLAG", "OK")</f>
        <v>FLAG</v>
      </c>
    </row>
    <row r="89" spans="1:16" x14ac:dyDescent="0.3">
      <c r="A89">
        <v>12</v>
      </c>
      <c r="B89">
        <v>2022</v>
      </c>
      <c r="C89" t="s">
        <v>16</v>
      </c>
      <c r="D89" t="s">
        <v>7</v>
      </c>
      <c r="E89">
        <v>22801</v>
      </c>
      <c r="F89">
        <v>22742</v>
      </c>
      <c r="G89">
        <v>0.99741239419323713</v>
      </c>
      <c r="H89">
        <v>2.5876058067628716E-3</v>
      </c>
      <c r="J89" t="str">
        <f>IF(Table1_14[[#This Row],[Registered]] = 0, "ABSENT", "NON_ZERO")</f>
        <v>NON_ZERO</v>
      </c>
      <c r="K89" t="str">
        <f>IF(Table1_14[[#This Row],[Registered]] = 0, "ABSENT_BASE", IF(Table1_14[[#This Row],[Registered]]&lt;100, "SMALL_BASE", "VALID_BASE"))</f>
        <v>VALID_BASE</v>
      </c>
      <c r="L89" t="str">
        <f>IF(Table1_14[[#This Row],[Registered]]=0, "ABSENT", IF(Table1_14[[#This Row],[Appearance Rate]]&lt;0.98, "LOW_RATE", IF(AND(Table1_14[[#This Row],[Appearance Rate]]=1, Table1_14[[#This Row],[Registered]]&lt;100), "SUSPICIOUS_PERFECTION", "NORMAL")))</f>
        <v>NORMAL</v>
      </c>
      <c r="M89" s="7">
        <f>Table1_14[[#This Row],[Registered]]/SUM(Table1_14[Registered])</f>
        <v>1.5847046566728081E-2</v>
      </c>
      <c r="N89" t="str">
        <f xml:space="preserve"> IF(OR(Table1_14[[#This Row],[Appearance Rate]]&lt;0, Table1_14[[#This Row],[Appearance Rate]]&gt;1), "FLAG", "OK")</f>
        <v>OK</v>
      </c>
      <c r="O89" t="str">
        <f xml:space="preserve"> IF(Table1_14[[#This Row],[Appeared]]&gt;Table1_14[[#This Row],[Registered]], "FLAG", "OK")</f>
        <v>OK</v>
      </c>
      <c r="P89" t="str">
        <f xml:space="preserve"> IF(OR(ISBLANK(Table1_14[[#This Row],[Registered]]), ISBLANK(Table1_14[[#This Row],[Appeared]]), Table1_14[[#This Row],[Registered]]=0, Table1_14[[#This Row],[Appeared]]=0), "FLAG", "OK")</f>
        <v>OK</v>
      </c>
    </row>
    <row r="90" spans="1:16" x14ac:dyDescent="0.3">
      <c r="A90">
        <v>12</v>
      </c>
      <c r="B90">
        <v>2022</v>
      </c>
      <c r="C90" t="s">
        <v>16</v>
      </c>
      <c r="D90" t="s">
        <v>8</v>
      </c>
      <c r="E90">
        <v>1673</v>
      </c>
      <c r="F90">
        <v>1662</v>
      </c>
      <c r="G90">
        <v>0.99342498505678423</v>
      </c>
      <c r="H90">
        <v>6.5750149432157734E-3</v>
      </c>
      <c r="J90" t="str">
        <f>IF(Table1_14[[#This Row],[Registered]] = 0, "ABSENT", "NON_ZERO")</f>
        <v>NON_ZERO</v>
      </c>
      <c r="K90" t="str">
        <f>IF(Table1_14[[#This Row],[Registered]] = 0, "ABSENT_BASE", IF(Table1_14[[#This Row],[Registered]]&lt;100, "SMALL_BASE", "VALID_BASE"))</f>
        <v>VALID_BASE</v>
      </c>
      <c r="L90" t="str">
        <f>IF(Table1_14[[#This Row],[Registered]]=0, "ABSENT", IF(Table1_14[[#This Row],[Appearance Rate]]&lt;0.98, "LOW_RATE", IF(AND(Table1_14[[#This Row],[Appearance Rate]]=1, Table1_14[[#This Row],[Registered]]&lt;100), "SUSPICIOUS_PERFECTION", "NORMAL")))</f>
        <v>NORMAL</v>
      </c>
      <c r="M90" s="7">
        <f>Table1_14[[#This Row],[Registered]]/SUM(Table1_14[Registered])</f>
        <v>1.1627607958482559E-3</v>
      </c>
      <c r="N90" t="str">
        <f xml:space="preserve"> IF(OR(Table1_14[[#This Row],[Appearance Rate]]&lt;0, Table1_14[[#This Row],[Appearance Rate]]&gt;1), "FLAG", "OK")</f>
        <v>OK</v>
      </c>
      <c r="O90" t="str">
        <f xml:space="preserve"> IF(Table1_14[[#This Row],[Appeared]]&gt;Table1_14[[#This Row],[Registered]], "FLAG", "OK")</f>
        <v>OK</v>
      </c>
      <c r="P90" t="str">
        <f xml:space="preserve"> IF(OR(ISBLANK(Table1_14[[#This Row],[Registered]]), ISBLANK(Table1_14[[#This Row],[Appeared]]), Table1_14[[#This Row],[Registered]]=0, Table1_14[[#This Row],[Appeared]]=0), "FLAG", "OK")</f>
        <v>OK</v>
      </c>
    </row>
    <row r="91" spans="1:16" x14ac:dyDescent="0.3">
      <c r="A91">
        <v>12</v>
      </c>
      <c r="B91">
        <v>2022</v>
      </c>
      <c r="C91" t="s">
        <v>16</v>
      </c>
      <c r="D91" t="s">
        <v>9</v>
      </c>
      <c r="E91">
        <v>4859</v>
      </c>
      <c r="F91">
        <v>4849</v>
      </c>
      <c r="G91">
        <v>0.99794196336694796</v>
      </c>
      <c r="H91">
        <v>2.0580366330520405E-3</v>
      </c>
      <c r="J91" t="str">
        <f>IF(Table1_14[[#This Row],[Registered]] = 0, "ABSENT", "NON_ZERO")</f>
        <v>NON_ZERO</v>
      </c>
      <c r="K91" t="str">
        <f>IF(Table1_14[[#This Row],[Registered]] = 0, "ABSENT_BASE", IF(Table1_14[[#This Row],[Registered]]&lt;100, "SMALL_BASE", "VALID_BASE"))</f>
        <v>VALID_BASE</v>
      </c>
      <c r="L91" t="str">
        <f>IF(Table1_14[[#This Row],[Registered]]=0, "ABSENT", IF(Table1_14[[#This Row],[Appearance Rate]]&lt;0.98, "LOW_RATE", IF(AND(Table1_14[[#This Row],[Appearance Rate]]=1, Table1_14[[#This Row],[Registered]]&lt;100), "SUSPICIOUS_PERFECTION", "NORMAL")))</f>
        <v>NORMAL</v>
      </c>
      <c r="M91" s="7">
        <f>Table1_14[[#This Row],[Registered]]/SUM(Table1_14[Registered])</f>
        <v>3.3770799205180366E-3</v>
      </c>
      <c r="N91" t="str">
        <f xml:space="preserve"> IF(OR(Table1_14[[#This Row],[Appearance Rate]]&lt;0, Table1_14[[#This Row],[Appearance Rate]]&gt;1), "FLAG", "OK")</f>
        <v>OK</v>
      </c>
      <c r="O91" t="str">
        <f xml:space="preserve"> IF(Table1_14[[#This Row],[Appeared]]&gt;Table1_14[[#This Row],[Registered]], "FLAG", "OK")</f>
        <v>OK</v>
      </c>
      <c r="P91" t="str">
        <f xml:space="preserve"> IF(OR(ISBLANK(Table1_14[[#This Row],[Registered]]), ISBLANK(Table1_14[[#This Row],[Appeared]]), Table1_14[[#This Row],[Registered]]=0, Table1_14[[#This Row],[Appeared]]=0), "FLAG", "OK")</f>
        <v>OK</v>
      </c>
    </row>
    <row r="92" spans="1:16" x14ac:dyDescent="0.3">
      <c r="A92">
        <v>12</v>
      </c>
      <c r="B92">
        <v>2022</v>
      </c>
      <c r="C92" t="s">
        <v>25</v>
      </c>
      <c r="D92" t="s">
        <v>4</v>
      </c>
      <c r="E92">
        <v>0</v>
      </c>
      <c r="F92">
        <v>0</v>
      </c>
      <c r="I92" t="s">
        <v>35</v>
      </c>
      <c r="J92" t="str">
        <f>IF(Table1_14[[#This Row],[Registered]] = 0, "ABSENT", "NON_ZERO")</f>
        <v>ABSENT</v>
      </c>
      <c r="K92" t="str">
        <f>IF(Table1_14[[#This Row],[Registered]] = 0, "ABSENT_BASE", IF(Table1_14[[#This Row],[Registered]]&lt;100, "SMALL_BASE", "VALID_BASE"))</f>
        <v>ABSENT_BASE</v>
      </c>
      <c r="L92" t="str">
        <f>IF(Table1_14[[#This Row],[Registered]]=0, "ABSENT", IF(Table1_14[[#This Row],[Appearance Rate]]&lt;0.98, "LOW_RATE", IF(AND(Table1_14[[#This Row],[Appearance Rate]]=1, Table1_14[[#This Row],[Registered]]&lt;100), "SUSPICIOUS_PERFECTION", "NORMAL")))</f>
        <v>ABSENT</v>
      </c>
      <c r="M92" s="7">
        <f>Table1_14[[#This Row],[Registered]]/SUM(Table1_14[Registered])</f>
        <v>0</v>
      </c>
      <c r="N92" t="str">
        <f xml:space="preserve"> IF(OR(Table1_14[[#This Row],[Appearance Rate]]&lt;0, Table1_14[[#This Row],[Appearance Rate]]&gt;1), "FLAG", "OK")</f>
        <v>OK</v>
      </c>
      <c r="O92" t="str">
        <f xml:space="preserve"> IF(Table1_14[[#This Row],[Appeared]]&gt;Table1_14[[#This Row],[Registered]], "FLAG", "OK")</f>
        <v>OK</v>
      </c>
      <c r="P92" t="str">
        <f xml:space="preserve"> IF(OR(ISBLANK(Table1_14[[#This Row],[Registered]]), ISBLANK(Table1_14[[#This Row],[Appeared]]), Table1_14[[#This Row],[Registered]]=0, Table1_14[[#This Row],[Appeared]]=0), "FLAG", "OK")</f>
        <v>FLAG</v>
      </c>
    </row>
    <row r="93" spans="1:16" x14ac:dyDescent="0.3">
      <c r="A93">
        <v>12</v>
      </c>
      <c r="B93">
        <v>2022</v>
      </c>
      <c r="C93" t="s">
        <v>25</v>
      </c>
      <c r="D93" t="s">
        <v>5</v>
      </c>
      <c r="E93">
        <v>82</v>
      </c>
      <c r="F93">
        <v>82</v>
      </c>
      <c r="G93">
        <v>1</v>
      </c>
      <c r="H93">
        <v>0</v>
      </c>
      <c r="J93" t="str">
        <f>IF(Table1_14[[#This Row],[Registered]] = 0, "ABSENT", "NON_ZERO")</f>
        <v>NON_ZERO</v>
      </c>
      <c r="K93" t="str">
        <f>IF(Table1_14[[#This Row],[Registered]] = 0, "ABSENT_BASE", IF(Table1_14[[#This Row],[Registered]]&lt;100, "SMALL_BASE", "VALID_BASE"))</f>
        <v>SMALL_BASE</v>
      </c>
      <c r="L93" t="str">
        <f>IF(Table1_14[[#This Row],[Registered]]=0, "ABSENT", IF(Table1_14[[#This Row],[Appearance Rate]]&lt;0.98, "LOW_RATE", IF(AND(Table1_14[[#This Row],[Appearance Rate]]=1, Table1_14[[#This Row],[Registered]]&lt;100), "SUSPICIOUS_PERFECTION", "NORMAL")))</f>
        <v>SUSPICIOUS_PERFECTION</v>
      </c>
      <c r="M93" s="7">
        <f>Table1_14[[#This Row],[Registered]]/SUM(Table1_14[Registered])</f>
        <v>5.6991264351199632E-5</v>
      </c>
      <c r="N93" t="str">
        <f xml:space="preserve"> IF(OR(Table1_14[[#This Row],[Appearance Rate]]&lt;0, Table1_14[[#This Row],[Appearance Rate]]&gt;1), "FLAG", "OK")</f>
        <v>OK</v>
      </c>
      <c r="O93" t="str">
        <f xml:space="preserve"> IF(Table1_14[[#This Row],[Appeared]]&gt;Table1_14[[#This Row],[Registered]], "FLAG", "OK")</f>
        <v>OK</v>
      </c>
      <c r="P93" t="str">
        <f xml:space="preserve"> IF(OR(ISBLANK(Table1_14[[#This Row],[Registered]]), ISBLANK(Table1_14[[#This Row],[Appeared]]), Table1_14[[#This Row],[Registered]]=0, Table1_14[[#This Row],[Appeared]]=0), "FLAG", "OK")</f>
        <v>OK</v>
      </c>
    </row>
    <row r="94" spans="1:16" x14ac:dyDescent="0.3">
      <c r="A94">
        <v>12</v>
      </c>
      <c r="B94">
        <v>2022</v>
      </c>
      <c r="C94" t="s">
        <v>25</v>
      </c>
      <c r="D94" t="s">
        <v>6</v>
      </c>
      <c r="E94">
        <v>0</v>
      </c>
      <c r="F94">
        <v>0</v>
      </c>
      <c r="I94" t="s">
        <v>35</v>
      </c>
      <c r="J94" t="str">
        <f>IF(Table1_14[[#This Row],[Registered]] = 0, "ABSENT", "NON_ZERO")</f>
        <v>ABSENT</v>
      </c>
      <c r="K94" t="str">
        <f>IF(Table1_14[[#This Row],[Registered]] = 0, "ABSENT_BASE", IF(Table1_14[[#This Row],[Registered]]&lt;100, "SMALL_BASE", "VALID_BASE"))</f>
        <v>ABSENT_BASE</v>
      </c>
      <c r="L94" t="str">
        <f>IF(Table1_14[[#This Row],[Registered]]=0, "ABSENT", IF(Table1_14[[#This Row],[Appearance Rate]]&lt;0.98, "LOW_RATE", IF(AND(Table1_14[[#This Row],[Appearance Rate]]=1, Table1_14[[#This Row],[Registered]]&lt;100), "SUSPICIOUS_PERFECTION", "NORMAL")))</f>
        <v>ABSENT</v>
      </c>
      <c r="M94" s="7">
        <f>Table1_14[[#This Row],[Registered]]/SUM(Table1_14[Registered])</f>
        <v>0</v>
      </c>
      <c r="N94" t="str">
        <f xml:space="preserve"> IF(OR(Table1_14[[#This Row],[Appearance Rate]]&lt;0, Table1_14[[#This Row],[Appearance Rate]]&gt;1), "FLAG", "OK")</f>
        <v>OK</v>
      </c>
      <c r="O94" t="str">
        <f xml:space="preserve"> IF(Table1_14[[#This Row],[Appeared]]&gt;Table1_14[[#This Row],[Registered]], "FLAG", "OK")</f>
        <v>OK</v>
      </c>
      <c r="P94" t="str">
        <f xml:space="preserve"> IF(OR(ISBLANK(Table1_14[[#This Row],[Registered]]), ISBLANK(Table1_14[[#This Row],[Appeared]]), Table1_14[[#This Row],[Registered]]=0, Table1_14[[#This Row],[Appeared]]=0), "FLAG", "OK")</f>
        <v>FLAG</v>
      </c>
    </row>
    <row r="95" spans="1:16" x14ac:dyDescent="0.3">
      <c r="A95">
        <v>12</v>
      </c>
      <c r="B95">
        <v>2022</v>
      </c>
      <c r="C95" t="s">
        <v>25</v>
      </c>
      <c r="D95" t="s">
        <v>7</v>
      </c>
      <c r="E95">
        <v>33500</v>
      </c>
      <c r="F95">
        <v>33462</v>
      </c>
      <c r="G95">
        <v>0.99886567164179108</v>
      </c>
      <c r="H95">
        <v>1.1343283582089247E-3</v>
      </c>
      <c r="J95" t="str">
        <f>IF(Table1_14[[#This Row],[Registered]] = 0, "ABSENT", "NON_ZERO")</f>
        <v>NON_ZERO</v>
      </c>
      <c r="K95" t="str">
        <f>IF(Table1_14[[#This Row],[Registered]] = 0, "ABSENT_BASE", IF(Table1_14[[#This Row],[Registered]]&lt;100, "SMALL_BASE", "VALID_BASE"))</f>
        <v>VALID_BASE</v>
      </c>
      <c r="L95" t="str">
        <f>IF(Table1_14[[#This Row],[Registered]]=0, "ABSENT", IF(Table1_14[[#This Row],[Appearance Rate]]&lt;0.98, "LOW_RATE", IF(AND(Table1_14[[#This Row],[Appearance Rate]]=1, Table1_14[[#This Row],[Registered]]&lt;100), "SUSPICIOUS_PERFECTION", "NORMAL")))</f>
        <v>NORMAL</v>
      </c>
      <c r="M95" s="7">
        <f>Table1_14[[#This Row],[Registered]]/SUM(Table1_14[Registered])</f>
        <v>2.32830165337218E-2</v>
      </c>
      <c r="N95" t="str">
        <f xml:space="preserve"> IF(OR(Table1_14[[#This Row],[Appearance Rate]]&lt;0, Table1_14[[#This Row],[Appearance Rate]]&gt;1), "FLAG", "OK")</f>
        <v>OK</v>
      </c>
      <c r="O95" t="str">
        <f xml:space="preserve"> IF(Table1_14[[#This Row],[Appeared]]&gt;Table1_14[[#This Row],[Registered]], "FLAG", "OK")</f>
        <v>OK</v>
      </c>
      <c r="P95" t="str">
        <f xml:space="preserve"> IF(OR(ISBLANK(Table1_14[[#This Row],[Registered]]), ISBLANK(Table1_14[[#This Row],[Appeared]]), Table1_14[[#This Row],[Registered]]=0, Table1_14[[#This Row],[Appeared]]=0), "FLAG", "OK")</f>
        <v>OK</v>
      </c>
    </row>
    <row r="96" spans="1:16" x14ac:dyDescent="0.3">
      <c r="A96">
        <v>12</v>
      </c>
      <c r="B96">
        <v>2022</v>
      </c>
      <c r="C96" t="s">
        <v>25</v>
      </c>
      <c r="D96" t="s">
        <v>8</v>
      </c>
      <c r="E96">
        <v>973</v>
      </c>
      <c r="F96">
        <v>972</v>
      </c>
      <c r="G96">
        <v>0.99897225077081198</v>
      </c>
      <c r="H96">
        <v>1.0277492291880241E-3</v>
      </c>
      <c r="J96" t="str">
        <f>IF(Table1_14[[#This Row],[Registered]] = 0, "ABSENT", "NON_ZERO")</f>
        <v>NON_ZERO</v>
      </c>
      <c r="K96" t="str">
        <f>IF(Table1_14[[#This Row],[Registered]] = 0, "ABSENT_BASE", IF(Table1_14[[#This Row],[Registered]]&lt;100, "SMALL_BASE", "VALID_BASE"))</f>
        <v>VALID_BASE</v>
      </c>
      <c r="L96" t="str">
        <f>IF(Table1_14[[#This Row],[Registered]]=0, "ABSENT", IF(Table1_14[[#This Row],[Appearance Rate]]&lt;0.98, "LOW_RATE", IF(AND(Table1_14[[#This Row],[Appearance Rate]]=1, Table1_14[[#This Row],[Registered]]&lt;100), "SUSPICIOUS_PERFECTION", "NORMAL")))</f>
        <v>NORMAL</v>
      </c>
      <c r="M96" s="7">
        <f>Table1_14[[#This Row],[Registered]]/SUM(Table1_14[Registered])</f>
        <v>6.7625000260630784E-4</v>
      </c>
      <c r="N96" t="str">
        <f xml:space="preserve"> IF(OR(Table1_14[[#This Row],[Appearance Rate]]&lt;0, Table1_14[[#This Row],[Appearance Rate]]&gt;1), "FLAG", "OK")</f>
        <v>OK</v>
      </c>
      <c r="O96" t="str">
        <f xml:space="preserve"> IF(Table1_14[[#This Row],[Appeared]]&gt;Table1_14[[#This Row],[Registered]], "FLAG", "OK")</f>
        <v>OK</v>
      </c>
      <c r="P96" t="str">
        <f xml:space="preserve"> IF(OR(ISBLANK(Table1_14[[#This Row],[Registered]]), ISBLANK(Table1_14[[#This Row],[Appeared]]), Table1_14[[#This Row],[Registered]]=0, Table1_14[[#This Row],[Appeared]]=0), "FLAG", "OK")</f>
        <v>OK</v>
      </c>
    </row>
    <row r="97" spans="1:16" x14ac:dyDescent="0.3">
      <c r="A97">
        <v>12</v>
      </c>
      <c r="B97">
        <v>2022</v>
      </c>
      <c r="C97" t="s">
        <v>25</v>
      </c>
      <c r="D97" t="s">
        <v>9</v>
      </c>
      <c r="E97">
        <v>3666</v>
      </c>
      <c r="F97">
        <v>3661</v>
      </c>
      <c r="G97">
        <v>0.9986361156573923</v>
      </c>
      <c r="H97">
        <v>1.3638843426077019E-3</v>
      </c>
      <c r="J97" t="str">
        <f>IF(Table1_14[[#This Row],[Registered]] = 0, "ABSENT", "NON_ZERO")</f>
        <v>NON_ZERO</v>
      </c>
      <c r="K97" t="str">
        <f>IF(Table1_14[[#This Row],[Registered]] = 0, "ABSENT_BASE", IF(Table1_14[[#This Row],[Registered]]&lt;100, "SMALL_BASE", "VALID_BASE"))</f>
        <v>VALID_BASE</v>
      </c>
      <c r="L97" t="str">
        <f>IF(Table1_14[[#This Row],[Registered]]=0, "ABSENT", IF(Table1_14[[#This Row],[Appearance Rate]]&lt;0.98, "LOW_RATE", IF(AND(Table1_14[[#This Row],[Appearance Rate]]=1, Table1_14[[#This Row],[Registered]]&lt;100), "SUSPICIOUS_PERFECTION", "NORMAL")))</f>
        <v>NORMAL</v>
      </c>
      <c r="M97" s="7">
        <f>Table1_14[[#This Row],[Registered]]/SUM(Table1_14[Registered])</f>
        <v>2.5479265257499738E-3</v>
      </c>
      <c r="N97" t="str">
        <f xml:space="preserve"> IF(OR(Table1_14[[#This Row],[Appearance Rate]]&lt;0, Table1_14[[#This Row],[Appearance Rate]]&gt;1), "FLAG", "OK")</f>
        <v>OK</v>
      </c>
      <c r="O97" t="str">
        <f xml:space="preserve"> IF(Table1_14[[#This Row],[Appeared]]&gt;Table1_14[[#This Row],[Registered]], "FLAG", "OK")</f>
        <v>OK</v>
      </c>
      <c r="P97" t="str">
        <f xml:space="preserve"> IF(OR(ISBLANK(Table1_14[[#This Row],[Registered]]), ISBLANK(Table1_14[[#This Row],[Appeared]]), Table1_14[[#This Row],[Registered]]=0, Table1_14[[#This Row],[Appeared]]=0), "FLAG", "OK")</f>
        <v>OK</v>
      </c>
    </row>
    <row r="98" spans="1:16" x14ac:dyDescent="0.3">
      <c r="M98" s="7">
        <f xml:space="preserve"> SUM(Table1_14[Coverage Share])</f>
        <v>0.99999999999999978</v>
      </c>
    </row>
  </sheetData>
  <phoneticPr fontId="18" type="noConversion"/>
  <pageMargins left="0.7" right="0.7" top="0.75" bottom="0.75" header="0.3" footer="0.3"/>
  <pageSetup orientation="portrait"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1473FA-742D-470F-A214-145556EB5BD1}">
  <dimension ref="A3:D8"/>
  <sheetViews>
    <sheetView topLeftCell="A2" zoomScale="83" workbookViewId="0">
      <selection activeCell="I23" sqref="I23"/>
    </sheetView>
  </sheetViews>
  <sheetFormatPr defaultRowHeight="14.4" x14ac:dyDescent="0.3"/>
  <cols>
    <col min="1" max="1" width="28.109375" bestFit="1" customWidth="1"/>
    <col min="2" max="2" width="16.33203125" bestFit="1" customWidth="1"/>
    <col min="3" max="3" width="4" bestFit="1" customWidth="1"/>
    <col min="4" max="4" width="10.5546875" bestFit="1" customWidth="1"/>
  </cols>
  <sheetData>
    <row r="3" spans="1:4" x14ac:dyDescent="0.3">
      <c r="A3" s="1" t="s">
        <v>86</v>
      </c>
      <c r="B3" s="1" t="s">
        <v>85</v>
      </c>
    </row>
    <row r="4" spans="1:4" x14ac:dyDescent="0.3">
      <c r="A4" s="1" t="s">
        <v>36</v>
      </c>
      <c r="B4" t="s">
        <v>76</v>
      </c>
      <c r="C4" t="s">
        <v>75</v>
      </c>
      <c r="D4" t="s">
        <v>37</v>
      </c>
    </row>
    <row r="5" spans="1:4" x14ac:dyDescent="0.3">
      <c r="A5" s="2" t="s">
        <v>74</v>
      </c>
      <c r="B5" s="16">
        <v>22</v>
      </c>
      <c r="C5" s="16">
        <v>74</v>
      </c>
      <c r="D5" s="16">
        <v>96</v>
      </c>
    </row>
    <row r="6" spans="1:4" x14ac:dyDescent="0.3">
      <c r="A6" s="2" t="s">
        <v>72</v>
      </c>
      <c r="B6" s="16">
        <v>0</v>
      </c>
      <c r="C6" s="16">
        <v>96</v>
      </c>
      <c r="D6" s="16">
        <v>96</v>
      </c>
    </row>
    <row r="7" spans="1:4" x14ac:dyDescent="0.3">
      <c r="A7" s="2" t="s">
        <v>73</v>
      </c>
      <c r="B7" s="16">
        <v>0</v>
      </c>
      <c r="C7" s="16">
        <v>96</v>
      </c>
      <c r="D7" s="16">
        <v>96</v>
      </c>
    </row>
    <row r="8" spans="1:4" x14ac:dyDescent="0.3">
      <c r="A8" s="2" t="s">
        <v>37</v>
      </c>
      <c r="B8" s="16">
        <v>22</v>
      </c>
      <c r="C8" s="16">
        <v>266</v>
      </c>
      <c r="D8" s="16">
        <v>288</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D75B1D-1FDF-417E-BB4A-98B8454A3AC4}">
  <dimension ref="A3:B7"/>
  <sheetViews>
    <sheetView topLeftCell="A2" workbookViewId="0">
      <selection activeCell="F5" sqref="F5"/>
    </sheetView>
  </sheetViews>
  <sheetFormatPr defaultRowHeight="14.4" x14ac:dyDescent="0.3"/>
  <cols>
    <col min="1" max="1" width="12.44140625" bestFit="1" customWidth="1"/>
    <col min="2" max="2" width="16" bestFit="1" customWidth="1"/>
  </cols>
  <sheetData>
    <row r="3" spans="1:2" x14ac:dyDescent="0.3">
      <c r="A3" s="1" t="s">
        <v>36</v>
      </c>
      <c r="B3" t="s">
        <v>87</v>
      </c>
    </row>
    <row r="4" spans="1:2" x14ac:dyDescent="0.3">
      <c r="A4" s="2" t="s">
        <v>79</v>
      </c>
      <c r="B4" s="16">
        <v>22</v>
      </c>
    </row>
    <row r="5" spans="1:2" x14ac:dyDescent="0.3">
      <c r="A5" s="2" t="s">
        <v>82</v>
      </c>
      <c r="B5" s="16">
        <v>9</v>
      </c>
    </row>
    <row r="6" spans="1:2" x14ac:dyDescent="0.3">
      <c r="A6" s="2" t="s">
        <v>80</v>
      </c>
      <c r="B6" s="16">
        <v>65</v>
      </c>
    </row>
    <row r="7" spans="1:2" x14ac:dyDescent="0.3">
      <c r="A7" s="2" t="s">
        <v>37</v>
      </c>
      <c r="B7" s="16">
        <v>96</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D2909B-2A85-4DEC-B8E2-381B10B05004}">
  <dimension ref="A3:B8"/>
  <sheetViews>
    <sheetView workbookViewId="0">
      <selection activeCell="E5" sqref="E5"/>
    </sheetView>
  </sheetViews>
  <sheetFormatPr defaultRowHeight="14.4" x14ac:dyDescent="0.3"/>
  <cols>
    <col min="1" max="1" width="22.5546875" bestFit="1" customWidth="1"/>
    <col min="2" max="2" width="19.33203125" bestFit="1" customWidth="1"/>
  </cols>
  <sheetData>
    <row r="3" spans="1:2" x14ac:dyDescent="0.3">
      <c r="A3" s="1" t="s">
        <v>36</v>
      </c>
      <c r="B3" t="s">
        <v>88</v>
      </c>
    </row>
    <row r="4" spans="1:2" x14ac:dyDescent="0.3">
      <c r="A4" s="2" t="s">
        <v>35</v>
      </c>
      <c r="B4" s="16">
        <v>22</v>
      </c>
    </row>
    <row r="5" spans="1:2" x14ac:dyDescent="0.3">
      <c r="A5" s="2" t="s">
        <v>84</v>
      </c>
      <c r="B5" s="16">
        <v>2</v>
      </c>
    </row>
    <row r="6" spans="1:2" x14ac:dyDescent="0.3">
      <c r="A6" s="2" t="s">
        <v>81</v>
      </c>
      <c r="B6" s="16">
        <v>65</v>
      </c>
    </row>
    <row r="7" spans="1:2" x14ac:dyDescent="0.3">
      <c r="A7" s="2" t="s">
        <v>83</v>
      </c>
      <c r="B7" s="16">
        <v>7</v>
      </c>
    </row>
    <row r="8" spans="1:2" x14ac:dyDescent="0.3">
      <c r="A8" s="2" t="s">
        <v>37</v>
      </c>
      <c r="B8" s="16">
        <v>96</v>
      </c>
    </row>
  </sheetData>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55FE24-4DCC-4510-88E2-34A35A92FA14}">
  <dimension ref="A3:C9"/>
  <sheetViews>
    <sheetView zoomScale="88" workbookViewId="0">
      <selection activeCell="D4" sqref="D4"/>
    </sheetView>
  </sheetViews>
  <sheetFormatPr defaultRowHeight="14.4" x14ac:dyDescent="0.3"/>
  <cols>
    <col min="1" max="1" width="12.88671875" bestFit="1" customWidth="1"/>
    <col min="2" max="2" width="24.33203125" bestFit="1" customWidth="1"/>
    <col min="3" max="3" width="25" bestFit="1" customWidth="1"/>
  </cols>
  <sheetData>
    <row r="3" spans="1:3" x14ac:dyDescent="0.3">
      <c r="A3" s="12" t="s">
        <v>29</v>
      </c>
      <c r="B3" s="12" t="s">
        <v>68</v>
      </c>
      <c r="C3" s="13" t="s">
        <v>71</v>
      </c>
    </row>
    <row r="4" spans="1:3" x14ac:dyDescent="0.3">
      <c r="A4" s="14" t="s">
        <v>4</v>
      </c>
      <c r="B4" s="15">
        <v>8.0140564981311131E-3</v>
      </c>
      <c r="C4" s="15">
        <v>1.9417475728155331E-2</v>
      </c>
    </row>
    <row r="5" spans="1:3" x14ac:dyDescent="0.3">
      <c r="A5" s="14" t="s">
        <v>5</v>
      </c>
      <c r="B5" s="15">
        <v>1.2089637108015959E-2</v>
      </c>
      <c r="C5" s="15">
        <v>4.7904191616766512E-2</v>
      </c>
    </row>
    <row r="6" spans="1:3" x14ac:dyDescent="0.3">
      <c r="A6" s="14" t="s">
        <v>6</v>
      </c>
      <c r="B6" s="15">
        <v>3.7526405686020619E-3</v>
      </c>
      <c r="C6" s="15">
        <v>9.8039215686274161E-3</v>
      </c>
    </row>
    <row r="7" spans="1:3" x14ac:dyDescent="0.3">
      <c r="A7" s="14" t="s">
        <v>7</v>
      </c>
      <c r="B7" s="15">
        <v>2.9169464951935668E-3</v>
      </c>
      <c r="C7" s="15">
        <v>9.9945802344320045E-3</v>
      </c>
    </row>
    <row r="8" spans="1:3" x14ac:dyDescent="0.3">
      <c r="A8" s="14" t="s">
        <v>8</v>
      </c>
      <c r="B8" s="15">
        <v>3.9583342764695738E-3</v>
      </c>
      <c r="C8" s="15">
        <v>1.2125220458553798E-2</v>
      </c>
    </row>
    <row r="9" spans="1:3" x14ac:dyDescent="0.3">
      <c r="A9" s="14" t="s">
        <v>9</v>
      </c>
      <c r="B9" s="15">
        <v>9.2514702364829347E-4</v>
      </c>
      <c r="C9" s="15">
        <v>3.9532202273101502E-3</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2B927-7CCF-43BF-88A0-70031DC8DA25}">
  <dimension ref="A1:B12"/>
  <sheetViews>
    <sheetView zoomScale="65" workbookViewId="0">
      <selection activeCell="I6" sqref="I6"/>
    </sheetView>
  </sheetViews>
  <sheetFormatPr defaultRowHeight="14.4" x14ac:dyDescent="0.3"/>
  <cols>
    <col min="1" max="1" width="14.109375" bestFit="1" customWidth="1"/>
    <col min="2" max="2" width="16" bestFit="1" customWidth="1"/>
  </cols>
  <sheetData>
    <row r="1" spans="1:2" x14ac:dyDescent="0.3">
      <c r="A1" s="1" t="s">
        <v>39</v>
      </c>
      <c r="B1" t="s">
        <v>40</v>
      </c>
    </row>
    <row r="3" spans="1:2" x14ac:dyDescent="0.3">
      <c r="A3" s="1" t="s">
        <v>36</v>
      </c>
      <c r="B3" t="s">
        <v>38</v>
      </c>
    </row>
    <row r="4" spans="1:2" x14ac:dyDescent="0.3">
      <c r="A4" s="2" t="s">
        <v>18</v>
      </c>
      <c r="B4" s="16">
        <v>38</v>
      </c>
    </row>
    <row r="5" spans="1:2" x14ac:dyDescent="0.3">
      <c r="A5" s="3" t="s">
        <v>4</v>
      </c>
      <c r="B5" s="16">
        <v>38</v>
      </c>
    </row>
    <row r="6" spans="1:2" x14ac:dyDescent="0.3">
      <c r="A6" s="2" t="s">
        <v>19</v>
      </c>
      <c r="B6" s="16">
        <v>93</v>
      </c>
    </row>
    <row r="7" spans="1:2" x14ac:dyDescent="0.3">
      <c r="A7" s="3" t="s">
        <v>4</v>
      </c>
      <c r="B7" s="16">
        <v>93</v>
      </c>
    </row>
    <row r="8" spans="1:2" x14ac:dyDescent="0.3">
      <c r="A8" s="2" t="s">
        <v>13</v>
      </c>
      <c r="B8" s="16">
        <v>103</v>
      </c>
    </row>
    <row r="9" spans="1:2" x14ac:dyDescent="0.3">
      <c r="A9" s="3" t="s">
        <v>4</v>
      </c>
      <c r="B9" s="16">
        <v>103</v>
      </c>
    </row>
    <row r="10" spans="1:2" x14ac:dyDescent="0.3">
      <c r="A10" s="2" t="s">
        <v>26</v>
      </c>
      <c r="B10" s="16">
        <v>164</v>
      </c>
    </row>
    <row r="11" spans="1:2" x14ac:dyDescent="0.3">
      <c r="A11" s="3" t="s">
        <v>4</v>
      </c>
      <c r="B11" s="16">
        <v>164</v>
      </c>
    </row>
    <row r="12" spans="1:2" x14ac:dyDescent="0.3">
      <c r="A12" s="2" t="s">
        <v>37</v>
      </c>
      <c r="B12" s="16">
        <v>38</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FB8639-48D8-4DD6-A652-D243E2D5124C}">
  <dimension ref="A1:B7"/>
  <sheetViews>
    <sheetView workbookViewId="0">
      <selection activeCell="A17" sqref="A17"/>
    </sheetView>
  </sheetViews>
  <sheetFormatPr defaultRowHeight="14.4" x14ac:dyDescent="0.3"/>
  <cols>
    <col min="1" max="1" width="21.88671875" bestFit="1" customWidth="1"/>
  </cols>
  <sheetData>
    <row r="1" spans="1:2" x14ac:dyDescent="0.3">
      <c r="A1" s="4" t="s">
        <v>41</v>
      </c>
      <c r="B1" s="5">
        <f>_xlfn.MINIFS(fact_table!E:E,fact_table!E:E, "&gt;0")</f>
        <v>22</v>
      </c>
    </row>
    <row r="2" spans="1:2" x14ac:dyDescent="0.3">
      <c r="A2" s="4" t="s">
        <v>42</v>
      </c>
      <c r="B2" s="5" cm="1">
        <f t="array" ref="B2">_xlfn.PERCENTILE.INC(_xlfn._xlws.FILTER(fact_table!E:E, fact_table!E:E&gt;0), 0.25)</f>
        <v>1385.75</v>
      </c>
    </row>
    <row r="3" spans="1:2" x14ac:dyDescent="0.3">
      <c r="A3" s="4" t="s">
        <v>43</v>
      </c>
      <c r="B3" s="5" cm="1">
        <f t="array" ref="B3">MEDIAN(_xlfn._xlws.FILTER(fact_table!E:E, fact_table!E:E&gt;0))</f>
        <v>4067.5</v>
      </c>
    </row>
    <row r="4" spans="1:2" x14ac:dyDescent="0.3">
      <c r="A4" s="4" t="s">
        <v>44</v>
      </c>
      <c r="B4" s="5">
        <f>COUNTIFS(fact_table!E:E, "&lt;30", fact_table!E:E, "&gt;0")</f>
        <v>1</v>
      </c>
    </row>
    <row r="5" spans="1:2" x14ac:dyDescent="0.3">
      <c r="A5" s="4" t="s">
        <v>45</v>
      </c>
      <c r="B5" s="5">
        <f>COUNTIFS(fact_table!E:E, "&lt;50", fact_table!E:E, "&gt;0")</f>
        <v>2</v>
      </c>
    </row>
    <row r="6" spans="1:2" x14ac:dyDescent="0.3">
      <c r="A6" s="4" t="s">
        <v>46</v>
      </c>
      <c r="B6" s="5">
        <f>COUNTIFS(fact_table!E:E, "&lt;100", fact_table!E:E, "&gt;0")</f>
        <v>9</v>
      </c>
    </row>
    <row r="7" spans="1:2" x14ac:dyDescent="0.3">
      <c r="A7" s="4" t="s">
        <v>47</v>
      </c>
      <c r="B7" s="5">
        <f>COUNTIFS(fact_table!E:E, "&lt;1000", fact_table!E:E, "&gt;0")</f>
        <v>16</v>
      </c>
    </row>
  </sheetData>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047DEB-B6BA-4CFD-B918-8D3548B37350}">
  <dimension ref="A1:B16"/>
  <sheetViews>
    <sheetView workbookViewId="0">
      <selection activeCell="D21" sqref="D21"/>
    </sheetView>
  </sheetViews>
  <sheetFormatPr defaultRowHeight="14.4" x14ac:dyDescent="0.3"/>
  <cols>
    <col min="1" max="1" width="19.6640625" bestFit="1" customWidth="1"/>
  </cols>
  <sheetData>
    <row r="1" spans="1:2" x14ac:dyDescent="0.3">
      <c r="A1" s="5" t="s">
        <v>49</v>
      </c>
      <c r="B1" s="6">
        <f>_xlfn.MINIFS(Table1_14[Appearance Rate], Table1_14[Registered], "&gt;0")</f>
        <v>0.95209580838323349</v>
      </c>
    </row>
    <row r="2" spans="1:2" x14ac:dyDescent="0.3">
      <c r="A2" s="5" t="s">
        <v>50</v>
      </c>
      <c r="B2" s="6" cm="1">
        <f t="array" ref="B2">_xlfn.PERCENTILE.INC(_xlfn._xlws.FILTER(Table1_14[Appearance Rate], Table1_14[Registered]&gt;0), 0.25)</f>
        <v>0.99344724122732919</v>
      </c>
    </row>
    <row r="3" spans="1:2" x14ac:dyDescent="0.3">
      <c r="A3" s="5" t="s">
        <v>51</v>
      </c>
      <c r="B3" s="6" cm="1">
        <f t="array" ref="B3">MEDIAN(_xlfn._xlws.FILTER(Table1_14[Appearance Rate], Table1_14[Registered]&gt;0))</f>
        <v>0.99700623733004901</v>
      </c>
    </row>
    <row r="4" spans="1:2" x14ac:dyDescent="0.3">
      <c r="A4" s="5" t="s">
        <v>52</v>
      </c>
      <c r="B4" s="6">
        <f>COUNTIFS(Table1_14[Appearance Rate], "&lt;0.90")</f>
        <v>0</v>
      </c>
    </row>
    <row r="5" spans="1:2" x14ac:dyDescent="0.3">
      <c r="A5" s="5" t="s">
        <v>53</v>
      </c>
      <c r="B5" s="6">
        <f>COUNTIFS(Table1_14[Appearance Rate], "&lt;0.95")</f>
        <v>0</v>
      </c>
    </row>
    <row r="6" spans="1:2" x14ac:dyDescent="0.3">
      <c r="A6" s="5" t="s">
        <v>64</v>
      </c>
      <c r="B6" s="6">
        <f>COUNTIFS(Table1_14[Appearance Rate], "&lt;0.96")</f>
        <v>1</v>
      </c>
    </row>
    <row r="7" spans="1:2" x14ac:dyDescent="0.3">
      <c r="A7" s="5" t="s">
        <v>54</v>
      </c>
      <c r="B7" s="6">
        <f>COUNTIFS(Table1_14[Appearance Rate], "&lt;0.98")</f>
        <v>2</v>
      </c>
    </row>
    <row r="8" spans="1:2" x14ac:dyDescent="0.3">
      <c r="A8" s="5" t="s">
        <v>56</v>
      </c>
      <c r="B8" s="6">
        <f>COUNTIFS(Table1_14[Appearance Rate], "&lt;0.985")</f>
        <v>3</v>
      </c>
    </row>
    <row r="9" spans="1:2" x14ac:dyDescent="0.3">
      <c r="A9" s="5" t="s">
        <v>57</v>
      </c>
      <c r="B9" s="6">
        <f>COUNTIFS(Table1_14[Appearance Rate], "&lt;0.986")</f>
        <v>3</v>
      </c>
    </row>
    <row r="10" spans="1:2" x14ac:dyDescent="0.3">
      <c r="A10" s="5" t="s">
        <v>58</v>
      </c>
      <c r="B10" s="6">
        <f>COUNTIFS(Table1_14[Appearance Rate], "&lt;0.987")</f>
        <v>4</v>
      </c>
    </row>
    <row r="11" spans="1:2" x14ac:dyDescent="0.3">
      <c r="A11" s="5" t="s">
        <v>59</v>
      </c>
      <c r="B11" s="6">
        <f>COUNTIFS(Table1_14[Appearance Rate], "&lt;0.988")</f>
        <v>7</v>
      </c>
    </row>
    <row r="12" spans="1:2" x14ac:dyDescent="0.3">
      <c r="A12" s="5" t="s">
        <v>60</v>
      </c>
      <c r="B12" s="6">
        <f>COUNTIFS(Table1_14[Appearance Rate], "&lt;0.989")</f>
        <v>9</v>
      </c>
    </row>
    <row r="13" spans="1:2" x14ac:dyDescent="0.3">
      <c r="A13" s="5" t="s">
        <v>55</v>
      </c>
      <c r="B13" s="6">
        <f>COUNTIFS(Table1_14[Appearance Rate], "&lt;0.99")</f>
        <v>11</v>
      </c>
    </row>
    <row r="14" spans="1:2" x14ac:dyDescent="0.3">
      <c r="A14" s="5" t="s">
        <v>62</v>
      </c>
      <c r="B14" s="6">
        <f>COUNTBLANK(Table1_14[Appearance Rate])</f>
        <v>22</v>
      </c>
    </row>
    <row r="15" spans="1:2" x14ac:dyDescent="0.3">
      <c r="A15" s="5" t="s">
        <v>63</v>
      </c>
      <c r="B15" s="6">
        <f>COUNT(Table1_14[Appearance Rate])</f>
        <v>74</v>
      </c>
    </row>
    <row r="16" spans="1:2" x14ac:dyDescent="0.3">
      <c r="A16" s="5" t="s">
        <v>61</v>
      </c>
      <c r="B16" s="6">
        <f xml:space="preserve"> B14 + B15</f>
        <v>96</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DB7921-FF2E-4EC2-8014-E0BCA98005AF}">
  <dimension ref="A1:E10"/>
  <sheetViews>
    <sheetView zoomScale="83" workbookViewId="0">
      <selection activeCell="C21" sqref="C21"/>
    </sheetView>
  </sheetViews>
  <sheetFormatPr defaultRowHeight="14.4" x14ac:dyDescent="0.3"/>
  <cols>
    <col min="1" max="1" width="13.109375" bestFit="1" customWidth="1"/>
    <col min="2" max="2" width="26.44140625" bestFit="1" customWidth="1"/>
    <col min="3" max="3" width="19.109375" bestFit="1" customWidth="1"/>
    <col min="4" max="4" width="18.88671875" bestFit="1" customWidth="1"/>
    <col min="5" max="5" width="25.21875" bestFit="1" customWidth="1"/>
  </cols>
  <sheetData>
    <row r="1" spans="1:5" x14ac:dyDescent="0.3">
      <c r="A1" s="9" t="s">
        <v>67</v>
      </c>
    </row>
    <row r="3" spans="1:5" x14ac:dyDescent="0.3">
      <c r="A3" s="1" t="s">
        <v>36</v>
      </c>
      <c r="B3" t="s">
        <v>68</v>
      </c>
      <c r="C3" t="s">
        <v>69</v>
      </c>
      <c r="D3" t="s">
        <v>70</v>
      </c>
      <c r="E3" s="8" t="s">
        <v>71</v>
      </c>
    </row>
    <row r="4" spans="1:5" x14ac:dyDescent="0.3">
      <c r="A4" s="2" t="s">
        <v>4</v>
      </c>
      <c r="B4" s="10">
        <v>8.0140564981311131E-3</v>
      </c>
      <c r="C4" s="10">
        <v>1</v>
      </c>
      <c r="D4" s="10">
        <v>0.98058252427184467</v>
      </c>
      <c r="E4" s="10" cm="1">
        <f t="array" ref="E4:E10">C4:C10-D4:D10</f>
        <v>1.9417475728155331E-2</v>
      </c>
    </row>
    <row r="5" spans="1:5" x14ac:dyDescent="0.3">
      <c r="A5" s="2" t="s">
        <v>5</v>
      </c>
      <c r="B5" s="10">
        <v>1.2089637108015959E-2</v>
      </c>
      <c r="C5" s="10">
        <v>1</v>
      </c>
      <c r="D5" s="10">
        <v>0.95209580838323349</v>
      </c>
      <c r="E5" s="10">
        <v>4.7904191616766512E-2</v>
      </c>
    </row>
    <row r="6" spans="1:5" x14ac:dyDescent="0.3">
      <c r="A6" s="2" t="s">
        <v>6</v>
      </c>
      <c r="B6" s="10">
        <v>3.7526405686020619E-3</v>
      </c>
      <c r="C6" s="10">
        <v>1</v>
      </c>
      <c r="D6" s="10">
        <v>0.99019607843137258</v>
      </c>
      <c r="E6" s="10">
        <v>9.8039215686274161E-3</v>
      </c>
    </row>
    <row r="7" spans="1:5" x14ac:dyDescent="0.3">
      <c r="A7" s="2" t="s">
        <v>7</v>
      </c>
      <c r="B7" s="10">
        <v>2.9169464951935668E-3</v>
      </c>
      <c r="C7" s="10">
        <v>0.99886567164179108</v>
      </c>
      <c r="D7" s="10">
        <v>0.98887109140735907</v>
      </c>
      <c r="E7" s="10">
        <v>9.9945802344320045E-3</v>
      </c>
    </row>
    <row r="8" spans="1:5" x14ac:dyDescent="0.3">
      <c r="A8" s="2" t="s">
        <v>8</v>
      </c>
      <c r="B8" s="10">
        <v>3.9583342764695738E-3</v>
      </c>
      <c r="C8" s="10">
        <v>1</v>
      </c>
      <c r="D8" s="10">
        <v>0.9878747795414462</v>
      </c>
      <c r="E8" s="10">
        <v>1.2125220458553798E-2</v>
      </c>
    </row>
    <row r="9" spans="1:5" x14ac:dyDescent="0.3">
      <c r="A9" s="2" t="s">
        <v>9</v>
      </c>
      <c r="B9" s="10">
        <v>9.2514702364829347E-4</v>
      </c>
      <c r="C9" s="10">
        <v>1</v>
      </c>
      <c r="D9" s="10">
        <v>0.99604677977268985</v>
      </c>
      <c r="E9" s="10">
        <v>3.9532202273101502E-3</v>
      </c>
    </row>
    <row r="10" spans="1:5" x14ac:dyDescent="0.3">
      <c r="A10" s="2" t="s">
        <v>37</v>
      </c>
      <c r="B10" s="10">
        <v>6.732933429234012E-3</v>
      </c>
      <c r="C10" s="10">
        <v>1</v>
      </c>
      <c r="D10" s="10">
        <v>0.95209580838323349</v>
      </c>
      <c r="E10" s="11">
        <v>4.7904191616766512E-2</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94A53C-C901-4DA9-9ACE-3DA8EC1CC0B6}">
  <dimension ref="A1:S5"/>
  <sheetViews>
    <sheetView tabSelected="1" zoomScale="60" zoomScaleNormal="60" workbookViewId="0">
      <selection activeCell="H43" sqref="H43"/>
    </sheetView>
  </sheetViews>
  <sheetFormatPr defaultRowHeight="14.4" x14ac:dyDescent="0.3"/>
  <sheetData>
    <row r="1" spans="1:19" ht="14.4" customHeight="1" x14ac:dyDescent="0.3">
      <c r="A1" s="17" t="s">
        <v>89</v>
      </c>
      <c r="B1" s="17"/>
      <c r="C1" s="17"/>
      <c r="D1" s="17"/>
      <c r="E1" s="17"/>
      <c r="F1" s="17"/>
      <c r="G1" s="17"/>
      <c r="H1" s="17"/>
      <c r="I1" s="17"/>
      <c r="J1" s="17"/>
      <c r="K1" s="17"/>
      <c r="L1" s="17"/>
      <c r="M1" s="17"/>
      <c r="N1" s="17"/>
      <c r="O1" s="17"/>
      <c r="P1" s="17"/>
      <c r="Q1" s="17"/>
      <c r="R1" s="17"/>
      <c r="S1" s="17"/>
    </row>
    <row r="2" spans="1:19" ht="14.4" customHeight="1" x14ac:dyDescent="0.3">
      <c r="A2" s="17"/>
      <c r="B2" s="17"/>
      <c r="C2" s="17"/>
      <c r="D2" s="17"/>
      <c r="E2" s="17"/>
      <c r="F2" s="17"/>
      <c r="G2" s="17"/>
      <c r="H2" s="17"/>
      <c r="I2" s="17"/>
      <c r="J2" s="17"/>
      <c r="K2" s="17"/>
      <c r="L2" s="17"/>
      <c r="M2" s="17"/>
      <c r="N2" s="17"/>
      <c r="O2" s="17"/>
      <c r="P2" s="17"/>
      <c r="Q2" s="17"/>
      <c r="R2" s="17"/>
      <c r="S2" s="17"/>
    </row>
    <row r="3" spans="1:19" ht="14.4" customHeight="1" x14ac:dyDescent="0.3">
      <c r="A3" s="17"/>
      <c r="B3" s="17"/>
      <c r="C3" s="17"/>
      <c r="D3" s="17"/>
      <c r="E3" s="17"/>
      <c r="F3" s="17"/>
      <c r="G3" s="17"/>
      <c r="H3" s="17"/>
      <c r="I3" s="17"/>
      <c r="J3" s="17"/>
      <c r="K3" s="17"/>
      <c r="L3" s="17"/>
      <c r="M3" s="17"/>
      <c r="N3" s="17"/>
      <c r="O3" s="17"/>
      <c r="P3" s="17"/>
      <c r="Q3" s="17"/>
      <c r="R3" s="17"/>
      <c r="S3" s="17"/>
    </row>
    <row r="4" spans="1:19" ht="14.4" customHeight="1" x14ac:dyDescent="0.3">
      <c r="A4" s="17"/>
      <c r="B4" s="17"/>
      <c r="C4" s="17"/>
      <c r="D4" s="17"/>
      <c r="E4" s="17"/>
      <c r="F4" s="17"/>
      <c r="G4" s="17"/>
      <c r="H4" s="17"/>
      <c r="I4" s="17"/>
      <c r="J4" s="17"/>
      <c r="K4" s="17"/>
      <c r="L4" s="17"/>
      <c r="M4" s="17"/>
      <c r="N4" s="17"/>
      <c r="O4" s="17"/>
      <c r="P4" s="17"/>
      <c r="Q4" s="17"/>
      <c r="R4" s="17"/>
      <c r="S4" s="17"/>
    </row>
    <row r="5" spans="1:19" ht="14.4" customHeight="1" x14ac:dyDescent="0.3">
      <c r="A5" s="17"/>
      <c r="B5" s="17"/>
      <c r="C5" s="17"/>
      <c r="D5" s="17"/>
      <c r="E5" s="17"/>
      <c r="F5" s="17"/>
      <c r="G5" s="17"/>
      <c r="H5" s="17"/>
      <c r="I5" s="17"/>
      <c r="J5" s="17"/>
      <c r="K5" s="17"/>
      <c r="L5" s="17"/>
      <c r="M5" s="17"/>
      <c r="N5" s="17"/>
      <c r="O5" s="17"/>
      <c r="P5" s="17"/>
      <c r="Q5" s="17"/>
      <c r="R5" s="17"/>
      <c r="S5" s="17"/>
    </row>
  </sheetData>
  <mergeCells count="1">
    <mergeCell ref="A1:S5"/>
  </mergeCells>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4CD72021-4F7A-4D54-859A-40DC5420DAC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class12-2022 dataset</vt:lpstr>
      <vt:lpstr>class 12-2022 table</vt:lpstr>
      <vt:lpstr>class12-2022 result</vt:lpstr>
      <vt:lpstr>integrity_longform</vt:lpstr>
      <vt:lpstr>fact_table</vt:lpstr>
      <vt:lpstr>pivot_integrity_summary</vt:lpstr>
      <vt:lpstr>pivot_baseflag_summary</vt:lpstr>
      <vt:lpstr>pivot_anomaly_summary</vt:lpstr>
      <vt:lpstr>Charts_volatility</vt:lpstr>
      <vt:lpstr>minbase_pivot</vt:lpstr>
      <vt:lpstr>profiling_baseflag</vt:lpstr>
      <vt:lpstr>profiling_anomalyflag</vt:lpstr>
      <vt:lpstr>profiling_volatility_schooltype</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ACER</dc:creator>
  <cp:lastModifiedBy>Ritu Verma</cp:lastModifiedBy>
  <dcterms:created xsi:type="dcterms:W3CDTF">2025-11-20T13:00:21Z</dcterms:created>
  <dcterms:modified xsi:type="dcterms:W3CDTF">2025-11-29T05:57:58Z</dcterms:modified>
</cp:coreProperties>
</file>