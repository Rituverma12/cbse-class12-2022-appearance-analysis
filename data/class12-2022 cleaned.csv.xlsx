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D137A666-9412-48F2-B80D-1CFAFB4959D8}" xr6:coauthVersionLast="47" xr6:coauthVersionMax="47" xr10:uidLastSave="{00000000-0000-0000-0000-000000000000}"/>
  <bookViews>
    <workbookView xWindow="11316" yWindow="0" windowWidth="11724" windowHeight="12336" tabRatio="1000" firstSheet="3" activeTab="3" xr2:uid="{352D25E5-EE06-4DDB-99E1-3948CD812789}"/>
  </bookViews>
  <sheets>
    <sheet name="class12-2022 dataset" sheetId="1" r:id="rId1"/>
    <sheet name="class 12-2022 table" sheetId="2" r:id="rId2"/>
    <sheet name="class12-2022 result" sheetId="3" r:id="rId3"/>
    <sheet name="fact_table" sheetId="4" r:id="rId4"/>
    <sheet name="minbase_pivot" sheetId="10" r:id="rId5"/>
    <sheet name="profiling_baseflag" sheetId="11" r:id="rId6"/>
    <sheet name="profiling_anomalyflag" sheetId="12" r:id="rId7"/>
    <sheet name="profiling_volatility_schooltype" sheetId="13" r:id="rId8"/>
    <sheet name="Charts_volatility" sheetId="15" r:id="rId9"/>
  </sheets>
  <definedNames>
    <definedName name="ExternalData_1" localSheetId="2" hidden="1">'class12-2022 result'!$A$1:$I$97</definedName>
    <definedName name="ExternalData_1" localSheetId="3" hidden="1">fact_table!$A$1:$I$97</definedName>
    <definedName name="Slicer_School_Type">#N/A</definedName>
  </definedNames>
  <calcPr calcId="191029"/>
  <pivotCaches>
    <pivotCache cacheId="0"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4" l="1"/>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O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E4" i="13" a="1"/>
  <c r="E4" i="13" s="1"/>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B15" i="12"/>
  <c r="B14" i="12"/>
  <c r="B6" i="12"/>
  <c r="B13" i="12"/>
  <c r="B12" i="12"/>
  <c r="B11" i="12"/>
  <c r="B10" i="12"/>
  <c r="B9" i="12"/>
  <c r="B8" i="12"/>
  <c r="B7" i="12"/>
  <c r="B5" i="12"/>
  <c r="B4" i="12"/>
  <c r="B3" i="12" a="1"/>
  <c r="B3" i="12" s="1"/>
  <c r="B2" i="12" a="1"/>
  <c r="B2" i="12" s="1"/>
  <c r="B1" i="12"/>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M98" i="4" l="1"/>
  <c r="B16"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<sst xmlns="http://schemas.openxmlformats.org/spreadsheetml/2006/main" count="683" uniqueCount="75">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</sst>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0" fontId="0" fillId="35" borderId="0" xfId="0" applyFill="1"/>
    <xf numFmtId="10" fontId="0" fillId="0" borderId="0" xfId="0" applyNumberFormat="1"/>
    <xf numFmtId="0" fontId="16" fillId="36" borderId="10" xfId="0" applyFont="1" applyFill="1" applyBorder="1"/>
    <xf numFmtId="0" fontId="0" fillId="37" borderId="0" xfId="0" applyFill="1"/>
    <xf numFmtId="164" fontId="0" fillId="0" borderId="0" xfId="0" applyNumberFormat="1"/>
    <xf numFmtId="164" fontId="16" fillId="36" borderId="10" xfId="0" applyNumberFormat="1" applyFont="1" applyFill="1" applyBorder="1"/>
    <xf numFmtId="0" fontId="16" fillId="0" borderId="11" xfId="0" applyFont="1" applyBorder="1"/>
    <xf numFmtId="0" fontId="16" fillId="38" borderId="11" xfId="0" applyFont="1" applyFill="1" applyBorder="1"/>
    <xf numFmtId="0" fontId="0" fillId="0" borderId="11" xfId="0" applyBorder="1" applyAlignment="1">
      <alignment horizontal="left"/>
    </xf>
    <xf numFmtId="164" fontId="0" fillId="0" borderId="11" xfId="0" applyNumberFormat="1" applyBorder="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0" formatCode="General"/>
    </dxf>
    <dxf>
      <numFmt numFmtId="14" formatCode="0.00%"/>
    </dxf>
    <dxf>
      <numFmt numFmtId="0" formatCode="General"/>
    </dxf>
    <dxf>
      <numFmt numFmtId="0" formatCode="General"/>
    </dxf>
    <dxf>
      <numFmt numFmtId="164" formatCode="0.0000"/>
    </dxf>
    <dxf>
      <numFmt numFmtId="164" formatCode="0.0000"/>
    </dxf>
    <dxf>
      <numFmt numFmtId="164" formatCode="0.0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7620</xdr:colOff>
      <xdr:row>1</xdr:row>
      <xdr:rowOff>0</xdr:rowOff>
    </xdr:from>
    <xdr:to>
      <xdr:col>7</xdr:col>
      <xdr:colOff>7620</xdr:colOff>
      <xdr:row>15</xdr:row>
      <xdr:rowOff>20955</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215640" y="182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82.758306365744" createdVersion="8" refreshedVersion="8" minRefreshableVersion="3" recordCount="96" xr:uid="{909D199C-A61F-4C6C-BE2E-A101142EDBF1}">
  <cacheSource type="worksheet">
    <worksheetSource name="Table1_14"/>
  </cacheSource>
  <cacheFields count="10">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ount="75">
        <n v="0"/>
        <n v="4533"/>
        <n v="86178"/>
        <n v="3741"/>
        <n v="7736"/>
        <n v="93"/>
        <n v="70"/>
        <n v="12262"/>
        <n v="1901"/>
        <n v="2363"/>
        <n v="3180"/>
        <n v="60352"/>
        <n v="3640"/>
        <n v="7807"/>
        <n v="103"/>
        <n v="7746"/>
        <n v="69835"/>
        <n v="3823"/>
        <n v="11465"/>
        <n v="13060"/>
        <n v="55"/>
        <n v="89637"/>
        <n v="2549"/>
        <n v="5861"/>
        <n v="3565"/>
        <n v="67799"/>
        <n v="1646"/>
        <n v="6713"/>
        <n v="164"/>
        <n v="1555"/>
        <n v="22"/>
        <n v="62473"/>
        <n v="1120"/>
        <n v="4312"/>
        <n v="100216"/>
        <n v="6420"/>
        <n v="64953"/>
        <n v="81"/>
        <n v="6669"/>
        <n v="69504"/>
        <n v="7775"/>
        <n v="40461"/>
        <n v="65"/>
        <n v="2872"/>
        <n v="20672"/>
        <n v="102"/>
        <n v="20768"/>
        <n v="4536"/>
        <n v="6071"/>
        <n v="278"/>
        <n v="921"/>
        <n v="100688"/>
        <n v="1069"/>
        <n v="4480"/>
        <n v="38"/>
        <n v="357"/>
        <n v="118675"/>
        <n v="2231"/>
        <n v="3615"/>
        <n v="84"/>
        <n v="84716"/>
        <n v="3714"/>
        <n v="5409"/>
        <n v="1336"/>
        <n v="131729"/>
        <n v="3184"/>
        <n v="8680"/>
        <n v="1535"/>
        <n v="22801"/>
        <n v="1673"/>
        <n v="4859"/>
        <n v="82"/>
        <n v="33500"/>
        <n v="973"/>
        <n v="3666"/>
      </sharedItems>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x v="0"/>
    <n v="0"/>
    <m/>
    <m/>
    <s v="ABSENT"/>
    <x v="0"/>
  </r>
  <r>
    <n v="12"/>
    <n v="2022"/>
    <x v="0"/>
    <x v="1"/>
    <x v="1"/>
    <n v="4524"/>
    <n v="0.99801455989410981"/>
    <n v="1.9854401058901905E-3"/>
    <m/>
    <x v="1"/>
  </r>
  <r>
    <n v="12"/>
    <n v="2022"/>
    <x v="0"/>
    <x v="2"/>
    <x v="0"/>
    <n v="0"/>
    <m/>
    <m/>
    <s v="ABSENT"/>
    <x v="0"/>
  </r>
  <r>
    <n v="12"/>
    <n v="2022"/>
    <x v="0"/>
    <x v="3"/>
    <x v="2"/>
    <n v="85839"/>
    <n v="0.99606628141753117"/>
    <n v="3.9337185824688259E-3"/>
    <m/>
    <x v="1"/>
  </r>
  <r>
    <n v="12"/>
    <n v="2022"/>
    <x v="0"/>
    <x v="4"/>
    <x v="3"/>
    <n v="3730"/>
    <n v="0.99705960973001873"/>
    <n v="2.9403902699812745E-3"/>
    <m/>
    <x v="1"/>
  </r>
  <r>
    <n v="12"/>
    <n v="2022"/>
    <x v="0"/>
    <x v="5"/>
    <x v="4"/>
    <n v="7725"/>
    <n v="0.99857807652533614"/>
    <n v="1.4219234746638554E-3"/>
    <m/>
    <x v="1"/>
  </r>
  <r>
    <n v="12"/>
    <n v="2022"/>
    <x v="1"/>
    <x v="0"/>
    <x v="5"/>
    <n v="92"/>
    <n v="0.989247311827957"/>
    <n v="1.0752688172043001E-2"/>
    <m/>
    <x v="1"/>
  </r>
  <r>
    <n v="12"/>
    <n v="2022"/>
    <x v="1"/>
    <x v="1"/>
    <x v="6"/>
    <n v="70"/>
    <n v="1"/>
    <n v="0"/>
    <m/>
    <x v="1"/>
  </r>
  <r>
    <n v="12"/>
    <n v="2022"/>
    <x v="1"/>
    <x v="2"/>
    <x v="0"/>
    <n v="0"/>
    <m/>
    <m/>
    <s v="ABSENT"/>
    <x v="0"/>
  </r>
  <r>
    <n v="12"/>
    <n v="2022"/>
    <x v="1"/>
    <x v="3"/>
    <x v="7"/>
    <n v="12214"/>
    <n v="0.99608546729734138"/>
    <n v="3.9145327026586241E-3"/>
    <m/>
    <x v="1"/>
  </r>
  <r>
    <n v="12"/>
    <n v="2022"/>
    <x v="1"/>
    <x v="4"/>
    <x v="8"/>
    <n v="1894"/>
    <n v="0.99631772751183589"/>
    <n v="3.6822724881641067E-3"/>
    <m/>
    <x v="1"/>
  </r>
  <r>
    <n v="12"/>
    <n v="2022"/>
    <x v="1"/>
    <x v="5"/>
    <x v="9"/>
    <n v="2361"/>
    <n v="0.99915361828184512"/>
    <n v="8.4638171815487606E-4"/>
    <m/>
    <x v="1"/>
  </r>
  <r>
    <n v="12"/>
    <n v="2022"/>
    <x v="2"/>
    <x v="0"/>
    <x v="0"/>
    <n v="0"/>
    <m/>
    <m/>
    <s v="ABSENT"/>
    <x v="0"/>
  </r>
  <r>
    <n v="12"/>
    <n v="2022"/>
    <x v="2"/>
    <x v="1"/>
    <x v="10"/>
    <n v="3138"/>
    <n v="0.98679245283018868"/>
    <n v="1.3207547169811318E-2"/>
    <m/>
    <x v="1"/>
  </r>
  <r>
    <n v="12"/>
    <n v="2022"/>
    <x v="2"/>
    <x v="2"/>
    <x v="0"/>
    <n v="0"/>
    <m/>
    <m/>
    <s v="ABSENT"/>
    <x v="0"/>
  </r>
  <r>
    <n v="12"/>
    <n v="2022"/>
    <x v="2"/>
    <x v="3"/>
    <x v="11"/>
    <n v="60136"/>
    <n v="0.99642099681866381"/>
    <n v="3.5790031813361933E-3"/>
    <m/>
    <x v="1"/>
  </r>
  <r>
    <n v="12"/>
    <n v="2022"/>
    <x v="2"/>
    <x v="4"/>
    <x v="12"/>
    <n v="3629"/>
    <n v="0.99697802197802199"/>
    <n v="3.0219780219780112E-3"/>
    <m/>
    <x v="1"/>
  </r>
  <r>
    <n v="12"/>
    <n v="2022"/>
    <x v="2"/>
    <x v="5"/>
    <x v="13"/>
    <n v="7794"/>
    <n v="0.99833482771871396"/>
    <n v="1.6651722812860426E-3"/>
    <m/>
    <x v="1"/>
  </r>
  <r>
    <n v="12"/>
    <n v="2022"/>
    <x v="3"/>
    <x v="0"/>
    <x v="14"/>
    <n v="101"/>
    <n v="0.98058252427184467"/>
    <n v="1.9417475728155331E-2"/>
    <m/>
    <x v="1"/>
  </r>
  <r>
    <n v="12"/>
    <n v="2022"/>
    <x v="3"/>
    <x v="1"/>
    <x v="15"/>
    <n v="7688"/>
    <n v="0.99251226439452622"/>
    <n v="7.4877356054737776E-3"/>
    <m/>
    <x v="1"/>
  </r>
  <r>
    <n v="12"/>
    <n v="2022"/>
    <x v="3"/>
    <x v="2"/>
    <x v="0"/>
    <n v="0"/>
    <m/>
    <m/>
    <s v="ABSENT"/>
    <x v="0"/>
  </r>
  <r>
    <n v="12"/>
    <n v="2022"/>
    <x v="3"/>
    <x v="3"/>
    <x v="16"/>
    <n v="69506"/>
    <n v="0.99528889525309661"/>
    <n v="4.711104746903394E-3"/>
    <m/>
    <x v="1"/>
  </r>
  <r>
    <n v="12"/>
    <n v="2022"/>
    <x v="3"/>
    <x v="4"/>
    <x v="17"/>
    <n v="3809"/>
    <n v="0.99633795448600571"/>
    <n v="3.6620455139942942E-3"/>
    <m/>
    <x v="1"/>
  </r>
  <r>
    <n v="12"/>
    <n v="2022"/>
    <x v="3"/>
    <x v="5"/>
    <x v="18"/>
    <n v="11431"/>
    <n v="0.99703445268207591"/>
    <n v="2.9655473179240888E-3"/>
    <m/>
    <x v="1"/>
  </r>
  <r>
    <n v="12"/>
    <n v="2022"/>
    <x v="4"/>
    <x v="0"/>
    <x v="0"/>
    <n v="0"/>
    <m/>
    <m/>
    <s v="ABSENT"/>
    <x v="0"/>
  </r>
  <r>
    <n v="12"/>
    <n v="2022"/>
    <x v="4"/>
    <x v="1"/>
    <x v="19"/>
    <n v="13025"/>
    <n v="0.99732006125574268"/>
    <n v="2.6799387442573153E-3"/>
    <m/>
    <x v="1"/>
  </r>
  <r>
    <n v="12"/>
    <n v="2022"/>
    <x v="4"/>
    <x v="2"/>
    <x v="20"/>
    <n v="55"/>
    <n v="1"/>
    <n v="0"/>
    <m/>
    <x v="1"/>
  </r>
  <r>
    <n v="12"/>
    <n v="2022"/>
    <x v="4"/>
    <x v="3"/>
    <x v="21"/>
    <n v="89317"/>
    <n v="0.99643004562847937"/>
    <n v="3.5699543715206339E-3"/>
    <m/>
    <x v="1"/>
  </r>
  <r>
    <n v="12"/>
    <n v="2022"/>
    <x v="4"/>
    <x v="4"/>
    <x v="22"/>
    <n v="2537"/>
    <n v="0.99529227147901134"/>
    <n v="4.7077285209886632E-3"/>
    <m/>
    <x v="1"/>
  </r>
  <r>
    <n v="12"/>
    <n v="2022"/>
    <x v="4"/>
    <x v="5"/>
    <x v="23"/>
    <n v="5844"/>
    <n v="0.99709947108002051"/>
    <n v="2.9005289199794948E-3"/>
    <m/>
    <x v="1"/>
  </r>
  <r>
    <n v="12"/>
    <n v="2022"/>
    <x v="5"/>
    <x v="0"/>
    <x v="0"/>
    <n v="0"/>
    <m/>
    <m/>
    <s v="ABSENT"/>
    <x v="0"/>
  </r>
  <r>
    <n v="12"/>
    <n v="2022"/>
    <x v="5"/>
    <x v="1"/>
    <x v="24"/>
    <n v="3552"/>
    <n v="0.99635343618513328"/>
    <n v="3.6465638148667212E-3"/>
    <m/>
    <x v="1"/>
  </r>
  <r>
    <n v="12"/>
    <n v="2022"/>
    <x v="5"/>
    <x v="2"/>
    <x v="0"/>
    <n v="0"/>
    <m/>
    <m/>
    <s v="ABSENT"/>
    <x v="0"/>
  </r>
  <r>
    <n v="12"/>
    <n v="2022"/>
    <x v="5"/>
    <x v="3"/>
    <x v="25"/>
    <n v="67700"/>
    <n v="0.99853980147199817"/>
    <n v="1.4601985280018326E-3"/>
    <m/>
    <x v="1"/>
  </r>
  <r>
    <n v="12"/>
    <n v="2022"/>
    <x v="5"/>
    <x v="4"/>
    <x v="26"/>
    <n v="1642"/>
    <n v="0.99756986634264888"/>
    <n v="2.430133657351119E-3"/>
    <m/>
    <x v="1"/>
  </r>
  <r>
    <n v="12"/>
    <n v="2022"/>
    <x v="5"/>
    <x v="5"/>
    <x v="27"/>
    <n v="6701"/>
    <n v="0.99821242365559359"/>
    <n v="1.7875763444064052E-3"/>
    <m/>
    <x v="1"/>
  </r>
  <r>
    <n v="12"/>
    <n v="2022"/>
    <x v="6"/>
    <x v="0"/>
    <x v="28"/>
    <n v="162"/>
    <n v="0.98780487804878048"/>
    <n v="1.2195121951219523E-2"/>
    <m/>
    <x v="1"/>
  </r>
  <r>
    <n v="12"/>
    <n v="2022"/>
    <x v="6"/>
    <x v="1"/>
    <x v="29"/>
    <n v="1552"/>
    <n v="0.99807073954983927"/>
    <n v="1.9292604501607302E-3"/>
    <m/>
    <x v="1"/>
  </r>
  <r>
    <n v="12"/>
    <n v="2022"/>
    <x v="6"/>
    <x v="2"/>
    <x v="30"/>
    <n v="22"/>
    <n v="1"/>
    <n v="0"/>
    <m/>
    <x v="1"/>
  </r>
  <r>
    <n v="12"/>
    <n v="2022"/>
    <x v="6"/>
    <x v="3"/>
    <x v="31"/>
    <n v="62094"/>
    <n v="0.99393337921982294"/>
    <n v="6.0666207801770566E-3"/>
    <m/>
    <x v="1"/>
  </r>
  <r>
    <n v="12"/>
    <n v="2022"/>
    <x v="6"/>
    <x v="4"/>
    <x v="32"/>
    <n v="1117"/>
    <n v="0.99732142857142858"/>
    <n v="2.6785714285714191E-3"/>
    <m/>
    <x v="1"/>
  </r>
  <r>
    <n v="12"/>
    <n v="2022"/>
    <x v="6"/>
    <x v="5"/>
    <x v="33"/>
    <n v="4307"/>
    <n v="0.99884044526901672"/>
    <n v="1.159554730983281E-3"/>
    <m/>
    <x v="1"/>
  </r>
  <r>
    <n v="12"/>
    <n v="2022"/>
    <x v="7"/>
    <x v="0"/>
    <x v="0"/>
    <n v="0"/>
    <m/>
    <m/>
    <s v="ABSENT"/>
    <x v="0"/>
  </r>
  <r>
    <n v="12"/>
    <n v="2022"/>
    <x v="7"/>
    <x v="1"/>
    <x v="34"/>
    <n v="99566"/>
    <n v="0.99351400973896387"/>
    <n v="6.4859902610361342E-3"/>
    <m/>
    <x v="1"/>
  </r>
  <r>
    <n v="12"/>
    <n v="2022"/>
    <x v="7"/>
    <x v="2"/>
    <x v="35"/>
    <n v="6393"/>
    <n v="0.99579439252336444"/>
    <n v="4.2056074766355644E-3"/>
    <m/>
    <x v="1"/>
  </r>
  <r>
    <n v="12"/>
    <n v="2022"/>
    <x v="7"/>
    <x v="3"/>
    <x v="36"/>
    <n v="64774"/>
    <n v="0.99724416116268688"/>
    <n v="2.7558388373131182E-3"/>
    <m/>
    <x v="1"/>
  </r>
  <r>
    <n v="12"/>
    <n v="2022"/>
    <x v="7"/>
    <x v="4"/>
    <x v="37"/>
    <n v="81"/>
    <n v="1"/>
    <n v="0"/>
    <m/>
    <x v="1"/>
  </r>
  <r>
    <n v="12"/>
    <n v="2022"/>
    <x v="7"/>
    <x v="5"/>
    <x v="38"/>
    <n v="6661"/>
    <n v="0.99880041985305146"/>
    <n v="1.1995801469485423E-3"/>
    <m/>
    <x v="1"/>
  </r>
  <r>
    <n v="12"/>
    <n v="2022"/>
    <x v="8"/>
    <x v="0"/>
    <x v="0"/>
    <n v="0"/>
    <m/>
    <m/>
    <s v="ABSENT"/>
    <x v="0"/>
  </r>
  <r>
    <n v="12"/>
    <n v="2022"/>
    <x v="8"/>
    <x v="1"/>
    <x v="39"/>
    <n v="69109"/>
    <n v="0.99431687384898715"/>
    <n v="5.6831261510128517E-3"/>
    <m/>
    <x v="1"/>
  </r>
  <r>
    <n v="12"/>
    <n v="2022"/>
    <x v="8"/>
    <x v="2"/>
    <x v="40"/>
    <n v="7743"/>
    <n v="0.99588424437299039"/>
    <n v="4.1157556270096096E-3"/>
    <m/>
    <x v="1"/>
  </r>
  <r>
    <n v="12"/>
    <n v="2022"/>
    <x v="8"/>
    <x v="3"/>
    <x v="41"/>
    <n v="40291"/>
    <n v="0.99579842317293199"/>
    <n v="4.2015768270680098E-3"/>
    <m/>
    <x v="1"/>
  </r>
  <r>
    <n v="12"/>
    <n v="2022"/>
    <x v="8"/>
    <x v="4"/>
    <x v="42"/>
    <n v="65"/>
    <n v="1"/>
    <n v="0"/>
    <m/>
    <x v="1"/>
  </r>
  <r>
    <n v="12"/>
    <n v="2022"/>
    <x v="8"/>
    <x v="5"/>
    <x v="43"/>
    <n v="2872"/>
    <n v="1"/>
    <n v="0"/>
    <m/>
    <x v="1"/>
  </r>
  <r>
    <n v="12"/>
    <n v="2022"/>
    <x v="9"/>
    <x v="0"/>
    <x v="0"/>
    <n v="0"/>
    <m/>
    <m/>
    <s v="ABSENT"/>
    <x v="0"/>
  </r>
  <r>
    <n v="12"/>
    <n v="2022"/>
    <x v="9"/>
    <x v="1"/>
    <x v="44"/>
    <n v="20518"/>
    <n v="0.99255030959752322"/>
    <n v="7.4496904024767829E-3"/>
    <m/>
    <x v="1"/>
  </r>
  <r>
    <n v="12"/>
    <n v="2022"/>
    <x v="9"/>
    <x v="2"/>
    <x v="45"/>
    <n v="101"/>
    <n v="0.99019607843137258"/>
    <n v="9.8039215686274161E-3"/>
    <m/>
    <x v="1"/>
  </r>
  <r>
    <n v="12"/>
    <n v="2022"/>
    <x v="9"/>
    <x v="3"/>
    <x v="46"/>
    <n v="20601"/>
    <n v="0.99195878274268101"/>
    <n v="8.0412172573189888E-3"/>
    <m/>
    <x v="1"/>
  </r>
  <r>
    <n v="12"/>
    <n v="2022"/>
    <x v="9"/>
    <x v="4"/>
    <x v="47"/>
    <n v="4481"/>
    <n v="0.9878747795414462"/>
    <n v="1.2125220458553798E-2"/>
    <m/>
    <x v="1"/>
  </r>
  <r>
    <n v="12"/>
    <n v="2022"/>
    <x v="9"/>
    <x v="5"/>
    <x v="48"/>
    <n v="6047"/>
    <n v="0.99604677977268985"/>
    <n v="3.9532202273101502E-3"/>
    <m/>
    <x v="1"/>
  </r>
  <r>
    <n v="12"/>
    <n v="2022"/>
    <x v="10"/>
    <x v="0"/>
    <x v="0"/>
    <n v="0"/>
    <m/>
    <m/>
    <s v="ABSENT"/>
    <x v="0"/>
  </r>
  <r>
    <n v="12"/>
    <n v="2022"/>
    <x v="10"/>
    <x v="1"/>
    <x v="49"/>
    <n v="272"/>
    <n v="0.97841726618705038"/>
    <n v="2.1582733812949617E-2"/>
    <m/>
    <x v="1"/>
  </r>
  <r>
    <n v="12"/>
    <n v="2022"/>
    <x v="10"/>
    <x v="2"/>
    <x v="50"/>
    <n v="920"/>
    <n v="0.998914223669924"/>
    <n v="1.0857763300760048E-3"/>
    <m/>
    <x v="1"/>
  </r>
  <r>
    <n v="12"/>
    <n v="2022"/>
    <x v="10"/>
    <x v="3"/>
    <x v="51"/>
    <n v="99746"/>
    <n v="0.99064436675671386"/>
    <n v="9.3556332432861433E-3"/>
    <m/>
    <x v="1"/>
  </r>
  <r>
    <n v="12"/>
    <n v="2022"/>
    <x v="10"/>
    <x v="4"/>
    <x v="52"/>
    <n v="1060"/>
    <n v="0.99158091674462112"/>
    <n v="8.4190832553788786E-3"/>
    <m/>
    <x v="1"/>
  </r>
  <r>
    <n v="12"/>
    <n v="2022"/>
    <x v="10"/>
    <x v="5"/>
    <x v="53"/>
    <n v="4471"/>
    <n v="0.99799107142857146"/>
    <n v="2.0089285714285365E-3"/>
    <m/>
    <x v="1"/>
  </r>
  <r>
    <n v="12"/>
    <n v="2022"/>
    <x v="11"/>
    <x v="0"/>
    <x v="54"/>
    <n v="38"/>
    <n v="1"/>
    <n v="0"/>
    <m/>
    <x v="1"/>
  </r>
  <r>
    <n v="12"/>
    <n v="2022"/>
    <x v="11"/>
    <x v="1"/>
    <x v="55"/>
    <n v="357"/>
    <n v="1"/>
    <n v="0"/>
    <m/>
    <x v="1"/>
  </r>
  <r>
    <n v="12"/>
    <n v="2022"/>
    <x v="11"/>
    <x v="2"/>
    <x v="0"/>
    <n v="0"/>
    <m/>
    <m/>
    <s v="ABSENT"/>
    <x v="0"/>
  </r>
  <r>
    <n v="12"/>
    <n v="2022"/>
    <x v="11"/>
    <x v="3"/>
    <x v="56"/>
    <n v="118046"/>
    <n v="0.99469981040657263"/>
    <n v="5.3001895934273735E-3"/>
    <m/>
    <x v="1"/>
  </r>
  <r>
    <n v="12"/>
    <n v="2022"/>
    <x v="11"/>
    <x v="4"/>
    <x v="57"/>
    <n v="2225"/>
    <n v="0.99731062303899598"/>
    <n v="2.6893769610040197E-3"/>
    <m/>
    <x v="1"/>
  </r>
  <r>
    <n v="12"/>
    <n v="2022"/>
    <x v="11"/>
    <x v="5"/>
    <x v="58"/>
    <n v="3607"/>
    <n v="0.99778699861687414"/>
    <n v="2.2130013831258566E-3"/>
    <m/>
    <x v="1"/>
  </r>
  <r>
    <n v="12"/>
    <n v="2022"/>
    <x v="12"/>
    <x v="0"/>
    <x v="0"/>
    <n v="0"/>
    <m/>
    <m/>
    <s v="ABSENT"/>
    <x v="0"/>
  </r>
  <r>
    <n v="12"/>
    <n v="2022"/>
    <x v="12"/>
    <x v="1"/>
    <x v="59"/>
    <n v="83"/>
    <n v="0.98809523809523814"/>
    <n v="1.1904761904761862E-2"/>
    <m/>
    <x v="1"/>
  </r>
  <r>
    <n v="12"/>
    <n v="2022"/>
    <x v="12"/>
    <x v="2"/>
    <x v="0"/>
    <n v="0"/>
    <m/>
    <m/>
    <s v="ABSENT"/>
    <x v="0"/>
  </r>
  <r>
    <n v="12"/>
    <n v="2022"/>
    <x v="12"/>
    <x v="3"/>
    <x v="60"/>
    <n v="83962"/>
    <n v="0.99109967420558098"/>
    <n v="8.9003257944190173E-3"/>
    <m/>
    <x v="1"/>
  </r>
  <r>
    <n v="12"/>
    <n v="2022"/>
    <x v="12"/>
    <x v="4"/>
    <x v="61"/>
    <n v="3669"/>
    <n v="0.98788368336025845"/>
    <n v="1.2116316639741553E-2"/>
    <m/>
    <x v="1"/>
  </r>
  <r>
    <n v="12"/>
    <n v="2022"/>
    <x v="12"/>
    <x v="5"/>
    <x v="62"/>
    <n v="5398"/>
    <n v="0.99796635237567022"/>
    <n v="2.0336476243297819E-3"/>
    <m/>
    <x v="1"/>
  </r>
  <r>
    <n v="12"/>
    <n v="2022"/>
    <x v="13"/>
    <x v="0"/>
    <x v="0"/>
    <n v="0"/>
    <m/>
    <m/>
    <s v="ABSENT"/>
    <x v="0"/>
  </r>
  <r>
    <n v="12"/>
    <n v="2022"/>
    <x v="13"/>
    <x v="1"/>
    <x v="63"/>
    <n v="1272"/>
    <n v="0.95209580838323349"/>
    <n v="4.7904191616766512E-2"/>
    <m/>
    <x v="1"/>
  </r>
  <r>
    <n v="12"/>
    <n v="2022"/>
    <x v="13"/>
    <x v="2"/>
    <x v="0"/>
    <n v="0"/>
    <m/>
    <m/>
    <s v="ABSENT"/>
    <x v="0"/>
  </r>
  <r>
    <n v="12"/>
    <n v="2022"/>
    <x v="13"/>
    <x v="3"/>
    <x v="64"/>
    <n v="130263"/>
    <n v="0.98887109140735907"/>
    <n v="1.1128908592640929E-2"/>
    <m/>
    <x v="1"/>
  </r>
  <r>
    <n v="12"/>
    <n v="2022"/>
    <x v="13"/>
    <x v="4"/>
    <x v="65"/>
    <n v="3152"/>
    <n v="0.98994974874371855"/>
    <n v="1.0050251256281451E-2"/>
    <m/>
    <x v="1"/>
  </r>
  <r>
    <n v="12"/>
    <n v="2022"/>
    <x v="13"/>
    <x v="5"/>
    <x v="66"/>
    <n v="8666"/>
    <n v="0.99838709677419357"/>
    <n v="1.612903225806428E-3"/>
    <m/>
    <x v="1"/>
  </r>
  <r>
    <n v="12"/>
    <n v="2022"/>
    <x v="14"/>
    <x v="0"/>
    <x v="0"/>
    <n v="0"/>
    <m/>
    <m/>
    <s v="ABSENT"/>
    <x v="0"/>
  </r>
  <r>
    <n v="12"/>
    <n v="2022"/>
    <x v="14"/>
    <x v="1"/>
    <x v="67"/>
    <n v="1534"/>
    <n v="0.99934853420195435"/>
    <n v="6.514657980456473E-4"/>
    <m/>
    <x v="1"/>
  </r>
  <r>
    <n v="12"/>
    <n v="2022"/>
    <x v="14"/>
    <x v="2"/>
    <x v="0"/>
    <n v="0"/>
    <m/>
    <m/>
    <s v="ABSENT"/>
    <x v="0"/>
  </r>
  <r>
    <n v="12"/>
    <n v="2022"/>
    <x v="14"/>
    <x v="3"/>
    <x v="68"/>
    <n v="22742"/>
    <n v="0.99741239419323713"/>
    <n v="2.5876058067628716E-3"/>
    <m/>
    <x v="1"/>
  </r>
  <r>
    <n v="12"/>
    <n v="2022"/>
    <x v="14"/>
    <x v="4"/>
    <x v="69"/>
    <n v="1662"/>
    <n v="0.99342498505678423"/>
    <n v="6.5750149432157734E-3"/>
    <m/>
    <x v="1"/>
  </r>
  <r>
    <n v="12"/>
    <n v="2022"/>
    <x v="14"/>
    <x v="5"/>
    <x v="70"/>
    <n v="4849"/>
    <n v="0.99794196336694796"/>
    <n v="2.0580366330520405E-3"/>
    <m/>
    <x v="1"/>
  </r>
  <r>
    <n v="12"/>
    <n v="2022"/>
    <x v="15"/>
    <x v="0"/>
    <x v="0"/>
    <n v="0"/>
    <m/>
    <m/>
    <s v="ABSENT"/>
    <x v="0"/>
  </r>
  <r>
    <n v="12"/>
    <n v="2022"/>
    <x v="15"/>
    <x v="1"/>
    <x v="71"/>
    <n v="82"/>
    <n v="1"/>
    <n v="0"/>
    <m/>
    <x v="1"/>
  </r>
  <r>
    <n v="12"/>
    <n v="2022"/>
    <x v="15"/>
    <x v="2"/>
    <x v="0"/>
    <n v="0"/>
    <m/>
    <m/>
    <s v="ABSENT"/>
    <x v="0"/>
  </r>
  <r>
    <n v="12"/>
    <n v="2022"/>
    <x v="15"/>
    <x v="3"/>
    <x v="72"/>
    <n v="33462"/>
    <n v="0.99886567164179108"/>
    <n v="1.1343283582089247E-3"/>
    <m/>
    <x v="1"/>
  </r>
  <r>
    <n v="12"/>
    <n v="2022"/>
    <x v="15"/>
    <x v="4"/>
    <x v="73"/>
    <n v="972"/>
    <n v="0.99897225077081198"/>
    <n v="1.0277492291880241E-3"/>
    <m/>
    <x v="1"/>
  </r>
  <r>
    <n v="12"/>
    <n v="2022"/>
    <x v="15"/>
    <x v="5"/>
    <x v="74"/>
    <n v="3661"/>
    <n v="0.9986361156573923"/>
    <n v="1.3638843426077019E-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6" firstHeaderRow="1" firstDataRow="1" firstDataCol="1" rowPageCount="1" colPageCount="1"/>
  <pivotFields count="10">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h="1" x="0"/>
        <item h="1" x="1"/>
        <item h="1" x="2"/>
        <item h="1" x="3"/>
        <item h="1" x="4"/>
        <item x="5"/>
        <item t="default"/>
      </items>
    </pivotField>
    <pivotField dataField="1" showAll="0"/>
    <pivotField showAll="0"/>
    <pivotField showAll="0"/>
    <pivotField showAll="0"/>
    <pivotField showAll="0"/>
    <pivotField axis="axisPage" showAll="0">
      <items count="3">
        <item x="0"/>
        <item x="1"/>
        <item t="default"/>
      </items>
    </pivotField>
  </pivotFields>
  <rowFields count="2">
    <field x="2"/>
    <field x="3"/>
  </rowFields>
  <rowItems count="33">
    <i>
      <x v="1"/>
    </i>
    <i r="1">
      <x v="5"/>
    </i>
    <i>
      <x v="8"/>
    </i>
    <i r="1">
      <x v="5"/>
    </i>
    <i>
      <x v="11"/>
    </i>
    <i r="1">
      <x v="5"/>
    </i>
    <i>
      <x v="15"/>
    </i>
    <i r="1">
      <x v="5"/>
    </i>
    <i>
      <x v="6"/>
    </i>
    <i r="1">
      <x v="5"/>
    </i>
    <i>
      <x v="10"/>
    </i>
    <i r="1">
      <x v="5"/>
    </i>
    <i>
      <x v="14"/>
    </i>
    <i r="1">
      <x v="5"/>
    </i>
    <i>
      <x v="12"/>
    </i>
    <i r="1">
      <x v="5"/>
    </i>
    <i>
      <x v="4"/>
    </i>
    <i r="1">
      <x v="5"/>
    </i>
    <i>
      <x v="9"/>
    </i>
    <i r="1">
      <x v="5"/>
    </i>
    <i>
      <x v="7"/>
    </i>
    <i r="1">
      <x v="5"/>
    </i>
    <i>
      <x v="5"/>
    </i>
    <i r="1">
      <x v="5"/>
    </i>
    <i>
      <x/>
    </i>
    <i r="1">
      <x v="5"/>
    </i>
    <i>
      <x v="2"/>
    </i>
    <i r="1">
      <x v="5"/>
    </i>
    <i>
      <x v="13"/>
    </i>
    <i r="1">
      <x v="5"/>
    </i>
    <i>
      <x v="3"/>
    </i>
    <i r="1">
      <x v="5"/>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0">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items count="76">
        <item x="0"/>
        <item x="30"/>
        <item x="54"/>
        <item x="20"/>
        <item x="42"/>
        <item x="6"/>
        <item x="37"/>
        <item x="71"/>
        <item x="59"/>
        <item x="5"/>
        <item x="45"/>
        <item x="14"/>
        <item x="28"/>
        <item x="49"/>
        <item x="55"/>
        <item x="50"/>
        <item x="73"/>
        <item x="52"/>
        <item x="32"/>
        <item x="63"/>
        <item x="67"/>
        <item x="29"/>
        <item x="26"/>
        <item x="69"/>
        <item x="8"/>
        <item x="57"/>
        <item x="9"/>
        <item x="22"/>
        <item x="43"/>
        <item x="10"/>
        <item x="65"/>
        <item x="24"/>
        <item x="58"/>
        <item x="12"/>
        <item x="74"/>
        <item x="61"/>
        <item x="3"/>
        <item x="17"/>
        <item x="33"/>
        <item x="53"/>
        <item x="1"/>
        <item x="47"/>
        <item x="70"/>
        <item x="62"/>
        <item x="23"/>
        <item x="48"/>
        <item x="35"/>
        <item x="38"/>
        <item x="27"/>
        <item x="4"/>
        <item x="15"/>
        <item x="40"/>
        <item x="13"/>
        <item x="66"/>
        <item x="18"/>
        <item x="7"/>
        <item x="19"/>
        <item x="44"/>
        <item x="46"/>
        <item x="68"/>
        <item x="72"/>
        <item x="41"/>
        <item x="11"/>
        <item x="31"/>
        <item x="36"/>
        <item x="25"/>
        <item x="39"/>
        <item x="16"/>
        <item x="60"/>
        <item x="2"/>
        <item x="21"/>
        <item x="34"/>
        <item x="51"/>
        <item x="56"/>
        <item x="64"/>
        <item t="default"/>
      </items>
    </pivotField>
    <pivotField showAll="0"/>
    <pivotField dataField="1"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6">
      <pivotArea outline="0" collapsedLevelsAreSubtotals="1" fieldPosition="0">
        <references count="1">
          <reference field="4294967294" count="1" selected="0">
            <x v="0"/>
          </reference>
        </references>
      </pivotArea>
    </format>
    <format dxfId="5">
      <pivotArea outline="0" collapsedLevelsAreSubtotals="1" fieldPosition="0">
        <references count="1">
          <reference field="4294967294" count="1" selected="0">
            <x v="1"/>
          </reference>
        </references>
      </pivotArea>
    </format>
    <format dxfId="4">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21" unboundColumnsRight="7">
    <queryTableFields count="16">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 id="15" dataBound="0" tableColumnId="10"/>
      <queryTableField id="16" dataBound="0" tableColumnId="12"/>
      <queryTableField id="17" dataBound="0" tableColumnId="13"/>
      <queryTableField id="18" dataBound="0" tableColumnId="14"/>
      <queryTableField id="19" dataBound="0" tableColumnId="15"/>
      <queryTableField id="20" dataBound="0"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i x="1"/>
        <i x="2"/>
        <i x="3"/>
        <i x="4"/>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14"/>
    <tableColumn id="4" xr3:uid="{BD9410F3-AB2A-44EA-B1C3-2FE79993BB2F}" uniqueName="4" name="School Type" queryTableFieldId="4" dataDxfId="13"/>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ableType="queryTable" totalsRowCount="1">
  <autoFilter ref="A1:P97" xr:uid="{4407F130-0C81-42EC-8BF1-476E80F90E54}"/>
  <sortState xmlns:xlrd2="http://schemas.microsoft.com/office/spreadsheetml/2017/richdata2" ref="A2:I97">
    <sortCondition ref="C1:C97"/>
  </sortState>
  <tableColumns count="16">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12"/>
    <tableColumn id="4" xr3:uid="{BDB3ED0B-2D61-43F4-9A35-7DED82483E12}" uniqueName="4" name="School Type" queryTableFieldId="4" dataDxfId="11"/>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10">
      <calculatedColumnFormula>IF(Table1_14[[#This Row],[Registered]] = 0, "ABSENT", "NON_ZERO")</calculatedColumnFormula>
    </tableColumn>
    <tableColumn id="10" xr3:uid="{71F7BF51-686D-4117-9DCA-BC655E435A09}" uniqueName="10" name="Base Flag" queryTableFieldId="15" dataDxfId="9">
      <calculatedColumnFormula>IF(Table1_14[[#This Row],[Registered]] = 0, "ABSENT_BASE", IF(Table1_14[[#This Row],[Registered]]&lt;100, "SMALL_BASE", "VALID_BASE"))</calculatedColumnFormula>
    </tableColumn>
    <tableColumn id="12" xr3:uid="{7303740F-3F9C-4115-93C5-822AF5AE8EFA}" uniqueName="12" name="Anomaly Flag" queryTableFieldId="16" dataDxfId="8">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uniqueName="13" name="Coverage Share" totalsRowFunction="custom" queryTableFieldId="17" dataDxfId="7" totalsRowDxfId="1">
      <calculatedColumnFormula>Table1_14[[#This Row],[Registered]]/SUM(Table1_14[Registered])</calculatedColumnFormula>
      <totalsRowFormula xml:space="preserve"> SUM(Table1_14[Coverage Share])</totalsRowFormula>
    </tableColumn>
    <tableColumn id="14" xr3:uid="{53737E91-E15A-46D2-B074-BE70C4C3142F}" uniqueName="14" name="Integrity_RateCheck" queryTableFieldId="18" dataDxfId="3">
      <calculatedColumnFormula xml:space="preserve"> IF(OR(Table1_14[[#This Row],[Appearance Rate]]&lt;0, Table1_14[[#This Row],[Appearance Rate]]&gt;1), "FLAG", "OK")</calculatedColumnFormula>
    </tableColumn>
    <tableColumn id="15" xr3:uid="{40083FC0-602F-4BA0-B034-DDCBEE351DD5}" uniqueName="15" name="Integrity_RegisteredCheck" queryTableFieldId="19" dataDxfId="2">
      <calculatedColumnFormula xml:space="preserve"> IF(Table1_14[[#This Row],[Appeared]]&gt;Table1_14[[#This Row],[Registered]], "FLAG", "OK")</calculatedColumnFormula>
    </tableColumn>
    <tableColumn id="16" xr3:uid="{A3BE3E84-6C99-4272-948B-D4702A73FEC6}" uniqueName="16" name="Integrity_MissingCheck" queryTableFieldId="20" dataDxfId="0">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sqref="A1:J33"/>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tabSelected="1" topLeftCell="O1" zoomScaleNormal="100" workbookViewId="0">
      <selection activeCell="F5" sqref="F5"/>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48</v>
      </c>
      <c r="L1" t="s">
        <v>65</v>
      </c>
      <c r="M1" t="s">
        <v>66</v>
      </c>
      <c r="N1" t="s">
        <v>72</v>
      </c>
      <c r="O1" t="s">
        <v>73</v>
      </c>
      <c r="P1" t="s">
        <v>74</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7">
        <f>Table1_14[[#This Row],[Registered]]/SUM(Table1_14[Registered])</f>
        <v>0</v>
      </c>
      <c r="N2" s="16" t="str">
        <f xml:space="preserve"> IF(OR(Table1_14[[#This Row],[Appearance Rate]]&lt;0, Table1_14[[#This Row],[Appearance Rate]]&gt;1), "FLAG", "OK")</f>
        <v>OK</v>
      </c>
      <c r="O2" s="16" t="str">
        <f xml:space="preserve"> IF(Table1_14[[#This Row],[Appeared]]&gt;Table1_14[[#This Row],[Registered]], "FLAG", "OK")</f>
        <v>OK</v>
      </c>
      <c r="P2" s="16"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7">
        <f>Table1_14[[#This Row],[Registered]]/SUM(Table1_14[Registered])</f>
        <v>3.1505048939510722E-3</v>
      </c>
      <c r="N3" s="16" t="str">
        <f xml:space="preserve"> IF(OR(Table1_14[[#This Row],[Appearance Rate]]&lt;0, Table1_14[[#This Row],[Appearance Rate]]&gt;1), "FLAG", "OK")</f>
        <v>OK</v>
      </c>
      <c r="O3" s="16" t="str">
        <f xml:space="preserve"> IF(Table1_14[[#This Row],[Appeared]]&gt;Table1_14[[#This Row],[Registered]], "FLAG", "OK")</f>
        <v>OK</v>
      </c>
      <c r="P3" s="16"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7">
        <f>Table1_14[[#This Row],[Registered]]/SUM(Table1_14[Registered])</f>
        <v>0</v>
      </c>
      <c r="N4" s="16" t="str">
        <f xml:space="preserve"> IF(OR(Table1_14[[#This Row],[Appearance Rate]]&lt;0, Table1_14[[#This Row],[Appearance Rate]]&gt;1), "FLAG", "OK")</f>
        <v>OK</v>
      </c>
      <c r="O4" s="16" t="str">
        <f xml:space="preserve"> IF(Table1_14[[#This Row],[Appeared]]&gt;Table1_14[[#This Row],[Registered]], "FLAG", "OK")</f>
        <v>OK</v>
      </c>
      <c r="P4" s="16"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7">
        <f>Table1_14[[#This Row],[Registered]]/SUM(Table1_14[Registered])</f>
        <v>5.9895038771435143E-2</v>
      </c>
      <c r="N5" s="16" t="str">
        <f xml:space="preserve"> IF(OR(Table1_14[[#This Row],[Appearance Rate]]&lt;0, Table1_14[[#This Row],[Appearance Rate]]&gt;1), "FLAG", "OK")</f>
        <v>OK</v>
      </c>
      <c r="O5" s="16" t="str">
        <f xml:space="preserve"> IF(Table1_14[[#This Row],[Appeared]]&gt;Table1_14[[#This Row],[Registered]], "FLAG", "OK")</f>
        <v>OK</v>
      </c>
      <c r="P5" s="16"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7">
        <f>Table1_14[[#This Row],[Registered]]/SUM(Table1_14[Registered])</f>
        <v>2.600052682168754E-3</v>
      </c>
      <c r="N6" s="16" t="str">
        <f xml:space="preserve"> IF(OR(Table1_14[[#This Row],[Appearance Rate]]&lt;0, Table1_14[[#This Row],[Appearance Rate]]&gt;1), "FLAG", "OK")</f>
        <v>OK</v>
      </c>
      <c r="O6" s="16" t="str">
        <f xml:space="preserve"> IF(Table1_14[[#This Row],[Appeared]]&gt;Table1_14[[#This Row],[Registered]], "FLAG", "OK")</f>
        <v>OK</v>
      </c>
      <c r="P6" s="1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7">
        <f>Table1_14[[#This Row],[Registered]]/SUM(Table1_14[Registered])</f>
        <v>5.3766392807424431E-3</v>
      </c>
      <c r="N7" s="16" t="str">
        <f xml:space="preserve"> IF(OR(Table1_14[[#This Row],[Appearance Rate]]&lt;0, Table1_14[[#This Row],[Appearance Rate]]&gt;1), "FLAG", "OK")</f>
        <v>OK</v>
      </c>
      <c r="O7" s="16" t="str">
        <f xml:space="preserve"> IF(Table1_14[[#This Row],[Appeared]]&gt;Table1_14[[#This Row],[Registered]], "FLAG", "OK")</f>
        <v>OK</v>
      </c>
      <c r="P7" s="16"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7">
        <f>Table1_14[[#This Row],[Registered]]/SUM(Table1_14[Registered])</f>
        <v>6.4636433959287392E-5</v>
      </c>
      <c r="N8" s="16" t="str">
        <f xml:space="preserve"> IF(OR(Table1_14[[#This Row],[Appearance Rate]]&lt;0, Table1_14[[#This Row],[Appearance Rate]]&gt;1), "FLAG", "OK")</f>
        <v>OK</v>
      </c>
      <c r="O8" s="16" t="str">
        <f xml:space="preserve"> IF(Table1_14[[#This Row],[Appeared]]&gt;Table1_14[[#This Row],[Registered]], "FLAG", "OK")</f>
        <v>OK</v>
      </c>
      <c r="P8" s="16"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7">
        <f>Table1_14[[#This Row],[Registered]]/SUM(Table1_14[Registered])</f>
        <v>4.8651079324194808E-5</v>
      </c>
      <c r="N9" s="16" t="str">
        <f xml:space="preserve"> IF(OR(Table1_14[[#This Row],[Appearance Rate]]&lt;0, Table1_14[[#This Row],[Appearance Rate]]&gt;1), "FLAG", "OK")</f>
        <v>OK</v>
      </c>
      <c r="O9" s="16" t="str">
        <f xml:space="preserve"> IF(Table1_14[[#This Row],[Appeared]]&gt;Table1_14[[#This Row],[Registered]], "FLAG", "OK")</f>
        <v>OK</v>
      </c>
      <c r="P9" s="16"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7">
        <f>Table1_14[[#This Row],[Registered]]/SUM(Table1_14[Registered])</f>
        <v>0</v>
      </c>
      <c r="N10" s="16" t="str">
        <f xml:space="preserve"> IF(OR(Table1_14[[#This Row],[Appearance Rate]]&lt;0, Table1_14[[#This Row],[Appearance Rate]]&gt;1), "FLAG", "OK")</f>
        <v>OK</v>
      </c>
      <c r="O10" s="16" t="str">
        <f xml:space="preserve"> IF(Table1_14[[#This Row],[Appeared]]&gt;Table1_14[[#This Row],[Registered]], "FLAG", "OK")</f>
        <v>OK</v>
      </c>
      <c r="P10" s="16"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7">
        <f>Table1_14[[#This Row],[Registered]]/SUM(Table1_14[Registered])</f>
        <v>8.5222790667610956E-3</v>
      </c>
      <c r="N11" s="16" t="str">
        <f xml:space="preserve"> IF(OR(Table1_14[[#This Row],[Appearance Rate]]&lt;0, Table1_14[[#This Row],[Appearance Rate]]&gt;1), "FLAG", "OK")</f>
        <v>OK</v>
      </c>
      <c r="O11" s="16" t="str">
        <f xml:space="preserve"> IF(Table1_14[[#This Row],[Appeared]]&gt;Table1_14[[#This Row],[Registered]], "FLAG", "OK")</f>
        <v>OK</v>
      </c>
      <c r="P11" s="16"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7">
        <f>Table1_14[[#This Row],[Registered]]/SUM(Table1_14[Registered])</f>
        <v>1.3212243113613475E-3</v>
      </c>
      <c r="N12" s="16" t="str">
        <f xml:space="preserve"> IF(OR(Table1_14[[#This Row],[Appearance Rate]]&lt;0, Table1_14[[#This Row],[Appearance Rate]]&gt;1), "FLAG", "OK")</f>
        <v>OK</v>
      </c>
      <c r="O12" s="16" t="str">
        <f xml:space="preserve"> IF(Table1_14[[#This Row],[Appeared]]&gt;Table1_14[[#This Row],[Registered]], "FLAG", "OK")</f>
        <v>OK</v>
      </c>
      <c r="P12" s="16"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7">
        <f>Table1_14[[#This Row],[Registered]]/SUM(Table1_14[Registered])</f>
        <v>1.6423214349010333E-3</v>
      </c>
      <c r="N13" s="16" t="str">
        <f xml:space="preserve"> IF(OR(Table1_14[[#This Row],[Appearance Rate]]&lt;0, Table1_14[[#This Row],[Appearance Rate]]&gt;1), "FLAG", "OK")</f>
        <v>OK</v>
      </c>
      <c r="O13" s="16" t="str">
        <f xml:space="preserve"> IF(Table1_14[[#This Row],[Appeared]]&gt;Table1_14[[#This Row],[Registered]], "FLAG", "OK")</f>
        <v>OK</v>
      </c>
      <c r="P13" s="16"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7">
        <f>Table1_14[[#This Row],[Registered]]/SUM(Table1_14[Registered])</f>
        <v>0</v>
      </c>
      <c r="N14" s="16" t="str">
        <f xml:space="preserve"> IF(OR(Table1_14[[#This Row],[Appearance Rate]]&lt;0, Table1_14[[#This Row],[Appearance Rate]]&gt;1), "FLAG", "OK")</f>
        <v>OK</v>
      </c>
      <c r="O14" s="16" t="str">
        <f xml:space="preserve"> IF(Table1_14[[#This Row],[Appeared]]&gt;Table1_14[[#This Row],[Registered]], "FLAG", "OK")</f>
        <v>OK</v>
      </c>
      <c r="P14" s="16"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7">
        <f>Table1_14[[#This Row],[Registered]]/SUM(Table1_14[Registered])</f>
        <v>2.2101490321562783E-3</v>
      </c>
      <c r="N15" s="16" t="str">
        <f xml:space="preserve"> IF(OR(Table1_14[[#This Row],[Appearance Rate]]&lt;0, Table1_14[[#This Row],[Appearance Rate]]&gt;1), "FLAG", "OK")</f>
        <v>OK</v>
      </c>
      <c r="O15" s="16" t="str">
        <f xml:space="preserve"> IF(Table1_14[[#This Row],[Appeared]]&gt;Table1_14[[#This Row],[Registered]], "FLAG", "OK")</f>
        <v>OK</v>
      </c>
      <c r="P15" s="16"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7">
        <f>Table1_14[[#This Row],[Registered]]/SUM(Table1_14[Registered])</f>
        <v>0</v>
      </c>
      <c r="N16" s="16" t="str">
        <f xml:space="preserve"> IF(OR(Table1_14[[#This Row],[Appearance Rate]]&lt;0, Table1_14[[#This Row],[Appearance Rate]]&gt;1), "FLAG", "OK")</f>
        <v>OK</v>
      </c>
      <c r="O16" s="16" t="str">
        <f xml:space="preserve"> IF(Table1_14[[#This Row],[Appeared]]&gt;Table1_14[[#This Row],[Registered]], "FLAG", "OK")</f>
        <v>OK</v>
      </c>
      <c r="P16" s="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7">
        <f>Table1_14[[#This Row],[Registered]]/SUM(Table1_14[Registered])</f>
        <v>4.194557056248293E-2</v>
      </c>
      <c r="N17" s="16" t="str">
        <f xml:space="preserve"> IF(OR(Table1_14[[#This Row],[Appearance Rate]]&lt;0, Table1_14[[#This Row],[Appearance Rate]]&gt;1), "FLAG", "OK")</f>
        <v>OK</v>
      </c>
      <c r="O17" s="16" t="str">
        <f xml:space="preserve"> IF(Table1_14[[#This Row],[Appeared]]&gt;Table1_14[[#This Row],[Registered]], "FLAG", "OK")</f>
        <v>OK</v>
      </c>
      <c r="P17" s="16"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7">
        <f>Table1_14[[#This Row],[Registered]]/SUM(Table1_14[Registered])</f>
        <v>2.5298561248581299E-3</v>
      </c>
      <c r="N18" s="16" t="str">
        <f xml:space="preserve"> IF(OR(Table1_14[[#This Row],[Appearance Rate]]&lt;0, Table1_14[[#This Row],[Appearance Rate]]&gt;1), "FLAG", "OK")</f>
        <v>OK</v>
      </c>
      <c r="O18" s="16" t="str">
        <f xml:space="preserve"> IF(Table1_14[[#This Row],[Appeared]]&gt;Table1_14[[#This Row],[Registered]], "FLAG", "OK")</f>
        <v>OK</v>
      </c>
      <c r="P18" s="16"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7">
        <f>Table1_14[[#This Row],[Registered]]/SUM(Table1_14[Registered])</f>
        <v>5.4259853754855553E-3</v>
      </c>
      <c r="N19" s="16" t="str">
        <f xml:space="preserve"> IF(OR(Table1_14[[#This Row],[Appearance Rate]]&lt;0, Table1_14[[#This Row],[Appearance Rate]]&gt;1), "FLAG", "OK")</f>
        <v>OK</v>
      </c>
      <c r="O19" s="16" t="str">
        <f xml:space="preserve"> IF(Table1_14[[#This Row],[Appeared]]&gt;Table1_14[[#This Row],[Registered]], "FLAG", "OK")</f>
        <v>OK</v>
      </c>
      <c r="P19" s="16"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7">
        <f>Table1_14[[#This Row],[Registered]]/SUM(Table1_14[Registered])</f>
        <v>7.1586588148458079E-5</v>
      </c>
      <c r="N20" s="16" t="str">
        <f xml:space="preserve"> IF(OR(Table1_14[[#This Row],[Appearance Rate]]&lt;0, Table1_14[[#This Row],[Appearance Rate]]&gt;1), "FLAG", "OK")</f>
        <v>OK</v>
      </c>
      <c r="O20" s="16" t="str">
        <f xml:space="preserve"> IF(Table1_14[[#This Row],[Appeared]]&gt;Table1_14[[#This Row],[Registered]], "FLAG", "OK")</f>
        <v>OK</v>
      </c>
      <c r="P20" s="16"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7">
        <f>Table1_14[[#This Row],[Registered]]/SUM(Table1_14[Registered])</f>
        <v>5.3835894349316136E-3</v>
      </c>
      <c r="N21" s="16" t="str">
        <f xml:space="preserve"> IF(OR(Table1_14[[#This Row],[Appearance Rate]]&lt;0, Table1_14[[#This Row],[Appearance Rate]]&gt;1), "FLAG", "OK")</f>
        <v>OK</v>
      </c>
      <c r="O21" s="16" t="str">
        <f xml:space="preserve"> IF(Table1_14[[#This Row],[Appeared]]&gt;Table1_14[[#This Row],[Registered]], "FLAG", "OK")</f>
        <v>OK</v>
      </c>
      <c r="P21" s="16"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7">
        <f>Table1_14[[#This Row],[Registered]]/SUM(Table1_14[Registered])</f>
        <v>0</v>
      </c>
      <c r="N22" s="16" t="str">
        <f xml:space="preserve"> IF(OR(Table1_14[[#This Row],[Appearance Rate]]&lt;0, Table1_14[[#This Row],[Appearance Rate]]&gt;1), "FLAG", "OK")</f>
        <v>OK</v>
      </c>
      <c r="O22" s="16" t="str">
        <f xml:space="preserve"> IF(Table1_14[[#This Row],[Appeared]]&gt;Table1_14[[#This Row],[Registered]], "FLAG", "OK")</f>
        <v>OK</v>
      </c>
      <c r="P22" s="16"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7">
        <f>Table1_14[[#This Row],[Registered]]/SUM(Table1_14[Registered])</f>
        <v>4.8536401780073492E-2</v>
      </c>
      <c r="N23" s="16" t="str">
        <f xml:space="preserve"> IF(OR(Table1_14[[#This Row],[Appearance Rate]]&lt;0, Table1_14[[#This Row],[Appearance Rate]]&gt;1), "FLAG", "OK")</f>
        <v>OK</v>
      </c>
      <c r="O23" s="16" t="str">
        <f xml:space="preserve"> IF(Table1_14[[#This Row],[Appeared]]&gt;Table1_14[[#This Row],[Registered]], "FLAG", "OK")</f>
        <v>OK</v>
      </c>
      <c r="P23" s="16"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7">
        <f>Table1_14[[#This Row],[Registered]]/SUM(Table1_14[Registered])</f>
        <v>2.6570439465199536E-3</v>
      </c>
      <c r="N24" s="16" t="str">
        <f xml:space="preserve"> IF(OR(Table1_14[[#This Row],[Appearance Rate]]&lt;0, Table1_14[[#This Row],[Appearance Rate]]&gt;1), "FLAG", "OK")</f>
        <v>OK</v>
      </c>
      <c r="O24" s="16" t="str">
        <f xml:space="preserve"> IF(Table1_14[[#This Row],[Appeared]]&gt;Table1_14[[#This Row],[Registered]], "FLAG", "OK")</f>
        <v>OK</v>
      </c>
      <c r="P24" s="16"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7">
        <f>Table1_14[[#This Row],[Registered]]/SUM(Table1_14[Registered])</f>
        <v>7.9683517778841931E-3</v>
      </c>
      <c r="N25" s="16" t="str">
        <f xml:space="preserve"> IF(OR(Table1_14[[#This Row],[Appearance Rate]]&lt;0, Table1_14[[#This Row],[Appearance Rate]]&gt;1), "FLAG", "OK")</f>
        <v>OK</v>
      </c>
      <c r="O25" s="16" t="str">
        <f xml:space="preserve"> IF(Table1_14[[#This Row],[Appeared]]&gt;Table1_14[[#This Row],[Registered]], "FLAG", "OK")</f>
        <v>OK</v>
      </c>
      <c r="P25" s="16"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7">
        <f>Table1_14[[#This Row],[Registered]]/SUM(Table1_14[Registered])</f>
        <v>0</v>
      </c>
      <c r="N26" s="16" t="str">
        <f xml:space="preserve"> IF(OR(Table1_14[[#This Row],[Appearance Rate]]&lt;0, Table1_14[[#This Row],[Appearance Rate]]&gt;1), "FLAG", "OK")</f>
        <v>OK</v>
      </c>
      <c r="O26" s="16" t="str">
        <f xml:space="preserve"> IF(Table1_14[[#This Row],[Appeared]]&gt;Table1_14[[#This Row],[Registered]], "FLAG", "OK")</f>
        <v>OK</v>
      </c>
      <c r="P26" s="1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7">
        <f>Table1_14[[#This Row],[Registered]]/SUM(Table1_14[Registered])</f>
        <v>9.0769013710569162E-3</v>
      </c>
      <c r="N27" s="16" t="str">
        <f xml:space="preserve"> IF(OR(Table1_14[[#This Row],[Appearance Rate]]&lt;0, Table1_14[[#This Row],[Appearance Rate]]&gt;1), "FLAG", "OK")</f>
        <v>OK</v>
      </c>
      <c r="O27" s="16" t="str">
        <f xml:space="preserve"> IF(Table1_14[[#This Row],[Appeared]]&gt;Table1_14[[#This Row],[Registered]], "FLAG", "OK")</f>
        <v>OK</v>
      </c>
      <c r="P27" s="16"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7">
        <f>Table1_14[[#This Row],[Registered]]/SUM(Table1_14[Registered])</f>
        <v>3.8225848040438776E-5</v>
      </c>
      <c r="N28" s="16" t="str">
        <f xml:space="preserve"> IF(OR(Table1_14[[#This Row],[Appearance Rate]]&lt;0, Table1_14[[#This Row],[Appearance Rate]]&gt;1), "FLAG", "OK")</f>
        <v>OK</v>
      </c>
      <c r="O28" s="16" t="str">
        <f xml:space="preserve"> IF(Table1_14[[#This Row],[Appeared]]&gt;Table1_14[[#This Row],[Registered]], "FLAG", "OK")</f>
        <v>OK</v>
      </c>
      <c r="P28" s="16"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7">
        <f>Table1_14[[#This Row],[Registered]]/SUM(Table1_14[Registered])</f>
        <v>6.2299097105469284E-2</v>
      </c>
      <c r="N29" s="16" t="str">
        <f xml:space="preserve"> IF(OR(Table1_14[[#This Row],[Appearance Rate]]&lt;0, Table1_14[[#This Row],[Appearance Rate]]&gt;1), "FLAG", "OK")</f>
        <v>OK</v>
      </c>
      <c r="O29" s="16" t="str">
        <f xml:space="preserve"> IF(Table1_14[[#This Row],[Appeared]]&gt;Table1_14[[#This Row],[Registered]], "FLAG", "OK")</f>
        <v>OK</v>
      </c>
      <c r="P29" s="16"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7">
        <f>Table1_14[[#This Row],[Registered]]/SUM(Table1_14[Registered])</f>
        <v>1.771594302819608E-3</v>
      </c>
      <c r="N30" s="16" t="str">
        <f xml:space="preserve"> IF(OR(Table1_14[[#This Row],[Appearance Rate]]&lt;0, Table1_14[[#This Row],[Appearance Rate]]&gt;1), "FLAG", "OK")</f>
        <v>OK</v>
      </c>
      <c r="O30" s="16" t="str">
        <f xml:space="preserve"> IF(Table1_14[[#This Row],[Appeared]]&gt;Table1_14[[#This Row],[Registered]], "FLAG", "OK")</f>
        <v>OK</v>
      </c>
      <c r="P30" s="16"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7">
        <f>Table1_14[[#This Row],[Registered]]/SUM(Table1_14[Registered])</f>
        <v>4.0734853702729399E-3</v>
      </c>
      <c r="N31" s="16" t="str">
        <f xml:space="preserve"> IF(OR(Table1_14[[#This Row],[Appearance Rate]]&lt;0, Table1_14[[#This Row],[Appearance Rate]]&gt;1), "FLAG", "OK")</f>
        <v>OK</v>
      </c>
      <c r="O31" s="16" t="str">
        <f xml:space="preserve"> IF(Table1_14[[#This Row],[Appeared]]&gt;Table1_14[[#This Row],[Registered]], "FLAG", "OK")</f>
        <v>OK</v>
      </c>
      <c r="P31" s="16"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7">
        <f>Table1_14[[#This Row],[Registered]]/SUM(Table1_14[Registered])</f>
        <v>0</v>
      </c>
      <c r="N32" s="16" t="str">
        <f xml:space="preserve"> IF(OR(Table1_14[[#This Row],[Appearance Rate]]&lt;0, Table1_14[[#This Row],[Appearance Rate]]&gt;1), "FLAG", "OK")</f>
        <v>OK</v>
      </c>
      <c r="O32" s="16" t="str">
        <f xml:space="preserve"> IF(Table1_14[[#This Row],[Appeared]]&gt;Table1_14[[#This Row],[Registered]], "FLAG", "OK")</f>
        <v>OK</v>
      </c>
      <c r="P32" s="16"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7">
        <f>Table1_14[[#This Row],[Registered]]/SUM(Table1_14[Registered])</f>
        <v>2.4777299684393497E-3</v>
      </c>
      <c r="N33" s="16" t="str">
        <f xml:space="preserve"> IF(OR(Table1_14[[#This Row],[Appearance Rate]]&lt;0, Table1_14[[#This Row],[Appearance Rate]]&gt;1), "FLAG", "OK")</f>
        <v>OK</v>
      </c>
      <c r="O33" s="16" t="str">
        <f xml:space="preserve"> IF(Table1_14[[#This Row],[Appeared]]&gt;Table1_14[[#This Row],[Registered]], "FLAG", "OK")</f>
        <v>OK</v>
      </c>
      <c r="P33" s="16"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7">
        <f>Table1_14[[#This Row],[Registered]]/SUM(Table1_14[Registered])</f>
        <v>0</v>
      </c>
      <c r="N34" s="16" t="str">
        <f xml:space="preserve"> IF(OR(Table1_14[[#This Row],[Appearance Rate]]&lt;0, Table1_14[[#This Row],[Appearance Rate]]&gt;1), "FLAG", "OK")</f>
        <v>OK</v>
      </c>
      <c r="O34" s="16" t="str">
        <f xml:space="preserve"> IF(Table1_14[[#This Row],[Appeared]]&gt;Table1_14[[#This Row],[Registered]], "FLAG", "OK")</f>
        <v>OK</v>
      </c>
      <c r="P34" s="16"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7">
        <f>Table1_14[[#This Row],[Registered]]/SUM(Table1_14[Registered])</f>
        <v>4.7121350387158339E-2</v>
      </c>
      <c r="N35" s="16" t="str">
        <f xml:space="preserve"> IF(OR(Table1_14[[#This Row],[Appearance Rate]]&lt;0, Table1_14[[#This Row],[Appearance Rate]]&gt;1), "FLAG", "OK")</f>
        <v>OK</v>
      </c>
      <c r="O35" s="16" t="str">
        <f xml:space="preserve"> IF(Table1_14[[#This Row],[Appeared]]&gt;Table1_14[[#This Row],[Registered]], "FLAG", "OK")</f>
        <v>OK</v>
      </c>
      <c r="P35" s="16"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7">
        <f>Table1_14[[#This Row],[Registered]]/SUM(Table1_14[Registered])</f>
        <v>1.143995379537495E-3</v>
      </c>
      <c r="N36" s="16" t="str">
        <f xml:space="preserve"> IF(OR(Table1_14[[#This Row],[Appearance Rate]]&lt;0, Table1_14[[#This Row],[Appearance Rate]]&gt;1), "FLAG", "OK")</f>
        <v>OK</v>
      </c>
      <c r="O36" s="16" t="str">
        <f xml:space="preserve"> IF(Table1_14[[#This Row],[Appeared]]&gt;Table1_14[[#This Row],[Registered]], "FLAG", "OK")</f>
        <v>OK</v>
      </c>
      <c r="P36" s="1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7">
        <f>Table1_14[[#This Row],[Registered]]/SUM(Table1_14[Registered])</f>
        <v>4.6656385071902817E-3</v>
      </c>
      <c r="N37" s="16" t="str">
        <f xml:space="preserve"> IF(OR(Table1_14[[#This Row],[Appearance Rate]]&lt;0, Table1_14[[#This Row],[Appearance Rate]]&gt;1), "FLAG", "OK")</f>
        <v>OK</v>
      </c>
      <c r="O37" s="16" t="str">
        <f xml:space="preserve"> IF(Table1_14[[#This Row],[Appeared]]&gt;Table1_14[[#This Row],[Registered]], "FLAG", "OK")</f>
        <v>OK</v>
      </c>
      <c r="P37" s="16"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7">
        <f>Table1_14[[#This Row],[Registered]]/SUM(Table1_14[Registered])</f>
        <v>1.1398252870239926E-4</v>
      </c>
      <c r="N38" s="16" t="str">
        <f xml:space="preserve"> IF(OR(Table1_14[[#This Row],[Appearance Rate]]&lt;0, Table1_14[[#This Row],[Appearance Rate]]&gt;1), "FLAG", "OK")</f>
        <v>OK</v>
      </c>
      <c r="O38" s="16" t="str">
        <f xml:space="preserve"> IF(Table1_14[[#This Row],[Appeared]]&gt;Table1_14[[#This Row],[Registered]], "FLAG", "OK")</f>
        <v>OK</v>
      </c>
      <c r="P38" s="16"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7">
        <f>Table1_14[[#This Row],[Registered]]/SUM(Table1_14[Registered])</f>
        <v>1.0807489764160419E-3</v>
      </c>
      <c r="N39" s="16" t="str">
        <f xml:space="preserve"> IF(OR(Table1_14[[#This Row],[Appearance Rate]]&lt;0, Table1_14[[#This Row],[Appearance Rate]]&gt;1), "FLAG", "OK")</f>
        <v>OK</v>
      </c>
      <c r="O39" s="16" t="str">
        <f xml:space="preserve"> IF(Table1_14[[#This Row],[Appeared]]&gt;Table1_14[[#This Row],[Registered]], "FLAG", "OK")</f>
        <v>OK</v>
      </c>
      <c r="P39" s="16"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7">
        <f>Table1_14[[#This Row],[Registered]]/SUM(Table1_14[Registered])</f>
        <v>1.5290339216175512E-5</v>
      </c>
      <c r="N40" s="16" t="str">
        <f xml:space="preserve"> IF(OR(Table1_14[[#This Row],[Appearance Rate]]&lt;0, Table1_14[[#This Row],[Appearance Rate]]&gt;1), "FLAG", "OK")</f>
        <v>OK</v>
      </c>
      <c r="O40" s="16" t="str">
        <f xml:space="preserve"> IF(Table1_14[[#This Row],[Appeared]]&gt;Table1_14[[#This Row],[Registered]], "FLAG", "OK")</f>
        <v>OK</v>
      </c>
      <c r="P40" s="16"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7">
        <f>Table1_14[[#This Row],[Registered]]/SUM(Table1_14[Registered])</f>
        <v>4.3419698266006029E-2</v>
      </c>
      <c r="N41" s="16" t="str">
        <f xml:space="preserve"> IF(OR(Table1_14[[#This Row],[Appearance Rate]]&lt;0, Table1_14[[#This Row],[Appearance Rate]]&gt;1), "FLAG", "OK")</f>
        <v>OK</v>
      </c>
      <c r="O41" s="16" t="str">
        <f xml:space="preserve"> IF(Table1_14[[#This Row],[Appeared]]&gt;Table1_14[[#This Row],[Registered]], "FLAG", "OK")</f>
        <v>OK</v>
      </c>
      <c r="P41" s="16"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7">
        <f>Table1_14[[#This Row],[Registered]]/SUM(Table1_14[Registered])</f>
        <v>7.7841726918711693E-4</v>
      </c>
      <c r="N42" s="16" t="str">
        <f xml:space="preserve"> IF(OR(Table1_14[[#This Row],[Appearance Rate]]&lt;0, Table1_14[[#This Row],[Appearance Rate]]&gt;1), "FLAG", "OK")</f>
        <v>OK</v>
      </c>
      <c r="O42" s="16" t="str">
        <f xml:space="preserve"> IF(Table1_14[[#This Row],[Appeared]]&gt;Table1_14[[#This Row],[Registered]], "FLAG", "OK")</f>
        <v>OK</v>
      </c>
      <c r="P42" s="16"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7">
        <f>Table1_14[[#This Row],[Registered]]/SUM(Table1_14[Registered])</f>
        <v>2.9969064863704003E-3</v>
      </c>
      <c r="N43" s="16" t="str">
        <f xml:space="preserve"> IF(OR(Table1_14[[#This Row],[Appearance Rate]]&lt;0, Table1_14[[#This Row],[Appearance Rate]]&gt;1), "FLAG", "OK")</f>
        <v>OK</v>
      </c>
      <c r="O43" s="16" t="str">
        <f xml:space="preserve"> IF(Table1_14[[#This Row],[Appeared]]&gt;Table1_14[[#This Row],[Registered]], "FLAG", "OK")</f>
        <v>OK</v>
      </c>
      <c r="P43" s="16"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7">
        <f>Table1_14[[#This Row],[Registered]]/SUM(Table1_14[Registered])</f>
        <v>0</v>
      </c>
      <c r="N44" s="16" t="str">
        <f xml:space="preserve"> IF(OR(Table1_14[[#This Row],[Appearance Rate]]&lt;0, Table1_14[[#This Row],[Appearance Rate]]&gt;1), "FLAG", "OK")</f>
        <v>OK</v>
      </c>
      <c r="O44" s="16" t="str">
        <f xml:space="preserve"> IF(Table1_14[[#This Row],[Appeared]]&gt;Table1_14[[#This Row],[Registered]], "FLAG", "OK")</f>
        <v>OK</v>
      </c>
      <c r="P44" s="16"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7">
        <f>Table1_14[[#This Row],[Registered]]/SUM(Table1_14[Registered])</f>
        <v>6.965166522219296E-2</v>
      </c>
      <c r="N45" s="16" t="str">
        <f xml:space="preserve"> IF(OR(Table1_14[[#This Row],[Appearance Rate]]&lt;0, Table1_14[[#This Row],[Appearance Rate]]&gt;1), "FLAG", "OK")</f>
        <v>OK</v>
      </c>
      <c r="O45" s="16" t="str">
        <f xml:space="preserve"> IF(Table1_14[[#This Row],[Appeared]]&gt;Table1_14[[#This Row],[Registered]], "FLAG", "OK")</f>
        <v>OK</v>
      </c>
      <c r="P45" s="16"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7">
        <f>Table1_14[[#This Row],[Registered]]/SUM(Table1_14[Registered])</f>
        <v>4.4619989894475812E-3</v>
      </c>
      <c r="N46" s="16" t="str">
        <f xml:space="preserve"> IF(OR(Table1_14[[#This Row],[Appearance Rate]]&lt;0, Table1_14[[#This Row],[Appearance Rate]]&gt;1), "FLAG", "OK")</f>
        <v>OK</v>
      </c>
      <c r="O46" s="16" t="str">
        <f xml:space="preserve"> IF(Table1_14[[#This Row],[Appeared]]&gt;Table1_14[[#This Row],[Registered]], "FLAG", "OK")</f>
        <v>OK</v>
      </c>
      <c r="P46" s="1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7">
        <f>Table1_14[[#This Row],[Registered]]/SUM(Table1_14[Registered])</f>
        <v>4.5143336504920362E-2</v>
      </c>
      <c r="N47" s="16" t="str">
        <f xml:space="preserve"> IF(OR(Table1_14[[#This Row],[Appearance Rate]]&lt;0, Table1_14[[#This Row],[Appearance Rate]]&gt;1), "FLAG", "OK")</f>
        <v>OK</v>
      </c>
      <c r="O47" s="16" t="str">
        <f xml:space="preserve"> IF(Table1_14[[#This Row],[Appeared]]&gt;Table1_14[[#This Row],[Registered]], "FLAG", "OK")</f>
        <v>OK</v>
      </c>
      <c r="P47" s="16"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7">
        <f>Table1_14[[#This Row],[Registered]]/SUM(Table1_14[Registered])</f>
        <v>5.6296248932282561E-5</v>
      </c>
      <c r="N48" s="16" t="str">
        <f xml:space="preserve"> IF(OR(Table1_14[[#This Row],[Appearance Rate]]&lt;0, Table1_14[[#This Row],[Appearance Rate]]&gt;1), "FLAG", "OK")</f>
        <v>OK</v>
      </c>
      <c r="O48" s="16" t="str">
        <f xml:space="preserve"> IF(Table1_14[[#This Row],[Appeared]]&gt;Table1_14[[#This Row],[Registered]], "FLAG", "OK")</f>
        <v>OK</v>
      </c>
      <c r="P48" s="16"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7">
        <f>Table1_14[[#This Row],[Registered]]/SUM(Table1_14[Registered])</f>
        <v>4.6350578287579309E-3</v>
      </c>
      <c r="N49" s="16" t="str">
        <f xml:space="preserve"> IF(OR(Table1_14[[#This Row],[Appearance Rate]]&lt;0, Table1_14[[#This Row],[Appearance Rate]]&gt;1), "FLAG", "OK")</f>
        <v>OK</v>
      </c>
      <c r="O49" s="16" t="str">
        <f xml:space="preserve"> IF(Table1_14[[#This Row],[Appeared]]&gt;Table1_14[[#This Row],[Registered]], "FLAG", "OK")</f>
        <v>OK</v>
      </c>
      <c r="P49" s="16"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7">
        <f>Table1_14[[#This Row],[Registered]]/SUM(Table1_14[Registered])</f>
        <v>0</v>
      </c>
      <c r="N50" s="16" t="str">
        <f xml:space="preserve"> IF(OR(Table1_14[[#This Row],[Appearance Rate]]&lt;0, Table1_14[[#This Row],[Appearance Rate]]&gt;1), "FLAG", "OK")</f>
        <v>OK</v>
      </c>
      <c r="O50" s="16" t="str">
        <f xml:space="preserve"> IF(Table1_14[[#This Row],[Appeared]]&gt;Table1_14[[#This Row],[Registered]], "FLAG", "OK")</f>
        <v>OK</v>
      </c>
      <c r="P50" s="16"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7">
        <f>Table1_14[[#This Row],[Registered]]/SUM(Table1_14[Registered])</f>
        <v>4.8306351676411945E-2</v>
      </c>
      <c r="N51" s="16" t="str">
        <f xml:space="preserve"> IF(OR(Table1_14[[#This Row],[Appearance Rate]]&lt;0, Table1_14[[#This Row],[Appearance Rate]]&gt;1), "FLAG", "OK")</f>
        <v>OK</v>
      </c>
      <c r="O51" s="16" t="str">
        <f xml:space="preserve"> IF(Table1_14[[#This Row],[Appeared]]&gt;Table1_14[[#This Row],[Registered]], "FLAG", "OK")</f>
        <v>OK</v>
      </c>
      <c r="P51" s="16"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7">
        <f>Table1_14[[#This Row],[Registered]]/SUM(Table1_14[Registered])</f>
        <v>5.4037448820802086E-3</v>
      </c>
      <c r="N52" s="16" t="str">
        <f xml:space="preserve"> IF(OR(Table1_14[[#This Row],[Appearance Rate]]&lt;0, Table1_14[[#This Row],[Appearance Rate]]&gt;1), "FLAG", "OK")</f>
        <v>OK</v>
      </c>
      <c r="O52" s="16" t="str">
        <f xml:space="preserve"> IF(Table1_14[[#This Row],[Appeared]]&gt;Table1_14[[#This Row],[Registered]], "FLAG", "OK")</f>
        <v>OK</v>
      </c>
      <c r="P52" s="16"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7">
        <f>Table1_14[[#This Row],[Registered]]/SUM(Table1_14[Registered])</f>
        <v>2.8121018864803515E-2</v>
      </c>
      <c r="N53" s="16" t="str">
        <f xml:space="preserve"> IF(OR(Table1_14[[#This Row],[Appearance Rate]]&lt;0, Table1_14[[#This Row],[Appearance Rate]]&gt;1), "FLAG", "OK")</f>
        <v>OK</v>
      </c>
      <c r="O53" s="16" t="str">
        <f xml:space="preserve"> IF(Table1_14[[#This Row],[Appeared]]&gt;Table1_14[[#This Row],[Registered]], "FLAG", "OK")</f>
        <v>OK</v>
      </c>
      <c r="P53" s="16"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7">
        <f>Table1_14[[#This Row],[Registered]]/SUM(Table1_14[Registered])</f>
        <v>4.5176002229609464E-5</v>
      </c>
      <c r="N54" s="16" t="str">
        <f xml:space="preserve"> IF(OR(Table1_14[[#This Row],[Appearance Rate]]&lt;0, Table1_14[[#This Row],[Appearance Rate]]&gt;1), "FLAG", "OK")</f>
        <v>OK</v>
      </c>
      <c r="O54" s="16" t="str">
        <f xml:space="preserve"> IF(Table1_14[[#This Row],[Appeared]]&gt;Table1_14[[#This Row],[Registered]], "FLAG", "OK")</f>
        <v>OK</v>
      </c>
      <c r="P54" s="16"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7">
        <f>Table1_14[[#This Row],[Registered]]/SUM(Table1_14[Registered])</f>
        <v>1.9960842831298212E-3</v>
      </c>
      <c r="N55" s="16" t="str">
        <f xml:space="preserve"> IF(OR(Table1_14[[#This Row],[Appearance Rate]]&lt;0, Table1_14[[#This Row],[Appearance Rate]]&gt;1), "FLAG", "OK")</f>
        <v>OK</v>
      </c>
      <c r="O55" s="16" t="str">
        <f xml:space="preserve"> IF(Table1_14[[#This Row],[Appeared]]&gt;Table1_14[[#This Row],[Registered]], "FLAG", "OK")</f>
        <v>OK</v>
      </c>
      <c r="P55" s="16"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7">
        <f>Table1_14[[#This Row],[Registered]]/SUM(Table1_14[Registered])</f>
        <v>0</v>
      </c>
      <c r="N56" s="16" t="str">
        <f xml:space="preserve"> IF(OR(Table1_14[[#This Row],[Appearance Rate]]&lt;0, Table1_14[[#This Row],[Appearance Rate]]&gt;1), "FLAG", "OK")</f>
        <v>OK</v>
      </c>
      <c r="O56" s="16" t="str">
        <f xml:space="preserve"> IF(Table1_14[[#This Row],[Appeared]]&gt;Table1_14[[#This Row],[Registered]], "FLAG", "OK")</f>
        <v>OK</v>
      </c>
      <c r="P56" s="1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7">
        <f>Table1_14[[#This Row],[Registered]]/SUM(Table1_14[Registered])</f>
        <v>1.4367358739853644E-2</v>
      </c>
      <c r="N57" s="16" t="str">
        <f xml:space="preserve"> IF(OR(Table1_14[[#This Row],[Appearance Rate]]&lt;0, Table1_14[[#This Row],[Appearance Rate]]&gt;1), "FLAG", "OK")</f>
        <v>OK</v>
      </c>
      <c r="O57" s="16" t="str">
        <f xml:space="preserve"> IF(Table1_14[[#This Row],[Appeared]]&gt;Table1_14[[#This Row],[Registered]], "FLAG", "OK")</f>
        <v>OK</v>
      </c>
      <c r="P57" s="16"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7">
        <f>Table1_14[[#This Row],[Registered]]/SUM(Table1_14[Registered])</f>
        <v>7.0891572729541008E-5</v>
      </c>
      <c r="N58" s="16" t="str">
        <f xml:space="preserve"> IF(OR(Table1_14[[#This Row],[Appearance Rate]]&lt;0, Table1_14[[#This Row],[Appearance Rate]]&gt;1), "FLAG", "OK")</f>
        <v>OK</v>
      </c>
      <c r="O58" s="16" t="str">
        <f xml:space="preserve"> IF(Table1_14[[#This Row],[Appeared]]&gt;Table1_14[[#This Row],[Registered]], "FLAG", "OK")</f>
        <v>OK</v>
      </c>
      <c r="P58" s="16"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7">
        <f>Table1_14[[#This Row],[Registered]]/SUM(Table1_14[Registered])</f>
        <v>1.4434080220069681E-2</v>
      </c>
      <c r="N59" s="16" t="str">
        <f xml:space="preserve"> IF(OR(Table1_14[[#This Row],[Appearance Rate]]&lt;0, Table1_14[[#This Row],[Appearance Rate]]&gt;1), "FLAG", "OK")</f>
        <v>OK</v>
      </c>
      <c r="O59" s="16" t="str">
        <f xml:space="preserve"> IF(Table1_14[[#This Row],[Appeared]]&gt;Table1_14[[#This Row],[Registered]], "FLAG", "OK")</f>
        <v>OK</v>
      </c>
      <c r="P59" s="16"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7">
        <f>Table1_14[[#This Row],[Registered]]/SUM(Table1_14[Registered])</f>
        <v>3.1525899402078234E-3</v>
      </c>
      <c r="N60" s="16" t="str">
        <f xml:space="preserve"> IF(OR(Table1_14[[#This Row],[Appearance Rate]]&lt;0, Table1_14[[#This Row],[Appearance Rate]]&gt;1), "FLAG", "OK")</f>
        <v>OK</v>
      </c>
      <c r="O60" s="16" t="str">
        <f xml:space="preserve"> IF(Table1_14[[#This Row],[Appeared]]&gt;Table1_14[[#This Row],[Registered]], "FLAG", "OK")</f>
        <v>OK</v>
      </c>
      <c r="P60" s="16"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7">
        <f>Table1_14[[#This Row],[Registered]]/SUM(Table1_14[Registered])</f>
        <v>4.2194386082455241E-3</v>
      </c>
      <c r="N61" s="16" t="str">
        <f xml:space="preserve"> IF(OR(Table1_14[[#This Row],[Appearance Rate]]&lt;0, Table1_14[[#This Row],[Appearance Rate]]&gt;1), "FLAG", "OK")</f>
        <v>OK</v>
      </c>
      <c r="O61" s="16" t="str">
        <f xml:space="preserve"> IF(Table1_14[[#This Row],[Appeared]]&gt;Table1_14[[#This Row],[Registered]], "FLAG", "OK")</f>
        <v>OK</v>
      </c>
      <c r="P61" s="16"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7">
        <f>Table1_14[[#This Row],[Registered]]/SUM(Table1_14[Registered])</f>
        <v>0</v>
      </c>
      <c r="N62" s="16" t="str">
        <f xml:space="preserve"> IF(OR(Table1_14[[#This Row],[Appearance Rate]]&lt;0, Table1_14[[#This Row],[Appearance Rate]]&gt;1), "FLAG", "OK")</f>
        <v>OK</v>
      </c>
      <c r="O62" s="16" t="str">
        <f xml:space="preserve"> IF(Table1_14[[#This Row],[Appeared]]&gt;Table1_14[[#This Row],[Registered]], "FLAG", "OK")</f>
        <v>OK</v>
      </c>
      <c r="P62" s="16"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7">
        <f>Table1_14[[#This Row],[Registered]]/SUM(Table1_14[Registered])</f>
        <v>1.9321428645894509E-4</v>
      </c>
      <c r="N63" s="16" t="str">
        <f xml:space="preserve"> IF(OR(Table1_14[[#This Row],[Appearance Rate]]&lt;0, Table1_14[[#This Row],[Appearance Rate]]&gt;1), "FLAG", "OK")</f>
        <v>OK</v>
      </c>
      <c r="O63" s="16" t="str">
        <f xml:space="preserve"> IF(Table1_14[[#This Row],[Appeared]]&gt;Table1_14[[#This Row],[Registered]], "FLAG", "OK")</f>
        <v>OK</v>
      </c>
      <c r="P63" s="16"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7">
        <f>Table1_14[[#This Row],[Registered]]/SUM(Table1_14[Registered])</f>
        <v>6.4010920082262029E-4</v>
      </c>
      <c r="N64" s="16" t="str">
        <f xml:space="preserve"> IF(OR(Table1_14[[#This Row],[Appearance Rate]]&lt;0, Table1_14[[#This Row],[Appearance Rate]]&gt;1), "FLAG", "OK")</f>
        <v>OK</v>
      </c>
      <c r="O64" s="16" t="str">
        <f xml:space="preserve"> IF(Table1_14[[#This Row],[Appeared]]&gt;Table1_14[[#This Row],[Registered]], "FLAG", "OK")</f>
        <v>OK</v>
      </c>
      <c r="P64" s="16"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7">
        <f>Table1_14[[#This Row],[Registered]]/SUM(Table1_14[Registered])</f>
        <v>6.9979712499921812E-2</v>
      </c>
      <c r="N65" s="16" t="str">
        <f xml:space="preserve"> IF(OR(Table1_14[[#This Row],[Appearance Rate]]&lt;0, Table1_14[[#This Row],[Appearance Rate]]&gt;1), "FLAG", "OK")</f>
        <v>OK</v>
      </c>
      <c r="O65" s="16" t="str">
        <f xml:space="preserve"> IF(Table1_14[[#This Row],[Appeared]]&gt;Table1_14[[#This Row],[Registered]], "FLAG", "OK")</f>
        <v>OK</v>
      </c>
      <c r="P65" s="16"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7">
        <f>Table1_14[[#This Row],[Registered]]/SUM(Table1_14[Registered])</f>
        <v>7.4297148282234638E-4</v>
      </c>
      <c r="N66" s="16" t="str">
        <f xml:space="preserve"> IF(OR(Table1_14[[#This Row],[Appearance Rate]]&lt;0, Table1_14[[#This Row],[Appearance Rate]]&gt;1), "FLAG", "OK")</f>
        <v>OK</v>
      </c>
      <c r="O66" s="16" t="str">
        <f xml:space="preserve"> IF(Table1_14[[#This Row],[Appeared]]&gt;Table1_14[[#This Row],[Registered]], "FLAG", "OK")</f>
        <v>OK</v>
      </c>
      <c r="P66" s="1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7">
        <f>Table1_14[[#This Row],[Registered]]/SUM(Table1_14[Registered])</f>
        <v>3.1136690767484677E-3</v>
      </c>
      <c r="N67" s="16" t="str">
        <f xml:space="preserve"> IF(OR(Table1_14[[#This Row],[Appearance Rate]]&lt;0, Table1_14[[#This Row],[Appearance Rate]]&gt;1), "FLAG", "OK")</f>
        <v>OK</v>
      </c>
      <c r="O67" s="16" t="str">
        <f xml:space="preserve"> IF(Table1_14[[#This Row],[Appeared]]&gt;Table1_14[[#This Row],[Registered]], "FLAG", "OK")</f>
        <v>OK</v>
      </c>
      <c r="P67" s="16"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7">
        <f>Table1_14[[#This Row],[Registered]]/SUM(Table1_14[Registered])</f>
        <v>2.6410585918848608E-5</v>
      </c>
      <c r="N68" s="16" t="str">
        <f xml:space="preserve"> IF(OR(Table1_14[[#This Row],[Appearance Rate]]&lt;0, Table1_14[[#This Row],[Appearance Rate]]&gt;1), "FLAG", "OK")</f>
        <v>OK</v>
      </c>
      <c r="O68" s="16" t="str">
        <f xml:space="preserve"> IF(Table1_14[[#This Row],[Appeared]]&gt;Table1_14[[#This Row],[Registered]], "FLAG", "OK")</f>
        <v>OK</v>
      </c>
      <c r="P68" s="16"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7">
        <f>Table1_14[[#This Row],[Registered]]/SUM(Table1_14[Registered])</f>
        <v>2.4812050455339353E-4</v>
      </c>
      <c r="N69" s="16" t="str">
        <f xml:space="preserve"> IF(OR(Table1_14[[#This Row],[Appearance Rate]]&lt;0, Table1_14[[#This Row],[Appearance Rate]]&gt;1), "FLAG", "OK")</f>
        <v>OK</v>
      </c>
      <c r="O69" s="16" t="str">
        <f xml:space="preserve"> IF(Table1_14[[#This Row],[Appeared]]&gt;Table1_14[[#This Row],[Registered]], "FLAG", "OK")</f>
        <v>OK</v>
      </c>
      <c r="P69" s="16"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7">
        <f>Table1_14[[#This Row],[Registered]]/SUM(Table1_14[Registered])</f>
        <v>0</v>
      </c>
      <c r="N70" s="16" t="str">
        <f xml:space="preserve"> IF(OR(Table1_14[[#This Row],[Appearance Rate]]&lt;0, Table1_14[[#This Row],[Appearance Rate]]&gt;1), "FLAG", "OK")</f>
        <v>OK</v>
      </c>
      <c r="O70" s="16" t="str">
        <f xml:space="preserve"> IF(Table1_14[[#This Row],[Appeared]]&gt;Table1_14[[#This Row],[Registered]], "FLAG", "OK")</f>
        <v>OK</v>
      </c>
      <c r="P70" s="16"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7">
        <f>Table1_14[[#This Row],[Registered]]/SUM(Table1_14[Registered])</f>
        <v>8.248095483998312E-2</v>
      </c>
      <c r="N71" s="16" t="str">
        <f xml:space="preserve"> IF(OR(Table1_14[[#This Row],[Appearance Rate]]&lt;0, Table1_14[[#This Row],[Appearance Rate]]&gt;1), "FLAG", "OK")</f>
        <v>OK</v>
      </c>
      <c r="O71" s="16" t="str">
        <f xml:space="preserve"> IF(Table1_14[[#This Row],[Appeared]]&gt;Table1_14[[#This Row],[Registered]], "FLAG", "OK")</f>
        <v>OK</v>
      </c>
      <c r="P71" s="16"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7">
        <f>Table1_14[[#This Row],[Registered]]/SUM(Table1_14[Registered])</f>
        <v>1.5505793996039802E-3</v>
      </c>
      <c r="N72" s="16" t="str">
        <f xml:space="preserve"> IF(OR(Table1_14[[#This Row],[Appearance Rate]]&lt;0, Table1_14[[#This Row],[Appearance Rate]]&gt;1), "FLAG", "OK")</f>
        <v>OK</v>
      </c>
      <c r="O72" s="16" t="str">
        <f xml:space="preserve"> IF(Table1_14[[#This Row],[Appeared]]&gt;Table1_14[[#This Row],[Registered]], "FLAG", "OK")</f>
        <v>OK</v>
      </c>
      <c r="P72" s="16"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7">
        <f>Table1_14[[#This Row],[Registered]]/SUM(Table1_14[Registered])</f>
        <v>2.5124807393852033E-3</v>
      </c>
      <c r="N73" s="16" t="str">
        <f xml:space="preserve"> IF(OR(Table1_14[[#This Row],[Appearance Rate]]&lt;0, Table1_14[[#This Row],[Appearance Rate]]&gt;1), "FLAG", "OK")</f>
        <v>OK</v>
      </c>
      <c r="O73" s="16" t="str">
        <f xml:space="preserve"> IF(Table1_14[[#This Row],[Appeared]]&gt;Table1_14[[#This Row],[Registered]], "FLAG", "OK")</f>
        <v>OK</v>
      </c>
      <c r="P73" s="16"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7">
        <f>Table1_14[[#This Row],[Registered]]/SUM(Table1_14[Registered])</f>
        <v>0</v>
      </c>
      <c r="N74" s="16" t="str">
        <f xml:space="preserve"> IF(OR(Table1_14[[#This Row],[Appearance Rate]]&lt;0, Table1_14[[#This Row],[Appearance Rate]]&gt;1), "FLAG", "OK")</f>
        <v>OK</v>
      </c>
      <c r="O74" s="16" t="str">
        <f xml:space="preserve"> IF(Table1_14[[#This Row],[Appeared]]&gt;Table1_14[[#This Row],[Registered]], "FLAG", "OK")</f>
        <v>OK</v>
      </c>
      <c r="P74" s="16"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7">
        <f>Table1_14[[#This Row],[Registered]]/SUM(Table1_14[Registered])</f>
        <v>5.8381295189033768E-5</v>
      </c>
      <c r="N75" s="16" t="str">
        <f xml:space="preserve"> IF(OR(Table1_14[[#This Row],[Appearance Rate]]&lt;0, Table1_14[[#This Row],[Appearance Rate]]&gt;1), "FLAG", "OK")</f>
        <v>OK</v>
      </c>
      <c r="O75" s="16" t="str">
        <f xml:space="preserve"> IF(Table1_14[[#This Row],[Appeared]]&gt;Table1_14[[#This Row],[Registered]], "FLAG", "OK")</f>
        <v>OK</v>
      </c>
      <c r="P75" s="16"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7">
        <f>Table1_14[[#This Row],[Registered]]/SUM(Table1_14[Registered])</f>
        <v>0</v>
      </c>
      <c r="N76" s="16" t="str">
        <f xml:space="preserve"> IF(OR(Table1_14[[#This Row],[Appearance Rate]]&lt;0, Table1_14[[#This Row],[Appearance Rate]]&gt;1), "FLAG", "OK")</f>
        <v>OK</v>
      </c>
      <c r="O76" s="16" t="str">
        <f xml:space="preserve"> IF(Table1_14[[#This Row],[Appeared]]&gt;Table1_14[[#This Row],[Registered]], "FLAG", "OK")</f>
        <v>OK</v>
      </c>
      <c r="P76" s="1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7">
        <f>Table1_14[[#This Row],[Registered]]/SUM(Table1_14[Registered])</f>
        <v>5.887892622897839E-2</v>
      </c>
      <c r="N77" s="16" t="str">
        <f xml:space="preserve"> IF(OR(Table1_14[[#This Row],[Appearance Rate]]&lt;0, Table1_14[[#This Row],[Appearance Rate]]&gt;1), "FLAG", "OK")</f>
        <v>OK</v>
      </c>
      <c r="O77" s="16" t="str">
        <f xml:space="preserve"> IF(Table1_14[[#This Row],[Appeared]]&gt;Table1_14[[#This Row],[Registered]], "FLAG", "OK")</f>
        <v>OK</v>
      </c>
      <c r="P77" s="16"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7">
        <f>Table1_14[[#This Row],[Registered]]/SUM(Table1_14[Registered])</f>
        <v>2.581287265857993E-3</v>
      </c>
      <c r="N78" s="16" t="str">
        <f xml:space="preserve"> IF(OR(Table1_14[[#This Row],[Appearance Rate]]&lt;0, Table1_14[[#This Row],[Appearance Rate]]&gt;1), "FLAG", "OK")</f>
        <v>OK</v>
      </c>
      <c r="O78" s="16" t="str">
        <f xml:space="preserve"> IF(Table1_14[[#This Row],[Appeared]]&gt;Table1_14[[#This Row],[Registered]], "FLAG", "OK")</f>
        <v>OK</v>
      </c>
      <c r="P78" s="16"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7">
        <f>Table1_14[[#This Row],[Registered]]/SUM(Table1_14[Registered])</f>
        <v>3.7593384009224243E-3</v>
      </c>
      <c r="N79" s="16" t="str">
        <f xml:space="preserve"> IF(OR(Table1_14[[#This Row],[Appearance Rate]]&lt;0, Table1_14[[#This Row],[Appearance Rate]]&gt;1), "FLAG", "OK")</f>
        <v>OK</v>
      </c>
      <c r="O79" s="16" t="str">
        <f xml:space="preserve"> IF(Table1_14[[#This Row],[Appeared]]&gt;Table1_14[[#This Row],[Registered]], "FLAG", "OK")</f>
        <v>OK</v>
      </c>
      <c r="P79" s="16"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7">
        <f>Table1_14[[#This Row],[Registered]]/SUM(Table1_14[Registered])</f>
        <v>0</v>
      </c>
      <c r="N80" s="16" t="str">
        <f xml:space="preserve"> IF(OR(Table1_14[[#This Row],[Appearance Rate]]&lt;0, Table1_14[[#This Row],[Appearance Rate]]&gt;1), "FLAG", "OK")</f>
        <v>OK</v>
      </c>
      <c r="O80" s="16" t="str">
        <f xml:space="preserve"> IF(Table1_14[[#This Row],[Appeared]]&gt;Table1_14[[#This Row],[Registered]], "FLAG", "OK")</f>
        <v>OK</v>
      </c>
      <c r="P80" s="16"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7">
        <f>Table1_14[[#This Row],[Registered]]/SUM(Table1_14[Registered])</f>
        <v>9.2854059967320372E-4</v>
      </c>
      <c r="N81" s="16" t="str">
        <f xml:space="preserve"> IF(OR(Table1_14[[#This Row],[Appearance Rate]]&lt;0, Table1_14[[#This Row],[Appearance Rate]]&gt;1), "FLAG", "OK")</f>
        <v>OK</v>
      </c>
      <c r="O81" s="16" t="str">
        <f xml:space="preserve"> IF(Table1_14[[#This Row],[Appeared]]&gt;Table1_14[[#This Row],[Registered]], "FLAG", "OK")</f>
        <v>OK</v>
      </c>
      <c r="P81" s="16"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7">
        <f>Table1_14[[#This Row],[Registered]]/SUM(Table1_14[Registered])</f>
        <v>0</v>
      </c>
      <c r="N82" s="16" t="str">
        <f xml:space="preserve"> IF(OR(Table1_14[[#This Row],[Appearance Rate]]&lt;0, Table1_14[[#This Row],[Appearance Rate]]&gt;1), "FLAG", "OK")</f>
        <v>OK</v>
      </c>
      <c r="O82" s="16" t="str">
        <f xml:space="preserve"> IF(Table1_14[[#This Row],[Appeared]]&gt;Table1_14[[#This Row],[Registered]], "FLAG", "OK")</f>
        <v>OK</v>
      </c>
      <c r="P82" s="16"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7">
        <f>Table1_14[[#This Row],[Registered]]/SUM(Table1_14[Registered])</f>
        <v>9.1553686118526545E-2</v>
      </c>
      <c r="N83" s="16" t="str">
        <f xml:space="preserve"> IF(OR(Table1_14[[#This Row],[Appearance Rate]]&lt;0, Table1_14[[#This Row],[Appearance Rate]]&gt;1), "FLAG", "OK")</f>
        <v>OK</v>
      </c>
      <c r="O83" s="16" t="str">
        <f xml:space="preserve"> IF(Table1_14[[#This Row],[Appeared]]&gt;Table1_14[[#This Row],[Registered]], "FLAG", "OK")</f>
        <v>OK</v>
      </c>
      <c r="P83" s="16"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7">
        <f>Table1_14[[#This Row],[Registered]]/SUM(Table1_14[Registered])</f>
        <v>2.2129290938319468E-3</v>
      </c>
      <c r="N84" s="16" t="str">
        <f xml:space="preserve"> IF(OR(Table1_14[[#This Row],[Appearance Rate]]&lt;0, Table1_14[[#This Row],[Appearance Rate]]&gt;1), "FLAG", "OK")</f>
        <v>OK</v>
      </c>
      <c r="O84" s="16" t="str">
        <f xml:space="preserve"> IF(Table1_14[[#This Row],[Appeared]]&gt;Table1_14[[#This Row],[Registered]], "FLAG", "OK")</f>
        <v>OK</v>
      </c>
      <c r="P84" s="16"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7">
        <f>Table1_14[[#This Row],[Registered]]/SUM(Table1_14[Registered])</f>
        <v>6.0327338362001562E-3</v>
      </c>
      <c r="N85" s="16" t="str">
        <f xml:space="preserve"> IF(OR(Table1_14[[#This Row],[Appearance Rate]]&lt;0, Table1_14[[#This Row],[Appearance Rate]]&gt;1), "FLAG", "OK")</f>
        <v>OK</v>
      </c>
      <c r="O85" s="16" t="str">
        <f xml:space="preserve"> IF(Table1_14[[#This Row],[Appeared]]&gt;Table1_14[[#This Row],[Registered]], "FLAG", "OK")</f>
        <v>OK</v>
      </c>
      <c r="P85" s="16"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7">
        <f>Table1_14[[#This Row],[Registered]]/SUM(Table1_14[Registered])</f>
        <v>0</v>
      </c>
      <c r="N86" s="16" t="str">
        <f xml:space="preserve"> IF(OR(Table1_14[[#This Row],[Appearance Rate]]&lt;0, Table1_14[[#This Row],[Appearance Rate]]&gt;1), "FLAG", "OK")</f>
        <v>OK</v>
      </c>
      <c r="O86" s="16" t="str">
        <f xml:space="preserve"> IF(Table1_14[[#This Row],[Appeared]]&gt;Table1_14[[#This Row],[Registered]], "FLAG", "OK")</f>
        <v>OK</v>
      </c>
      <c r="P86" s="1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7">
        <f>Table1_14[[#This Row],[Registered]]/SUM(Table1_14[Registered])</f>
        <v>1.0668486680377005E-3</v>
      </c>
      <c r="N87" s="16" t="str">
        <f xml:space="preserve"> IF(OR(Table1_14[[#This Row],[Appearance Rate]]&lt;0, Table1_14[[#This Row],[Appearance Rate]]&gt;1), "FLAG", "OK")</f>
        <v>OK</v>
      </c>
      <c r="O87" s="16" t="str">
        <f xml:space="preserve"> IF(Table1_14[[#This Row],[Appeared]]&gt;Table1_14[[#This Row],[Registered]], "FLAG", "OK")</f>
        <v>OK</v>
      </c>
      <c r="P87" s="16"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7">
        <f>Table1_14[[#This Row],[Registered]]/SUM(Table1_14[Registered])</f>
        <v>0</v>
      </c>
      <c r="N88" s="16" t="str">
        <f xml:space="preserve"> IF(OR(Table1_14[[#This Row],[Appearance Rate]]&lt;0, Table1_14[[#This Row],[Appearance Rate]]&gt;1), "FLAG", "OK")</f>
        <v>OK</v>
      </c>
      <c r="O88" s="16" t="str">
        <f xml:space="preserve"> IF(Table1_14[[#This Row],[Appeared]]&gt;Table1_14[[#This Row],[Registered]], "FLAG", "OK")</f>
        <v>OK</v>
      </c>
      <c r="P88" s="16"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7">
        <f>Table1_14[[#This Row],[Registered]]/SUM(Table1_14[Registered])</f>
        <v>1.5847046566728081E-2</v>
      </c>
      <c r="N89" s="16" t="str">
        <f xml:space="preserve"> IF(OR(Table1_14[[#This Row],[Appearance Rate]]&lt;0, Table1_14[[#This Row],[Appearance Rate]]&gt;1), "FLAG", "OK")</f>
        <v>OK</v>
      </c>
      <c r="O89" s="16" t="str">
        <f xml:space="preserve"> IF(Table1_14[[#This Row],[Appeared]]&gt;Table1_14[[#This Row],[Registered]], "FLAG", "OK")</f>
        <v>OK</v>
      </c>
      <c r="P89" s="16"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7">
        <f>Table1_14[[#This Row],[Registered]]/SUM(Table1_14[Registered])</f>
        <v>1.1627607958482559E-3</v>
      </c>
      <c r="N90" s="16" t="str">
        <f xml:space="preserve"> IF(OR(Table1_14[[#This Row],[Appearance Rate]]&lt;0, Table1_14[[#This Row],[Appearance Rate]]&gt;1), "FLAG", "OK")</f>
        <v>OK</v>
      </c>
      <c r="O90" s="16" t="str">
        <f xml:space="preserve"> IF(Table1_14[[#This Row],[Appeared]]&gt;Table1_14[[#This Row],[Registered]], "FLAG", "OK")</f>
        <v>OK</v>
      </c>
      <c r="P90" s="16"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7">
        <f>Table1_14[[#This Row],[Registered]]/SUM(Table1_14[Registered])</f>
        <v>3.3770799205180366E-3</v>
      </c>
      <c r="N91" s="16" t="str">
        <f xml:space="preserve"> IF(OR(Table1_14[[#This Row],[Appearance Rate]]&lt;0, Table1_14[[#This Row],[Appearance Rate]]&gt;1), "FLAG", "OK")</f>
        <v>OK</v>
      </c>
      <c r="O91" s="16" t="str">
        <f xml:space="preserve"> IF(Table1_14[[#This Row],[Appeared]]&gt;Table1_14[[#This Row],[Registered]], "FLAG", "OK")</f>
        <v>OK</v>
      </c>
      <c r="P91" s="16"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7">
        <f>Table1_14[[#This Row],[Registered]]/SUM(Table1_14[Registered])</f>
        <v>0</v>
      </c>
      <c r="N92" s="16" t="str">
        <f xml:space="preserve"> IF(OR(Table1_14[[#This Row],[Appearance Rate]]&lt;0, Table1_14[[#This Row],[Appearance Rate]]&gt;1), "FLAG", "OK")</f>
        <v>OK</v>
      </c>
      <c r="O92" s="16" t="str">
        <f xml:space="preserve"> IF(Table1_14[[#This Row],[Appeared]]&gt;Table1_14[[#This Row],[Registered]], "FLAG", "OK")</f>
        <v>OK</v>
      </c>
      <c r="P92" s="16"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7">
        <f>Table1_14[[#This Row],[Registered]]/SUM(Table1_14[Registered])</f>
        <v>5.6991264351199632E-5</v>
      </c>
      <c r="N93" s="16" t="str">
        <f xml:space="preserve"> IF(OR(Table1_14[[#This Row],[Appearance Rate]]&lt;0, Table1_14[[#This Row],[Appearance Rate]]&gt;1), "FLAG", "OK")</f>
        <v>OK</v>
      </c>
      <c r="O93" s="16" t="str">
        <f xml:space="preserve"> IF(Table1_14[[#This Row],[Appeared]]&gt;Table1_14[[#This Row],[Registered]], "FLAG", "OK")</f>
        <v>OK</v>
      </c>
      <c r="P93" s="16"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7">
        <f>Table1_14[[#This Row],[Registered]]/SUM(Table1_14[Registered])</f>
        <v>0</v>
      </c>
      <c r="N94" s="16" t="str">
        <f xml:space="preserve"> IF(OR(Table1_14[[#This Row],[Appearance Rate]]&lt;0, Table1_14[[#This Row],[Appearance Rate]]&gt;1), "FLAG", "OK")</f>
        <v>OK</v>
      </c>
      <c r="O94" s="16" t="str">
        <f xml:space="preserve"> IF(Table1_14[[#This Row],[Appeared]]&gt;Table1_14[[#This Row],[Registered]], "FLAG", "OK")</f>
        <v>OK</v>
      </c>
      <c r="P94" s="16"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7">
        <f>Table1_14[[#This Row],[Registered]]/SUM(Table1_14[Registered])</f>
        <v>2.32830165337218E-2</v>
      </c>
      <c r="N95" s="16" t="str">
        <f xml:space="preserve"> IF(OR(Table1_14[[#This Row],[Appearance Rate]]&lt;0, Table1_14[[#This Row],[Appearance Rate]]&gt;1), "FLAG", "OK")</f>
        <v>OK</v>
      </c>
      <c r="O95" s="16" t="str">
        <f xml:space="preserve"> IF(Table1_14[[#This Row],[Appeared]]&gt;Table1_14[[#This Row],[Registered]], "FLAG", "OK")</f>
        <v>OK</v>
      </c>
      <c r="P95" s="16"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7">
        <f>Table1_14[[#This Row],[Registered]]/SUM(Table1_14[Registered])</f>
        <v>6.7625000260630784E-4</v>
      </c>
      <c r="N96" s="16" t="str">
        <f xml:space="preserve"> IF(OR(Table1_14[[#This Row],[Appearance Rate]]&lt;0, Table1_14[[#This Row],[Appearance Rate]]&gt;1), "FLAG", "OK")</f>
        <v>OK</v>
      </c>
      <c r="O96" s="16" t="str">
        <f xml:space="preserve"> IF(Table1_14[[#This Row],[Appeared]]&gt;Table1_14[[#This Row],[Registered]], "FLAG", "OK")</f>
        <v>OK</v>
      </c>
      <c r="P96" s="1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7">
        <f>Table1_14[[#This Row],[Registered]]/SUM(Table1_14[Registered])</f>
        <v>2.5479265257499738E-3</v>
      </c>
      <c r="N97" s="16" t="str">
        <f xml:space="preserve"> IF(OR(Table1_14[[#This Row],[Appearance Rate]]&lt;0, Table1_14[[#This Row],[Appearance Rate]]&gt;1), "FLAG", "OK")</f>
        <v>OK</v>
      </c>
      <c r="O97" s="16" t="str">
        <f xml:space="preserve"> IF(Table1_14[[#This Row],[Appeared]]&gt;Table1_14[[#This Row],[Registered]], "FLAG", "OK")</f>
        <v>OK</v>
      </c>
      <c r="P97" s="16" t="str">
        <f xml:space="preserve"> IF(OR(ISBLANK(Table1_14[[#This Row],[Registered]]), ISBLANK(Table1_14[[#This Row],[Appeared]]), Table1_14[[#This Row],[Registered]]=0, Table1_14[[#This Row],[Appeared]]=0), "FLAG", "OK")</f>
        <v>OK</v>
      </c>
    </row>
    <row r="98" spans="1:16" x14ac:dyDescent="0.3">
      <c r="M98" s="7">
        <f xml:space="preserve"> SUM(Table1_14[Coverage Share])</f>
        <v>0.99999999999999978</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36"/>
  <sheetViews>
    <sheetView topLeftCell="B1" workbookViewId="0">
      <selection activeCell="B5" sqref="B5"/>
    </sheetView>
  </sheetViews>
  <sheetFormatPr defaultRowHeight="14.4" x14ac:dyDescent="0.3"/>
  <cols>
    <col min="1" max="1" width="13.77734375" bestFit="1" customWidth="1"/>
    <col min="2" max="2" width="15.21875" bestFit="1" customWidth="1"/>
  </cols>
  <sheetData>
    <row r="1" spans="1:2" x14ac:dyDescent="0.3">
      <c r="A1" s="1" t="s">
        <v>39</v>
      </c>
      <c r="B1" t="s">
        <v>40</v>
      </c>
    </row>
    <row r="3" spans="1:2" x14ac:dyDescent="0.3">
      <c r="A3" s="1" t="s">
        <v>36</v>
      </c>
      <c r="B3" t="s">
        <v>38</v>
      </c>
    </row>
    <row r="4" spans="1:2" x14ac:dyDescent="0.3">
      <c r="A4" s="2" t="s">
        <v>19</v>
      </c>
      <c r="B4">
        <v>2363</v>
      </c>
    </row>
    <row r="5" spans="1:2" x14ac:dyDescent="0.3">
      <c r="A5" s="3" t="s">
        <v>9</v>
      </c>
      <c r="B5">
        <v>2363</v>
      </c>
    </row>
    <row r="6" spans="1:2" x14ac:dyDescent="0.3">
      <c r="A6" s="2" t="s">
        <v>27</v>
      </c>
      <c r="B6">
        <v>2872</v>
      </c>
    </row>
    <row r="7" spans="1:2" x14ac:dyDescent="0.3">
      <c r="A7" s="3" t="s">
        <v>9</v>
      </c>
      <c r="B7">
        <v>2872</v>
      </c>
    </row>
    <row r="8" spans="1:2" x14ac:dyDescent="0.3">
      <c r="A8" s="2" t="s">
        <v>18</v>
      </c>
      <c r="B8">
        <v>3615</v>
      </c>
    </row>
    <row r="9" spans="1:2" x14ac:dyDescent="0.3">
      <c r="A9" s="3" t="s">
        <v>9</v>
      </c>
      <c r="B9">
        <v>3615</v>
      </c>
    </row>
    <row r="10" spans="1:2" x14ac:dyDescent="0.3">
      <c r="A10" s="2" t="s">
        <v>25</v>
      </c>
      <c r="B10">
        <v>3666</v>
      </c>
    </row>
    <row r="11" spans="1:2" x14ac:dyDescent="0.3">
      <c r="A11" s="3" t="s">
        <v>9</v>
      </c>
      <c r="B11">
        <v>3666</v>
      </c>
    </row>
    <row r="12" spans="1:2" x14ac:dyDescent="0.3">
      <c r="A12" s="2" t="s">
        <v>26</v>
      </c>
      <c r="B12">
        <v>4312</v>
      </c>
    </row>
    <row r="13" spans="1:2" x14ac:dyDescent="0.3">
      <c r="A13" s="3" t="s">
        <v>9</v>
      </c>
      <c r="B13">
        <v>4312</v>
      </c>
    </row>
    <row r="14" spans="1:2" x14ac:dyDescent="0.3">
      <c r="A14" s="2" t="s">
        <v>22</v>
      </c>
      <c r="B14">
        <v>4480</v>
      </c>
    </row>
    <row r="15" spans="1:2" x14ac:dyDescent="0.3">
      <c r="A15" s="3" t="s">
        <v>9</v>
      </c>
      <c r="B15">
        <v>4480</v>
      </c>
    </row>
    <row r="16" spans="1:2" x14ac:dyDescent="0.3">
      <c r="A16" s="2" t="s">
        <v>16</v>
      </c>
      <c r="B16">
        <v>4859</v>
      </c>
    </row>
    <row r="17" spans="1:2" x14ac:dyDescent="0.3">
      <c r="A17" s="3" t="s">
        <v>9</v>
      </c>
      <c r="B17">
        <v>4859</v>
      </c>
    </row>
    <row r="18" spans="1:2" x14ac:dyDescent="0.3">
      <c r="A18" s="2" t="s">
        <v>23</v>
      </c>
      <c r="B18">
        <v>5409</v>
      </c>
    </row>
    <row r="19" spans="1:2" x14ac:dyDescent="0.3">
      <c r="A19" s="3" t="s">
        <v>9</v>
      </c>
      <c r="B19">
        <v>5409</v>
      </c>
    </row>
    <row r="20" spans="1:2" x14ac:dyDescent="0.3">
      <c r="A20" s="2" t="s">
        <v>14</v>
      </c>
      <c r="B20">
        <v>5861</v>
      </c>
    </row>
    <row r="21" spans="1:2" x14ac:dyDescent="0.3">
      <c r="A21" s="3" t="s">
        <v>9</v>
      </c>
      <c r="B21">
        <v>5861</v>
      </c>
    </row>
    <row r="22" spans="1:2" x14ac:dyDescent="0.3">
      <c r="A22" s="2" t="s">
        <v>17</v>
      </c>
      <c r="B22">
        <v>6071</v>
      </c>
    </row>
    <row r="23" spans="1:2" x14ac:dyDescent="0.3">
      <c r="A23" s="3" t="s">
        <v>9</v>
      </c>
      <c r="B23">
        <v>6071</v>
      </c>
    </row>
    <row r="24" spans="1:2" x14ac:dyDescent="0.3">
      <c r="A24" s="2" t="s">
        <v>15</v>
      </c>
      <c r="B24">
        <v>6669</v>
      </c>
    </row>
    <row r="25" spans="1:2" x14ac:dyDescent="0.3">
      <c r="A25" s="3" t="s">
        <v>9</v>
      </c>
      <c r="B25">
        <v>6669</v>
      </c>
    </row>
    <row r="26" spans="1:2" x14ac:dyDescent="0.3">
      <c r="A26" s="2" t="s">
        <v>21</v>
      </c>
      <c r="B26">
        <v>6713</v>
      </c>
    </row>
    <row r="27" spans="1:2" x14ac:dyDescent="0.3">
      <c r="A27" s="3" t="s">
        <v>9</v>
      </c>
      <c r="B27">
        <v>6713</v>
      </c>
    </row>
    <row r="28" spans="1:2" x14ac:dyDescent="0.3">
      <c r="A28" s="2" t="s">
        <v>10</v>
      </c>
      <c r="B28">
        <v>7736</v>
      </c>
    </row>
    <row r="29" spans="1:2" x14ac:dyDescent="0.3">
      <c r="A29" s="3" t="s">
        <v>9</v>
      </c>
      <c r="B29">
        <v>7736</v>
      </c>
    </row>
    <row r="30" spans="1:2" x14ac:dyDescent="0.3">
      <c r="A30" s="2" t="s">
        <v>20</v>
      </c>
      <c r="B30">
        <v>7807</v>
      </c>
    </row>
    <row r="31" spans="1:2" x14ac:dyDescent="0.3">
      <c r="A31" s="3" t="s">
        <v>9</v>
      </c>
      <c r="B31">
        <v>7807</v>
      </c>
    </row>
    <row r="32" spans="1:2" x14ac:dyDescent="0.3">
      <c r="A32" s="2" t="s">
        <v>24</v>
      </c>
      <c r="B32">
        <v>8680</v>
      </c>
    </row>
    <row r="33" spans="1:2" x14ac:dyDescent="0.3">
      <c r="A33" s="3" t="s">
        <v>9</v>
      </c>
      <c r="B33">
        <v>8680</v>
      </c>
    </row>
    <row r="34" spans="1:2" x14ac:dyDescent="0.3">
      <c r="A34" s="2" t="s">
        <v>13</v>
      </c>
      <c r="B34">
        <v>11465</v>
      </c>
    </row>
    <row r="35" spans="1:2" x14ac:dyDescent="0.3">
      <c r="A35" s="3" t="s">
        <v>9</v>
      </c>
      <c r="B35">
        <v>11465</v>
      </c>
    </row>
    <row r="36" spans="1:2" x14ac:dyDescent="0.3">
      <c r="A36" s="2" t="s">
        <v>37</v>
      </c>
      <c r="B36">
        <v>2363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workbookViewId="0">
      <selection activeCell="D6" sqref="D6"/>
    </sheetView>
  </sheetViews>
  <sheetFormatPr defaultRowHeight="14.4" x14ac:dyDescent="0.3"/>
  <cols>
    <col min="1" max="1" width="21.88671875" bestFit="1" customWidth="1"/>
  </cols>
  <sheetData>
    <row r="1" spans="1:2" x14ac:dyDescent="0.3">
      <c r="A1" s="4" t="s">
        <v>41</v>
      </c>
      <c r="B1" s="5">
        <f>_xlfn.MINIFS(fact_table!E:E,fact_table!E:E, "&gt;0")</f>
        <v>22</v>
      </c>
    </row>
    <row r="2" spans="1:2" x14ac:dyDescent="0.3">
      <c r="A2" s="4" t="s">
        <v>42</v>
      </c>
      <c r="B2" s="5" cm="1">
        <f t="array" ref="B2">_xlfn.PERCENTILE.INC(_xlfn._xlws.FILTER(fact_table!E:E, fact_table!E:E&gt;0), 0.25)</f>
        <v>1385.75</v>
      </c>
    </row>
    <row r="3" spans="1:2" x14ac:dyDescent="0.3">
      <c r="A3" s="4" t="s">
        <v>43</v>
      </c>
      <c r="B3" s="5" cm="1">
        <f t="array" ref="B3">MEDIAN(_xlfn._xlws.FILTER(fact_table!E:E, fact_table!E:E&gt;0))</f>
        <v>4067.5</v>
      </c>
    </row>
    <row r="4" spans="1:2" x14ac:dyDescent="0.3">
      <c r="A4" s="4" t="s">
        <v>44</v>
      </c>
      <c r="B4" s="5">
        <f>COUNTIFS(fact_table!E:E, "&lt;30", fact_table!E:E, "&gt;0")</f>
        <v>1</v>
      </c>
    </row>
    <row r="5" spans="1:2" x14ac:dyDescent="0.3">
      <c r="A5" s="4" t="s">
        <v>45</v>
      </c>
      <c r="B5" s="5">
        <f>COUNTIFS(fact_table!E:E, "&lt;50", fact_table!E:E, "&gt;0")</f>
        <v>2</v>
      </c>
    </row>
    <row r="6" spans="1:2" x14ac:dyDescent="0.3">
      <c r="A6" s="4" t="s">
        <v>46</v>
      </c>
      <c r="B6" s="5">
        <f>COUNTIFS(fact_table!E:E, "&lt;100", fact_table!E:E, "&gt;0")</f>
        <v>9</v>
      </c>
    </row>
    <row r="7" spans="1:2" x14ac:dyDescent="0.3">
      <c r="A7" s="4" t="s">
        <v>47</v>
      </c>
      <c r="B7" s="5">
        <f>COUNTIFS(fact_table!E:E, "&lt;1000", fact_table!E:E, "&gt;0")</f>
        <v>16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workbookViewId="0">
      <selection activeCell="B15" sqref="B15"/>
    </sheetView>
  </sheetViews>
  <sheetFormatPr defaultRowHeight="14.4" x14ac:dyDescent="0.3"/>
  <cols>
    <col min="1" max="1" width="19.6640625" bestFit="1" customWidth="1"/>
  </cols>
  <sheetData>
    <row r="1" spans="1:2" x14ac:dyDescent="0.3">
      <c r="A1" s="5" t="s">
        <v>49</v>
      </c>
      <c r="B1" s="6">
        <f>_xlfn.MINIFS(Table1_14[Appearance Rate], Table1_14[Registered], "&gt;0")</f>
        <v>0.95209580838323349</v>
      </c>
    </row>
    <row r="2" spans="1:2" x14ac:dyDescent="0.3">
      <c r="A2" s="5" t="s">
        <v>50</v>
      </c>
      <c r="B2" s="6" cm="1">
        <f t="array" ref="B2">_xlfn.PERCENTILE.INC(_xlfn._xlws.FILTER(Table1_14[Appearance Rate], Table1_14[Registered]&gt;0), 0.25)</f>
        <v>0.99344724122732919</v>
      </c>
    </row>
    <row r="3" spans="1:2" x14ac:dyDescent="0.3">
      <c r="A3" s="5" t="s">
        <v>51</v>
      </c>
      <c r="B3" s="6" cm="1">
        <f t="array" ref="B3">MEDIAN(_xlfn._xlws.FILTER(Table1_14[Appearance Rate], Table1_14[Registered]&gt;0))</f>
        <v>0.99700623733004901</v>
      </c>
    </row>
    <row r="4" spans="1:2" x14ac:dyDescent="0.3">
      <c r="A4" s="5" t="s">
        <v>52</v>
      </c>
      <c r="B4" s="6">
        <f>COUNTIFS(Table1_14[Appearance Rate], "&lt;0.90")</f>
        <v>0</v>
      </c>
    </row>
    <row r="5" spans="1:2" x14ac:dyDescent="0.3">
      <c r="A5" s="5" t="s">
        <v>53</v>
      </c>
      <c r="B5" s="6">
        <f>COUNTIFS(Table1_14[Appearance Rate], "&lt;0.95")</f>
        <v>0</v>
      </c>
    </row>
    <row r="6" spans="1:2" x14ac:dyDescent="0.3">
      <c r="A6" s="5" t="s">
        <v>64</v>
      </c>
      <c r="B6" s="6">
        <f>COUNTIFS(Table1_14[Appearance Rate], "&lt;0.96")</f>
        <v>1</v>
      </c>
    </row>
    <row r="7" spans="1:2" x14ac:dyDescent="0.3">
      <c r="A7" s="5" t="s">
        <v>54</v>
      </c>
      <c r="B7" s="6">
        <f>COUNTIFS(Table1_14[Appearance Rate], "&lt;0.98")</f>
        <v>2</v>
      </c>
    </row>
    <row r="8" spans="1:2" x14ac:dyDescent="0.3">
      <c r="A8" s="5" t="s">
        <v>56</v>
      </c>
      <c r="B8" s="6">
        <f>COUNTIFS(Table1_14[Appearance Rate], "&lt;0.985")</f>
        <v>3</v>
      </c>
    </row>
    <row r="9" spans="1:2" x14ac:dyDescent="0.3">
      <c r="A9" s="5" t="s">
        <v>57</v>
      </c>
      <c r="B9" s="6">
        <f>COUNTIFS(Table1_14[Appearance Rate], "&lt;0.986")</f>
        <v>3</v>
      </c>
    </row>
    <row r="10" spans="1:2" x14ac:dyDescent="0.3">
      <c r="A10" s="5" t="s">
        <v>58</v>
      </c>
      <c r="B10" s="6">
        <f>COUNTIFS(Table1_14[Appearance Rate], "&lt;0.987")</f>
        <v>4</v>
      </c>
    </row>
    <row r="11" spans="1:2" x14ac:dyDescent="0.3">
      <c r="A11" s="5" t="s">
        <v>59</v>
      </c>
      <c r="B11" s="6">
        <f>COUNTIFS(Table1_14[Appearance Rate], "&lt;0.988")</f>
        <v>7</v>
      </c>
    </row>
    <row r="12" spans="1:2" x14ac:dyDescent="0.3">
      <c r="A12" s="5" t="s">
        <v>60</v>
      </c>
      <c r="B12" s="6">
        <f>COUNTIFS(Table1_14[Appearance Rate], "&lt;0.989")</f>
        <v>9</v>
      </c>
    </row>
    <row r="13" spans="1:2" x14ac:dyDescent="0.3">
      <c r="A13" s="5" t="s">
        <v>55</v>
      </c>
      <c r="B13" s="6">
        <f>COUNTIFS(Table1_14[Appearance Rate], "&lt;0.99")</f>
        <v>11</v>
      </c>
    </row>
    <row r="14" spans="1:2" x14ac:dyDescent="0.3">
      <c r="A14" s="5" t="s">
        <v>62</v>
      </c>
      <c r="B14" s="6">
        <f>COUNTBLANK(Table1_14[Appearance Rate])</f>
        <v>22</v>
      </c>
    </row>
    <row r="15" spans="1:2" x14ac:dyDescent="0.3">
      <c r="A15" s="5" t="s">
        <v>63</v>
      </c>
      <c r="B15" s="6">
        <f>COUNT(Table1_14[Appearance Rate])</f>
        <v>74</v>
      </c>
    </row>
    <row r="16" spans="1:2" x14ac:dyDescent="0.3">
      <c r="A16" s="5" t="s">
        <v>61</v>
      </c>
      <c r="B16" s="6">
        <f xml:space="preserve"> B14 + B15</f>
        <v>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83" workbookViewId="0">
      <selection activeCell="B5" sqref="B5"/>
    </sheetView>
  </sheetViews>
  <sheetFormatPr defaultRowHeight="14.4" x14ac:dyDescent="0.3"/>
  <cols>
    <col min="1" max="1" width="12.88671875" bestFit="1" customWidth="1"/>
    <col min="2" max="2" width="26.109375" bestFit="1" customWidth="1"/>
    <col min="3" max="3" width="19.109375" bestFit="1" customWidth="1"/>
    <col min="4" max="4" width="18.77734375" bestFit="1" customWidth="1"/>
    <col min="5" max="5" width="25.21875" bestFit="1" customWidth="1"/>
  </cols>
  <sheetData>
    <row r="1" spans="1:5" x14ac:dyDescent="0.3">
      <c r="A1" s="9" t="s">
        <v>67</v>
      </c>
    </row>
    <row r="3" spans="1:5" x14ac:dyDescent="0.3">
      <c r="A3" s="1" t="s">
        <v>36</v>
      </c>
      <c r="B3" t="s">
        <v>68</v>
      </c>
      <c r="C3" t="s">
        <v>69</v>
      </c>
      <c r="D3" t="s">
        <v>70</v>
      </c>
      <c r="E3" s="8" t="s">
        <v>71</v>
      </c>
    </row>
    <row r="4" spans="1:5" x14ac:dyDescent="0.3">
      <c r="A4" s="2" t="s">
        <v>4</v>
      </c>
      <c r="B4" s="10">
        <v>8.0140564981311131E-3</v>
      </c>
      <c r="C4" s="10">
        <v>1</v>
      </c>
      <c r="D4" s="10">
        <v>0.98058252427184467</v>
      </c>
      <c r="E4" s="10" cm="1">
        <f t="array" ref="E4:E10">C4:C10-D4:D10</f>
        <v>1.9417475728155331E-2</v>
      </c>
    </row>
    <row r="5" spans="1:5" x14ac:dyDescent="0.3">
      <c r="A5" s="2" t="s">
        <v>5</v>
      </c>
      <c r="B5" s="10">
        <v>1.2089637108015959E-2</v>
      </c>
      <c r="C5" s="10">
        <v>1</v>
      </c>
      <c r="D5" s="10">
        <v>0.95209580838323349</v>
      </c>
      <c r="E5" s="10">
        <v>4.7904191616766512E-2</v>
      </c>
    </row>
    <row r="6" spans="1:5" x14ac:dyDescent="0.3">
      <c r="A6" s="2" t="s">
        <v>6</v>
      </c>
      <c r="B6" s="10">
        <v>3.7526405686020619E-3</v>
      </c>
      <c r="C6" s="10">
        <v>1</v>
      </c>
      <c r="D6" s="10">
        <v>0.99019607843137258</v>
      </c>
      <c r="E6" s="10">
        <v>9.8039215686274161E-3</v>
      </c>
    </row>
    <row r="7" spans="1:5" x14ac:dyDescent="0.3">
      <c r="A7" s="2" t="s">
        <v>7</v>
      </c>
      <c r="B7" s="10">
        <v>2.9169464951935668E-3</v>
      </c>
      <c r="C7" s="10">
        <v>0.99886567164179108</v>
      </c>
      <c r="D7" s="10">
        <v>0.98887109140735907</v>
      </c>
      <c r="E7" s="10">
        <v>9.9945802344320045E-3</v>
      </c>
    </row>
    <row r="8" spans="1:5" x14ac:dyDescent="0.3">
      <c r="A8" s="2" t="s">
        <v>8</v>
      </c>
      <c r="B8" s="10">
        <v>3.9583342764695738E-3</v>
      </c>
      <c r="C8" s="10">
        <v>1</v>
      </c>
      <c r="D8" s="10">
        <v>0.9878747795414462</v>
      </c>
      <c r="E8" s="10">
        <v>1.2125220458553798E-2</v>
      </c>
    </row>
    <row r="9" spans="1:5" x14ac:dyDescent="0.3">
      <c r="A9" s="2" t="s">
        <v>9</v>
      </c>
      <c r="B9" s="10">
        <v>9.2514702364829347E-4</v>
      </c>
      <c r="C9" s="10">
        <v>1</v>
      </c>
      <c r="D9" s="10">
        <v>0.99604677977268985</v>
      </c>
      <c r="E9" s="10">
        <v>3.9532202273101502E-3</v>
      </c>
    </row>
    <row r="10" spans="1:5" x14ac:dyDescent="0.3">
      <c r="A10" s="2" t="s">
        <v>37</v>
      </c>
      <c r="B10" s="10">
        <v>6.732933429234012E-3</v>
      </c>
      <c r="C10" s="10">
        <v>1</v>
      </c>
      <c r="D10" s="10">
        <v>0.95209580838323349</v>
      </c>
      <c r="E10" s="11">
        <v>4.7904191616766512E-2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topLeftCell="C1" zoomScale="88" workbookViewId="0">
      <selection activeCell="A3" sqref="A3:C9"/>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2" t="s">
        <v>29</v>
      </c>
      <c r="B3" s="12" t="s">
        <v>68</v>
      </c>
      <c r="C3" s="13" t="s">
        <v>71</v>
      </c>
    </row>
    <row r="4" spans="1:3" x14ac:dyDescent="0.3">
      <c r="A4" s="14" t="s">
        <v>4</v>
      </c>
      <c r="B4" s="15">
        <v>8.0140564981311131E-3</v>
      </c>
      <c r="C4" s="15">
        <v>1.9417475728155331E-2</v>
      </c>
    </row>
    <row r="5" spans="1:3" x14ac:dyDescent="0.3">
      <c r="A5" s="14" t="s">
        <v>5</v>
      </c>
      <c r="B5" s="15">
        <v>1.2089637108015959E-2</v>
      </c>
      <c r="C5" s="15">
        <v>4.7904191616766512E-2</v>
      </c>
    </row>
    <row r="6" spans="1:3" x14ac:dyDescent="0.3">
      <c r="A6" s="14" t="s">
        <v>6</v>
      </c>
      <c r="B6" s="15">
        <v>3.7526405686020619E-3</v>
      </c>
      <c r="C6" s="15">
        <v>9.8039215686274161E-3</v>
      </c>
    </row>
    <row r="7" spans="1:3" x14ac:dyDescent="0.3">
      <c r="A7" s="14" t="s">
        <v>7</v>
      </c>
      <c r="B7" s="15">
        <v>2.9169464951935668E-3</v>
      </c>
      <c r="C7" s="15">
        <v>9.9945802344320045E-3</v>
      </c>
    </row>
    <row r="8" spans="1:3" x14ac:dyDescent="0.3">
      <c r="A8" s="14" t="s">
        <v>8</v>
      </c>
      <c r="B8" s="15">
        <v>3.9583342764695738E-3</v>
      </c>
      <c r="C8" s="15">
        <v>1.2125220458553798E-2</v>
      </c>
    </row>
    <row r="9" spans="1:3" x14ac:dyDescent="0.3">
      <c r="A9" s="14" t="s">
        <v>9</v>
      </c>
      <c r="B9" s="15">
        <v>9.2514702364829347E-4</v>
      </c>
      <c r="C9" s="15">
        <v>3.9532202273101502E-3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class12-2022 dataset</vt:lpstr>
      <vt:lpstr>class 12-2022 table</vt:lpstr>
      <vt:lpstr>class12-2022 result</vt:lpstr>
      <vt:lpstr>fact_table</vt:lpstr>
      <vt:lpstr>minbase_pivot</vt:lpstr>
      <vt:lpstr>profiling_baseflag</vt:lpstr>
      <vt:lpstr>profiling_anomalyflag</vt:lpstr>
      <vt:lpstr>profiling_volatility_schooltype</vt:lpstr>
      <vt:lpstr>Charts_volatility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2025-11-27T12:19:07Z</dcterms:modified>
</cp:coreProperties>
</file>