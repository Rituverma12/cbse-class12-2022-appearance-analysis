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45C33EE6-F0E2-4B2B-A9CB-C5F8DFC64C3D}" xr6:coauthVersionLast="47" xr6:coauthVersionMax="47" xr10:uidLastSave="{00000000-0000-0000-0000-000000000000}"/>
  <bookViews>
    <workbookView xWindow="11424" yWindow="0" windowWidth="11616" windowHeight="12336" tabRatio="1000" firstSheet="3" activeTab="5" xr2:uid="{352D25E5-EE06-4DDB-99E1-3948CD812789}"/>
  </bookViews>
  <sheets>
    <sheet name="class12-2022 dataset" sheetId="1" r:id="rId1"/>
    <sheet name="class 12-2022 table" sheetId="2" r:id="rId2"/>
    <sheet name="class12-2022 result" sheetId="3" r:id="rId3"/>
    <sheet name="fact_table" sheetId="4" r:id="rId4"/>
    <sheet name="minbase_pivot" sheetId="10" r:id="rId5"/>
    <sheet name="profiling" sheetId="11" r:id="rId6"/>
  </sheets>
  <definedNames>
    <definedName name="ExternalData_1" localSheetId="2" hidden="1">'class12-2022 result'!$A$1:$I$97</definedName>
    <definedName name="ExternalData_1" localSheetId="3" hidden="1">fact_table!$A$1:$I$97</definedName>
    <definedName name="Slicer_School_Type">#N/A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4" l="1"/>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<sst xmlns="http://schemas.openxmlformats.org/spreadsheetml/2006/main" count="616" uniqueCount="49">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</sst>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4</xdr:col>
      <xdr:colOff>7620</xdr:colOff>
      <xdr:row>1</xdr:row>
      <xdr:rowOff>0</xdr:rowOff>
    </xdr:from>
    <xdr:to>
      <xdr:col>7</xdr:col>
      <xdr:colOff>7620</xdr:colOff>
      <xdr:row>15</xdr:row>
      <xdr:rowOff>20955</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215640" y="182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82.758306365744" createdVersion="8" refreshedVersion="8" minRefreshableVersion="3" recordCount="96" xr:uid="{909D199C-A61F-4C6C-BE2E-A101142EDBF1}">
  <cacheSource type="worksheet">
    <worksheetSource name="Table1_14"/>
  </cacheSource>
  <cacheFields count="10">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r>
  <r>
    <n v="12"/>
    <n v="2022"/>
    <x v="0"/>
    <x v="1"/>
    <n v="4533"/>
    <n v="4524"/>
    <n v="0.99801455989410981"/>
    <n v="1.9854401058901905E-3"/>
    <m/>
    <x v="1"/>
  </r>
  <r>
    <n v="12"/>
    <n v="2022"/>
    <x v="0"/>
    <x v="2"/>
    <n v="0"/>
    <n v="0"/>
    <m/>
    <m/>
    <s v="ABSENT"/>
    <x v="0"/>
  </r>
  <r>
    <n v="12"/>
    <n v="2022"/>
    <x v="0"/>
    <x v="3"/>
    <n v="86178"/>
    <n v="85839"/>
    <n v="0.99606628141753117"/>
    <n v="3.9337185824688259E-3"/>
    <m/>
    <x v="1"/>
  </r>
  <r>
    <n v="12"/>
    <n v="2022"/>
    <x v="0"/>
    <x v="4"/>
    <n v="3741"/>
    <n v="3730"/>
    <n v="0.99705960973001873"/>
    <n v="2.9403902699812745E-3"/>
    <m/>
    <x v="1"/>
  </r>
  <r>
    <n v="12"/>
    <n v="2022"/>
    <x v="0"/>
    <x v="5"/>
    <n v="7736"/>
    <n v="7725"/>
    <n v="0.99857807652533614"/>
    <n v="1.4219234746638554E-3"/>
    <m/>
    <x v="1"/>
  </r>
  <r>
    <n v="12"/>
    <n v="2022"/>
    <x v="1"/>
    <x v="0"/>
    <n v="93"/>
    <n v="92"/>
    <n v="0.989247311827957"/>
    <n v="1.0752688172043001E-2"/>
    <m/>
    <x v="1"/>
  </r>
  <r>
    <n v="12"/>
    <n v="2022"/>
    <x v="1"/>
    <x v="1"/>
    <n v="70"/>
    <n v="70"/>
    <n v="1"/>
    <n v="0"/>
    <m/>
    <x v="1"/>
  </r>
  <r>
    <n v="12"/>
    <n v="2022"/>
    <x v="1"/>
    <x v="2"/>
    <n v="0"/>
    <n v="0"/>
    <m/>
    <m/>
    <s v="ABSENT"/>
    <x v="0"/>
  </r>
  <r>
    <n v="12"/>
    <n v="2022"/>
    <x v="1"/>
    <x v="3"/>
    <n v="12262"/>
    <n v="12214"/>
    <n v="0.99608546729734138"/>
    <n v="3.9145327026586241E-3"/>
    <m/>
    <x v="1"/>
  </r>
  <r>
    <n v="12"/>
    <n v="2022"/>
    <x v="1"/>
    <x v="4"/>
    <n v="1901"/>
    <n v="1894"/>
    <n v="0.99631772751183589"/>
    <n v="3.6822724881641067E-3"/>
    <m/>
    <x v="1"/>
  </r>
  <r>
    <n v="12"/>
    <n v="2022"/>
    <x v="1"/>
    <x v="5"/>
    <n v="2363"/>
    <n v="2361"/>
    <n v="0.99915361828184512"/>
    <n v="8.4638171815487606E-4"/>
    <m/>
    <x v="1"/>
  </r>
  <r>
    <n v="12"/>
    <n v="2022"/>
    <x v="2"/>
    <x v="0"/>
    <n v="0"/>
    <n v="0"/>
    <m/>
    <m/>
    <s v="ABSENT"/>
    <x v="0"/>
  </r>
  <r>
    <n v="12"/>
    <n v="2022"/>
    <x v="2"/>
    <x v="1"/>
    <n v="3180"/>
    <n v="3138"/>
    <n v="0.98679245283018868"/>
    <n v="1.3207547169811318E-2"/>
    <m/>
    <x v="1"/>
  </r>
  <r>
    <n v="12"/>
    <n v="2022"/>
    <x v="2"/>
    <x v="2"/>
    <n v="0"/>
    <n v="0"/>
    <m/>
    <m/>
    <s v="ABSENT"/>
    <x v="0"/>
  </r>
  <r>
    <n v="12"/>
    <n v="2022"/>
    <x v="2"/>
    <x v="3"/>
    <n v="60352"/>
    <n v="60136"/>
    <n v="0.99642099681866381"/>
    <n v="3.5790031813361933E-3"/>
    <m/>
    <x v="1"/>
  </r>
  <r>
    <n v="12"/>
    <n v="2022"/>
    <x v="2"/>
    <x v="4"/>
    <n v="3640"/>
    <n v="3629"/>
    <n v="0.99697802197802199"/>
    <n v="3.0219780219780112E-3"/>
    <m/>
    <x v="1"/>
  </r>
  <r>
    <n v="12"/>
    <n v="2022"/>
    <x v="2"/>
    <x v="5"/>
    <n v="7807"/>
    <n v="7794"/>
    <n v="0.99833482771871396"/>
    <n v="1.6651722812860426E-3"/>
    <m/>
    <x v="1"/>
  </r>
  <r>
    <n v="12"/>
    <n v="2022"/>
    <x v="3"/>
    <x v="0"/>
    <n v="103"/>
    <n v="101"/>
    <n v="0.98058252427184467"/>
    <n v="1.9417475728155331E-2"/>
    <m/>
    <x v="1"/>
  </r>
  <r>
    <n v="12"/>
    <n v="2022"/>
    <x v="3"/>
    <x v="1"/>
    <n v="7746"/>
    <n v="7688"/>
    <n v="0.99251226439452622"/>
    <n v="7.4877356054737776E-3"/>
    <m/>
    <x v="1"/>
  </r>
  <r>
    <n v="12"/>
    <n v="2022"/>
    <x v="3"/>
    <x v="2"/>
    <n v="0"/>
    <n v="0"/>
    <m/>
    <m/>
    <s v="ABSENT"/>
    <x v="0"/>
  </r>
  <r>
    <n v="12"/>
    <n v="2022"/>
    <x v="3"/>
    <x v="3"/>
    <n v="69835"/>
    <n v="69506"/>
    <n v="0.99528889525309661"/>
    <n v="4.711104746903394E-3"/>
    <m/>
    <x v="1"/>
  </r>
  <r>
    <n v="12"/>
    <n v="2022"/>
    <x v="3"/>
    <x v="4"/>
    <n v="3823"/>
    <n v="3809"/>
    <n v="0.99633795448600571"/>
    <n v="3.6620455139942942E-3"/>
    <m/>
    <x v="1"/>
  </r>
  <r>
    <n v="12"/>
    <n v="2022"/>
    <x v="3"/>
    <x v="5"/>
    <n v="11465"/>
    <n v="11431"/>
    <n v="0.99703445268207591"/>
    <n v="2.9655473179240888E-3"/>
    <m/>
    <x v="1"/>
  </r>
  <r>
    <n v="12"/>
    <n v="2022"/>
    <x v="4"/>
    <x v="0"/>
    <n v="0"/>
    <n v="0"/>
    <m/>
    <m/>
    <s v="ABSENT"/>
    <x v="0"/>
  </r>
  <r>
    <n v="12"/>
    <n v="2022"/>
    <x v="4"/>
    <x v="1"/>
    <n v="13060"/>
    <n v="13025"/>
    <n v="0.99732006125574268"/>
    <n v="2.6799387442573153E-3"/>
    <m/>
    <x v="1"/>
  </r>
  <r>
    <n v="12"/>
    <n v="2022"/>
    <x v="4"/>
    <x v="2"/>
    <n v="55"/>
    <n v="55"/>
    <n v="1"/>
    <n v="0"/>
    <m/>
    <x v="1"/>
  </r>
  <r>
    <n v="12"/>
    <n v="2022"/>
    <x v="4"/>
    <x v="3"/>
    <n v="89637"/>
    <n v="89317"/>
    <n v="0.99643004562847937"/>
    <n v="3.5699543715206339E-3"/>
    <m/>
    <x v="1"/>
  </r>
  <r>
    <n v="12"/>
    <n v="2022"/>
    <x v="4"/>
    <x v="4"/>
    <n v="2549"/>
    <n v="2537"/>
    <n v="0.99529227147901134"/>
    <n v="4.7077285209886632E-3"/>
    <m/>
    <x v="1"/>
  </r>
  <r>
    <n v="12"/>
    <n v="2022"/>
    <x v="4"/>
    <x v="5"/>
    <n v="5861"/>
    <n v="5844"/>
    <n v="0.99709947108002051"/>
    <n v="2.9005289199794948E-3"/>
    <m/>
    <x v="1"/>
  </r>
  <r>
    <n v="12"/>
    <n v="2022"/>
    <x v="5"/>
    <x v="0"/>
    <n v="0"/>
    <n v="0"/>
    <m/>
    <m/>
    <s v="ABSENT"/>
    <x v="0"/>
  </r>
  <r>
    <n v="12"/>
    <n v="2022"/>
    <x v="5"/>
    <x v="1"/>
    <n v="3565"/>
    <n v="3552"/>
    <n v="0.99635343618513328"/>
    <n v="3.6465638148667212E-3"/>
    <m/>
    <x v="1"/>
  </r>
  <r>
    <n v="12"/>
    <n v="2022"/>
    <x v="5"/>
    <x v="2"/>
    <n v="0"/>
    <n v="0"/>
    <m/>
    <m/>
    <s v="ABSENT"/>
    <x v="0"/>
  </r>
  <r>
    <n v="12"/>
    <n v="2022"/>
    <x v="5"/>
    <x v="3"/>
    <n v="67799"/>
    <n v="67700"/>
    <n v="0.99853980147199817"/>
    <n v="1.4601985280018326E-3"/>
    <m/>
    <x v="1"/>
  </r>
  <r>
    <n v="12"/>
    <n v="2022"/>
    <x v="5"/>
    <x v="4"/>
    <n v="1646"/>
    <n v="1642"/>
    <n v="0.99756986634264888"/>
    <n v="2.430133657351119E-3"/>
    <m/>
    <x v="1"/>
  </r>
  <r>
    <n v="12"/>
    <n v="2022"/>
    <x v="5"/>
    <x v="5"/>
    <n v="6713"/>
    <n v="6701"/>
    <n v="0.99821242365559359"/>
    <n v="1.7875763444064052E-3"/>
    <m/>
    <x v="1"/>
  </r>
  <r>
    <n v="12"/>
    <n v="2022"/>
    <x v="6"/>
    <x v="0"/>
    <n v="164"/>
    <n v="162"/>
    <n v="0.98780487804878048"/>
    <n v="1.2195121951219523E-2"/>
    <m/>
    <x v="1"/>
  </r>
  <r>
    <n v="12"/>
    <n v="2022"/>
    <x v="6"/>
    <x v="1"/>
    <n v="1555"/>
    <n v="1552"/>
    <n v="0.99807073954983927"/>
    <n v="1.9292604501607302E-3"/>
    <m/>
    <x v="1"/>
  </r>
  <r>
    <n v="12"/>
    <n v="2022"/>
    <x v="6"/>
    <x v="2"/>
    <n v="22"/>
    <n v="22"/>
    <n v="1"/>
    <n v="0"/>
    <m/>
    <x v="1"/>
  </r>
  <r>
    <n v="12"/>
    <n v="2022"/>
    <x v="6"/>
    <x v="3"/>
    <n v="62473"/>
    <n v="62094"/>
    <n v="0.99393337921982294"/>
    <n v="6.0666207801770566E-3"/>
    <m/>
    <x v="1"/>
  </r>
  <r>
    <n v="12"/>
    <n v="2022"/>
    <x v="6"/>
    <x v="4"/>
    <n v="1120"/>
    <n v="1117"/>
    <n v="0.99732142857142858"/>
    <n v="2.6785714285714191E-3"/>
    <m/>
    <x v="1"/>
  </r>
  <r>
    <n v="12"/>
    <n v="2022"/>
    <x v="6"/>
    <x v="5"/>
    <n v="4312"/>
    <n v="4307"/>
    <n v="0.99884044526901672"/>
    <n v="1.159554730983281E-3"/>
    <m/>
    <x v="1"/>
  </r>
  <r>
    <n v="12"/>
    <n v="2022"/>
    <x v="7"/>
    <x v="0"/>
    <n v="0"/>
    <n v="0"/>
    <m/>
    <m/>
    <s v="ABSENT"/>
    <x v="0"/>
  </r>
  <r>
    <n v="12"/>
    <n v="2022"/>
    <x v="7"/>
    <x v="1"/>
    <n v="100216"/>
    <n v="99566"/>
    <n v="0.99351400973896387"/>
    <n v="6.4859902610361342E-3"/>
    <m/>
    <x v="1"/>
  </r>
  <r>
    <n v="12"/>
    <n v="2022"/>
    <x v="7"/>
    <x v="2"/>
    <n v="6420"/>
    <n v="6393"/>
    <n v="0.99579439252336444"/>
    <n v="4.2056074766355644E-3"/>
    <m/>
    <x v="1"/>
  </r>
  <r>
    <n v="12"/>
    <n v="2022"/>
    <x v="7"/>
    <x v="3"/>
    <n v="64953"/>
    <n v="64774"/>
    <n v="0.99724416116268688"/>
    <n v="2.7558388373131182E-3"/>
    <m/>
    <x v="1"/>
  </r>
  <r>
    <n v="12"/>
    <n v="2022"/>
    <x v="7"/>
    <x v="4"/>
    <n v="81"/>
    <n v="81"/>
    <n v="1"/>
    <n v="0"/>
    <m/>
    <x v="1"/>
  </r>
  <r>
    <n v="12"/>
    <n v="2022"/>
    <x v="7"/>
    <x v="5"/>
    <n v="6669"/>
    <n v="6661"/>
    <n v="0.99880041985305146"/>
    <n v="1.1995801469485423E-3"/>
    <m/>
    <x v="1"/>
  </r>
  <r>
    <n v="12"/>
    <n v="2022"/>
    <x v="8"/>
    <x v="0"/>
    <n v="0"/>
    <n v="0"/>
    <m/>
    <m/>
    <s v="ABSENT"/>
    <x v="0"/>
  </r>
  <r>
    <n v="12"/>
    <n v="2022"/>
    <x v="8"/>
    <x v="1"/>
    <n v="69504"/>
    <n v="69109"/>
    <n v="0.99431687384898715"/>
    <n v="5.6831261510128517E-3"/>
    <m/>
    <x v="1"/>
  </r>
  <r>
    <n v="12"/>
    <n v="2022"/>
    <x v="8"/>
    <x v="2"/>
    <n v="7775"/>
    <n v="7743"/>
    <n v="0.99588424437299039"/>
    <n v="4.1157556270096096E-3"/>
    <m/>
    <x v="1"/>
  </r>
  <r>
    <n v="12"/>
    <n v="2022"/>
    <x v="8"/>
    <x v="3"/>
    <n v="40461"/>
    <n v="40291"/>
    <n v="0.99579842317293199"/>
    <n v="4.2015768270680098E-3"/>
    <m/>
    <x v="1"/>
  </r>
  <r>
    <n v="12"/>
    <n v="2022"/>
    <x v="8"/>
    <x v="4"/>
    <n v="65"/>
    <n v="65"/>
    <n v="1"/>
    <n v="0"/>
    <m/>
    <x v="1"/>
  </r>
  <r>
    <n v="12"/>
    <n v="2022"/>
    <x v="8"/>
    <x v="5"/>
    <n v="2872"/>
    <n v="2872"/>
    <n v="1"/>
    <n v="0"/>
    <m/>
    <x v="1"/>
  </r>
  <r>
    <n v="12"/>
    <n v="2022"/>
    <x v="9"/>
    <x v="0"/>
    <n v="0"/>
    <n v="0"/>
    <m/>
    <m/>
    <s v="ABSENT"/>
    <x v="0"/>
  </r>
  <r>
    <n v="12"/>
    <n v="2022"/>
    <x v="9"/>
    <x v="1"/>
    <n v="20672"/>
    <n v="20518"/>
    <n v="0.99255030959752322"/>
    <n v="7.4496904024767829E-3"/>
    <m/>
    <x v="1"/>
  </r>
  <r>
    <n v="12"/>
    <n v="2022"/>
    <x v="9"/>
    <x v="2"/>
    <n v="102"/>
    <n v="101"/>
    <n v="0.99019607843137258"/>
    <n v="9.8039215686274161E-3"/>
    <m/>
    <x v="1"/>
  </r>
  <r>
    <n v="12"/>
    <n v="2022"/>
    <x v="9"/>
    <x v="3"/>
    <n v="20768"/>
    <n v="20601"/>
    <n v="0.99195878274268101"/>
    <n v="8.0412172573189888E-3"/>
    <m/>
    <x v="1"/>
  </r>
  <r>
    <n v="12"/>
    <n v="2022"/>
    <x v="9"/>
    <x v="4"/>
    <n v="4536"/>
    <n v="4481"/>
    <n v="0.9878747795414462"/>
    <n v="1.2125220458553798E-2"/>
    <m/>
    <x v="1"/>
  </r>
  <r>
    <n v="12"/>
    <n v="2022"/>
    <x v="9"/>
    <x v="5"/>
    <n v="6071"/>
    <n v="6047"/>
    <n v="0.99604677977268985"/>
    <n v="3.9532202273101502E-3"/>
    <m/>
    <x v="1"/>
  </r>
  <r>
    <n v="12"/>
    <n v="2022"/>
    <x v="10"/>
    <x v="0"/>
    <n v="0"/>
    <n v="0"/>
    <m/>
    <m/>
    <s v="ABSENT"/>
    <x v="0"/>
  </r>
  <r>
    <n v="12"/>
    <n v="2022"/>
    <x v="10"/>
    <x v="1"/>
    <n v="278"/>
    <n v="272"/>
    <n v="0.97841726618705038"/>
    <n v="2.1582733812949617E-2"/>
    <m/>
    <x v="1"/>
  </r>
  <r>
    <n v="12"/>
    <n v="2022"/>
    <x v="10"/>
    <x v="2"/>
    <n v="921"/>
    <n v="920"/>
    <n v="0.998914223669924"/>
    <n v="1.0857763300760048E-3"/>
    <m/>
    <x v="1"/>
  </r>
  <r>
    <n v="12"/>
    <n v="2022"/>
    <x v="10"/>
    <x v="3"/>
    <n v="100688"/>
    <n v="99746"/>
    <n v="0.99064436675671386"/>
    <n v="9.3556332432861433E-3"/>
    <m/>
    <x v="1"/>
  </r>
  <r>
    <n v="12"/>
    <n v="2022"/>
    <x v="10"/>
    <x v="4"/>
    <n v="1069"/>
    <n v="1060"/>
    <n v="0.99158091674462112"/>
    <n v="8.4190832553788786E-3"/>
    <m/>
    <x v="1"/>
  </r>
  <r>
    <n v="12"/>
    <n v="2022"/>
    <x v="10"/>
    <x v="5"/>
    <n v="4480"/>
    <n v="4471"/>
    <n v="0.99799107142857146"/>
    <n v="2.0089285714285365E-3"/>
    <m/>
    <x v="1"/>
  </r>
  <r>
    <n v="12"/>
    <n v="2022"/>
    <x v="11"/>
    <x v="0"/>
    <n v="38"/>
    <n v="38"/>
    <n v="1"/>
    <n v="0"/>
    <m/>
    <x v="1"/>
  </r>
  <r>
    <n v="12"/>
    <n v="2022"/>
    <x v="11"/>
    <x v="1"/>
    <n v="357"/>
    <n v="357"/>
    <n v="1"/>
    <n v="0"/>
    <m/>
    <x v="1"/>
  </r>
  <r>
    <n v="12"/>
    <n v="2022"/>
    <x v="11"/>
    <x v="2"/>
    <n v="0"/>
    <n v="0"/>
    <m/>
    <m/>
    <s v="ABSENT"/>
    <x v="0"/>
  </r>
  <r>
    <n v="12"/>
    <n v="2022"/>
    <x v="11"/>
    <x v="3"/>
    <n v="118675"/>
    <n v="118046"/>
    <n v="0.99469981040657263"/>
    <n v="5.3001895934273735E-3"/>
    <m/>
    <x v="1"/>
  </r>
  <r>
    <n v="12"/>
    <n v="2022"/>
    <x v="11"/>
    <x v="4"/>
    <n v="2231"/>
    <n v="2225"/>
    <n v="0.99731062303899598"/>
    <n v="2.6893769610040197E-3"/>
    <m/>
    <x v="1"/>
  </r>
  <r>
    <n v="12"/>
    <n v="2022"/>
    <x v="11"/>
    <x v="5"/>
    <n v="3615"/>
    <n v="3607"/>
    <n v="0.99778699861687414"/>
    <n v="2.2130013831258566E-3"/>
    <m/>
    <x v="1"/>
  </r>
  <r>
    <n v="12"/>
    <n v="2022"/>
    <x v="12"/>
    <x v="0"/>
    <n v="0"/>
    <n v="0"/>
    <m/>
    <m/>
    <s v="ABSENT"/>
    <x v="0"/>
  </r>
  <r>
    <n v="12"/>
    <n v="2022"/>
    <x v="12"/>
    <x v="1"/>
    <n v="84"/>
    <n v="83"/>
    <n v="0.98809523809523814"/>
    <n v="1.1904761904761862E-2"/>
    <m/>
    <x v="1"/>
  </r>
  <r>
    <n v="12"/>
    <n v="2022"/>
    <x v="12"/>
    <x v="2"/>
    <n v="0"/>
    <n v="0"/>
    <m/>
    <m/>
    <s v="ABSENT"/>
    <x v="0"/>
  </r>
  <r>
    <n v="12"/>
    <n v="2022"/>
    <x v="12"/>
    <x v="3"/>
    <n v="84716"/>
    <n v="83962"/>
    <n v="0.99109967420558098"/>
    <n v="8.9003257944190173E-3"/>
    <m/>
    <x v="1"/>
  </r>
  <r>
    <n v="12"/>
    <n v="2022"/>
    <x v="12"/>
    <x v="4"/>
    <n v="3714"/>
    <n v="3669"/>
    <n v="0.98788368336025845"/>
    <n v="1.2116316639741553E-2"/>
    <m/>
    <x v="1"/>
  </r>
  <r>
    <n v="12"/>
    <n v="2022"/>
    <x v="12"/>
    <x v="5"/>
    <n v="5409"/>
    <n v="5398"/>
    <n v="0.99796635237567022"/>
    <n v="2.0336476243297819E-3"/>
    <m/>
    <x v="1"/>
  </r>
  <r>
    <n v="12"/>
    <n v="2022"/>
    <x v="13"/>
    <x v="0"/>
    <n v="0"/>
    <n v="0"/>
    <m/>
    <m/>
    <s v="ABSENT"/>
    <x v="0"/>
  </r>
  <r>
    <n v="12"/>
    <n v="2022"/>
    <x v="13"/>
    <x v="1"/>
    <n v="1336"/>
    <n v="1272"/>
    <n v="0.95209580838323349"/>
    <n v="4.7904191616766512E-2"/>
    <m/>
    <x v="1"/>
  </r>
  <r>
    <n v="12"/>
    <n v="2022"/>
    <x v="13"/>
    <x v="2"/>
    <n v="0"/>
    <n v="0"/>
    <m/>
    <m/>
    <s v="ABSENT"/>
    <x v="0"/>
  </r>
  <r>
    <n v="12"/>
    <n v="2022"/>
    <x v="13"/>
    <x v="3"/>
    <n v="131729"/>
    <n v="130263"/>
    <n v="0.98887109140735907"/>
    <n v="1.1128908592640929E-2"/>
    <m/>
    <x v="1"/>
  </r>
  <r>
    <n v="12"/>
    <n v="2022"/>
    <x v="13"/>
    <x v="4"/>
    <n v="3184"/>
    <n v="3152"/>
    <n v="0.98994974874371855"/>
    <n v="1.0050251256281451E-2"/>
    <m/>
    <x v="1"/>
  </r>
  <r>
    <n v="12"/>
    <n v="2022"/>
    <x v="13"/>
    <x v="5"/>
    <n v="8680"/>
    <n v="8666"/>
    <n v="0.99838709677419357"/>
    <n v="1.612903225806428E-3"/>
    <m/>
    <x v="1"/>
  </r>
  <r>
    <n v="12"/>
    <n v="2022"/>
    <x v="14"/>
    <x v="0"/>
    <n v="0"/>
    <n v="0"/>
    <m/>
    <m/>
    <s v="ABSENT"/>
    <x v="0"/>
  </r>
  <r>
    <n v="12"/>
    <n v="2022"/>
    <x v="14"/>
    <x v="1"/>
    <n v="1535"/>
    <n v="1534"/>
    <n v="0.99934853420195435"/>
    <n v="6.514657980456473E-4"/>
    <m/>
    <x v="1"/>
  </r>
  <r>
    <n v="12"/>
    <n v="2022"/>
    <x v="14"/>
    <x v="2"/>
    <n v="0"/>
    <n v="0"/>
    <m/>
    <m/>
    <s v="ABSENT"/>
    <x v="0"/>
  </r>
  <r>
    <n v="12"/>
    <n v="2022"/>
    <x v="14"/>
    <x v="3"/>
    <n v="22801"/>
    <n v="22742"/>
    <n v="0.99741239419323713"/>
    <n v="2.5876058067628716E-3"/>
    <m/>
    <x v="1"/>
  </r>
  <r>
    <n v="12"/>
    <n v="2022"/>
    <x v="14"/>
    <x v="4"/>
    <n v="1673"/>
    <n v="1662"/>
    <n v="0.99342498505678423"/>
    <n v="6.5750149432157734E-3"/>
    <m/>
    <x v="1"/>
  </r>
  <r>
    <n v="12"/>
    <n v="2022"/>
    <x v="14"/>
    <x v="5"/>
    <n v="4859"/>
    <n v="4849"/>
    <n v="0.99794196336694796"/>
    <n v="2.0580366330520405E-3"/>
    <m/>
    <x v="1"/>
  </r>
  <r>
    <n v="12"/>
    <n v="2022"/>
    <x v="15"/>
    <x v="0"/>
    <n v="0"/>
    <n v="0"/>
    <m/>
    <m/>
    <s v="ABSENT"/>
    <x v="0"/>
  </r>
  <r>
    <n v="12"/>
    <n v="2022"/>
    <x v="15"/>
    <x v="1"/>
    <n v="82"/>
    <n v="82"/>
    <n v="1"/>
    <n v="0"/>
    <m/>
    <x v="1"/>
  </r>
  <r>
    <n v="12"/>
    <n v="2022"/>
    <x v="15"/>
    <x v="2"/>
    <n v="0"/>
    <n v="0"/>
    <m/>
    <m/>
    <s v="ABSENT"/>
    <x v="0"/>
  </r>
  <r>
    <n v="12"/>
    <n v="2022"/>
    <x v="15"/>
    <x v="3"/>
    <n v="33500"/>
    <n v="33462"/>
    <n v="0.99886567164179108"/>
    <n v="1.1343283582089247E-3"/>
    <m/>
    <x v="1"/>
  </r>
  <r>
    <n v="12"/>
    <n v="2022"/>
    <x v="15"/>
    <x v="4"/>
    <n v="973"/>
    <n v="972"/>
    <n v="0.99897225077081198"/>
    <n v="1.0277492291880241E-3"/>
    <m/>
    <x v="1"/>
  </r>
  <r>
    <n v="12"/>
    <n v="2022"/>
    <x v="15"/>
    <x v="5"/>
    <n v="3666"/>
    <n v="3661"/>
    <n v="0.9986361156573923"/>
    <n v="1.3638843426077019E-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rowPageCount="1" colPageCount="1"/>
  <pivotFields count="10">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x="0"/>
        <item h="1" x="1"/>
        <item h="1" x="2"/>
        <item h="1" x="3"/>
        <item h="1" x="4"/>
        <item h="1" x="5"/>
        <item t="default"/>
      </items>
    </pivotField>
    <pivotField dataField="1" showAll="0"/>
    <pivotField showAll="0"/>
    <pivotField showAll="0"/>
    <pivotField showAll="0"/>
    <pivotField showAll="0"/>
    <pivotField axis="axisPage" showAll="0">
      <items count="3">
        <item x="0"/>
        <item x="1"/>
        <item t="default"/>
      </items>
    </pivotField>
  </pivotFields>
  <rowFields count="2">
    <field x="2"/>
    <field x="3"/>
  </rowFields>
  <rowItems count="9">
    <i>
      <x v="11"/>
    </i>
    <i r="1">
      <x/>
    </i>
    <i>
      <x v="1"/>
    </i>
    <i r="1">
      <x/>
    </i>
    <i>
      <x v="3"/>
    </i>
    <i r="1">
      <x/>
    </i>
    <i>
      <x v="6"/>
    </i>
    <i r="1">
      <x/>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16" unboundColumnsRight="2">
    <queryTableFields count="11">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 id="15"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s="1"/>
        <i x="1"/>
        <i x="2"/>
        <i x="3"/>
        <i x="4"/>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5"/>
    <tableColumn id="4" xr3:uid="{BD9410F3-AB2A-44EA-B1C3-2FE79993BB2F}" uniqueName="4" name="School Type" queryTableFieldId="4" dataDxfId="4"/>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K97" tableType="queryTable" totalsRowShown="0">
  <autoFilter ref="A1:K97" xr:uid="{4407F130-0C81-42EC-8BF1-476E80F90E54}"/>
  <sortState xmlns:xlrd2="http://schemas.microsoft.com/office/spreadsheetml/2017/richdata2" ref="A2:I97">
    <sortCondition ref="C1:C97"/>
  </sortState>
  <tableColumns count="11">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3"/>
    <tableColumn id="4" xr3:uid="{BDB3ED0B-2D61-43F4-9A35-7DED82483E12}" uniqueName="4" name="School Type" queryTableFieldId="4" dataDxfId="2"/>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1">
      <calculatedColumnFormula>IF(Table1_14[[#This Row],[Registered]] = 0, "ABSENT", "NON_ZERO")</calculatedColumnFormula>
    </tableColumn>
    <tableColumn id="10" xr3:uid="{71F7BF51-686D-4117-9DCA-BC655E435A09}" uniqueName="10" name="Base Flag" queryTableFieldId="15" dataDxfId="0">
      <calculatedColumnFormula>IF(Table1_14[[#This Row],[Registered]] = 0, "ABSENT_BASE", IF(Table1_14[[#This Row],[Registered]]&lt;100, "SMALL_BASE", "VALID_BASE"))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sqref="A1:J33"/>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K97"/>
  <sheetViews>
    <sheetView topLeftCell="E1" workbookViewId="0">
      <selection activeCell="K3" sqref="K3"/>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s>
  <sheetData>
    <row r="1" spans="1:11" x14ac:dyDescent="0.3">
      <c r="A1" t="s">
        <v>0</v>
      </c>
      <c r="B1" t="s">
        <v>1</v>
      </c>
      <c r="C1" t="s">
        <v>28</v>
      </c>
      <c r="D1" t="s">
        <v>29</v>
      </c>
      <c r="E1" t="s">
        <v>30</v>
      </c>
      <c r="F1" t="s">
        <v>31</v>
      </c>
      <c r="G1" t="s">
        <v>32</v>
      </c>
      <c r="H1" t="s">
        <v>33</v>
      </c>
      <c r="I1" t="s">
        <v>34</v>
      </c>
      <c r="J1" t="s">
        <v>39</v>
      </c>
      <c r="K1" t="s">
        <v>48</v>
      </c>
    </row>
    <row r="2" spans="1:11"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row>
    <row r="3" spans="1:11"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row>
    <row r="4" spans="1:11"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row>
    <row r="5" spans="1:11"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row>
    <row r="6" spans="1:11"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row>
    <row r="7" spans="1:11"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row>
    <row r="8" spans="1:11"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row>
    <row r="9" spans="1:11"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row>
    <row r="10" spans="1:11"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row>
    <row r="11" spans="1:11"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row>
    <row r="12" spans="1:11"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row>
    <row r="13" spans="1:11"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row>
    <row r="14" spans="1:11"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row>
    <row r="15" spans="1:11"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row>
    <row r="16" spans="1:11"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row>
    <row r="17" spans="1:11"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row>
    <row r="18" spans="1:11"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row>
    <row r="19" spans="1:11"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row>
    <row r="20" spans="1:11"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row>
    <row r="21" spans="1:11"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row>
    <row r="22" spans="1:11"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row>
    <row r="23" spans="1:11"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row>
    <row r="24" spans="1:11"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row>
    <row r="25" spans="1:11"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row>
    <row r="26" spans="1:11"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row>
    <row r="27" spans="1:11"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row>
    <row r="28" spans="1:11"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row>
    <row r="29" spans="1:11"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row>
    <row r="30" spans="1:11"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row>
    <row r="31" spans="1:11"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row>
    <row r="32" spans="1:11"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row>
    <row r="33" spans="1:11"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row>
    <row r="34" spans="1:11"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row>
    <row r="35" spans="1:11"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row>
    <row r="36" spans="1:11"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row>
    <row r="37" spans="1:11"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row>
    <row r="38" spans="1:11"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row>
    <row r="39" spans="1:11"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row>
    <row r="40" spans="1:11"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row>
    <row r="41" spans="1:11"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row>
    <row r="42" spans="1:11"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row>
    <row r="43" spans="1:11"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row>
    <row r="44" spans="1:11"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row>
    <row r="45" spans="1:11"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row>
    <row r="46" spans="1:11"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row>
    <row r="47" spans="1:11"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row>
    <row r="48" spans="1:11"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row>
    <row r="49" spans="1:11"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row>
    <row r="50" spans="1:11"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row>
    <row r="51" spans="1:11"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row>
    <row r="52" spans="1:11"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row>
    <row r="53" spans="1:11"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row>
    <row r="54" spans="1:11"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row>
    <row r="55" spans="1:11"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row>
    <row r="56" spans="1:11"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row>
    <row r="57" spans="1:11"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row>
    <row r="58" spans="1:11"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row>
    <row r="59" spans="1:11"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row>
    <row r="60" spans="1:11"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row>
    <row r="61" spans="1:11"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row>
    <row r="62" spans="1:11"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row>
    <row r="63" spans="1:11"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row>
    <row r="64" spans="1:11"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row>
    <row r="65" spans="1:11"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row>
    <row r="66" spans="1:11"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row>
    <row r="67" spans="1:11"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row>
    <row r="68" spans="1:11"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row>
    <row r="69" spans="1:11"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row>
    <row r="70" spans="1:11"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row>
    <row r="71" spans="1:11"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row>
    <row r="72" spans="1:11"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row>
    <row r="73" spans="1:11"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row>
    <row r="74" spans="1:11"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row>
    <row r="75" spans="1:11"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row>
    <row r="76" spans="1:11"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row>
    <row r="77" spans="1:11"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row>
    <row r="78" spans="1:11"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row>
    <row r="79" spans="1:11"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row>
    <row r="80" spans="1:11"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row>
    <row r="81" spans="1:11"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row>
    <row r="82" spans="1:11"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row>
    <row r="83" spans="1:11"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row>
    <row r="84" spans="1:11"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row>
    <row r="85" spans="1:11"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row>
    <row r="86" spans="1:11"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row>
    <row r="87" spans="1:11"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row>
    <row r="88" spans="1:11"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row>
    <row r="89" spans="1:11"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row>
    <row r="90" spans="1:11"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row>
    <row r="91" spans="1:11"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row>
    <row r="92" spans="1:11"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row>
    <row r="93" spans="1:11"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row>
    <row r="94" spans="1:11"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row>
    <row r="95" spans="1:11"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row>
    <row r="96" spans="1:11"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row>
    <row r="97" spans="1:11"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12"/>
  <sheetViews>
    <sheetView topLeftCell="B1" workbookViewId="0">
      <selection activeCell="B5" sqref="B5"/>
    </sheetView>
  </sheetViews>
  <sheetFormatPr defaultRowHeight="14.4" x14ac:dyDescent="0.3"/>
  <cols>
    <col min="1" max="1" width="13.77734375" bestFit="1" customWidth="1"/>
    <col min="2" max="2" width="15.21875" bestFit="1" customWidth="1"/>
  </cols>
  <sheetData>
    <row r="1" spans="1:2" x14ac:dyDescent="0.3">
      <c r="A1" s="1" t="s">
        <v>39</v>
      </c>
      <c r="B1" t="s">
        <v>40</v>
      </c>
    </row>
    <row r="3" spans="1:2" x14ac:dyDescent="0.3">
      <c r="A3" s="1" t="s">
        <v>36</v>
      </c>
      <c r="B3" t="s">
        <v>38</v>
      </c>
    </row>
    <row r="4" spans="1:2" x14ac:dyDescent="0.3">
      <c r="A4" s="2" t="s">
        <v>18</v>
      </c>
      <c r="B4" s="4">
        <v>38</v>
      </c>
    </row>
    <row r="5" spans="1:2" x14ac:dyDescent="0.3">
      <c r="A5" s="3" t="s">
        <v>4</v>
      </c>
      <c r="B5" s="4">
        <v>38</v>
      </c>
    </row>
    <row r="6" spans="1:2" x14ac:dyDescent="0.3">
      <c r="A6" s="2" t="s">
        <v>19</v>
      </c>
      <c r="B6" s="4">
        <v>93</v>
      </c>
    </row>
    <row r="7" spans="1:2" x14ac:dyDescent="0.3">
      <c r="A7" s="3" t="s">
        <v>4</v>
      </c>
      <c r="B7" s="4">
        <v>93</v>
      </c>
    </row>
    <row r="8" spans="1:2" x14ac:dyDescent="0.3">
      <c r="A8" s="2" t="s">
        <v>13</v>
      </c>
      <c r="B8" s="4">
        <v>103</v>
      </c>
    </row>
    <row r="9" spans="1:2" x14ac:dyDescent="0.3">
      <c r="A9" s="3" t="s">
        <v>4</v>
      </c>
      <c r="B9" s="4">
        <v>103</v>
      </c>
    </row>
    <row r="10" spans="1:2" x14ac:dyDescent="0.3">
      <c r="A10" s="2" t="s">
        <v>26</v>
      </c>
      <c r="B10" s="4">
        <v>164</v>
      </c>
    </row>
    <row r="11" spans="1:2" x14ac:dyDescent="0.3">
      <c r="A11" s="3" t="s">
        <v>4</v>
      </c>
      <c r="B11" s="4">
        <v>164</v>
      </c>
    </row>
    <row r="12" spans="1:2" x14ac:dyDescent="0.3">
      <c r="A12" s="2" t="s">
        <v>37</v>
      </c>
      <c r="B12" s="4">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tabSelected="1" workbookViewId="0">
      <selection activeCell="C5" sqref="C5"/>
    </sheetView>
  </sheetViews>
  <sheetFormatPr defaultRowHeight="14.4" x14ac:dyDescent="0.3"/>
  <cols>
    <col min="1" max="1" width="21.88671875" bestFit="1" customWidth="1"/>
  </cols>
  <sheetData>
    <row r="1" spans="1:2" x14ac:dyDescent="0.3">
      <c r="A1" t="s">
        <v>41</v>
      </c>
      <c r="B1">
        <f>_xlfn.MINIFS(fact_table!E:E,fact_table!E:E, "&gt;0")</f>
        <v>22</v>
      </c>
    </row>
    <row r="2" spans="1:2" x14ac:dyDescent="0.3">
      <c r="A2" t="s">
        <v>42</v>
      </c>
      <c r="B2" cm="1">
        <f t="array" ref="B2">_xlfn.PERCENTILE.INC(_xlfn._xlws.FILTER(fact_table!E:E, fact_table!E:E&gt;0), 0.25)</f>
        <v>1385.75</v>
      </c>
    </row>
    <row r="3" spans="1:2" x14ac:dyDescent="0.3">
      <c r="A3" t="s">
        <v>43</v>
      </c>
      <c r="B3" cm="1">
        <f t="array" ref="B3">MEDIAN(_xlfn._xlws.FILTER(fact_table!E:E, fact_table!E:E&gt;0))</f>
        <v>4067.5</v>
      </c>
    </row>
    <row r="4" spans="1:2" x14ac:dyDescent="0.3">
      <c r="A4" t="s">
        <v>44</v>
      </c>
      <c r="B4">
        <f>COUNTIFS(fact_table!E:E, "&lt;30", fact_table!E:E, "&gt;0")</f>
        <v>1</v>
      </c>
    </row>
    <row r="5" spans="1:2" x14ac:dyDescent="0.3">
      <c r="A5" t="s">
        <v>45</v>
      </c>
      <c r="B5">
        <f>COUNTIFS(fact_table!E:E, "&lt;50", fact_table!E:E, "&gt;0")</f>
        <v>2</v>
      </c>
    </row>
    <row r="6" spans="1:2" x14ac:dyDescent="0.3">
      <c r="A6" t="s">
        <v>46</v>
      </c>
      <c r="B6">
        <f>COUNTIFS(fact_table!E:E, "&lt;100", fact_table!E:E, "&gt;0")</f>
        <v>9</v>
      </c>
    </row>
    <row r="7" spans="1:2" x14ac:dyDescent="0.3">
      <c r="A7" t="s">
        <v>47</v>
      </c>
      <c r="B7">
        <f>COUNTIFS(fact_table!E:E, "&lt;1000", fact_table!E:E, "&gt;0")</f>
        <v>16</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class12-2022 dataset</vt:lpstr>
      <vt:lpstr>class 12-2022 table</vt:lpstr>
      <vt:lpstr>class12-2022 result</vt:lpstr>
      <vt:lpstr>fact_table</vt:lpstr>
      <vt:lpstr>minbase_pivot</vt:lpstr>
      <vt:lpstr>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2025-11-22T05:03:01Z</dcterms:modified>
</cp:coreProperties>
</file>