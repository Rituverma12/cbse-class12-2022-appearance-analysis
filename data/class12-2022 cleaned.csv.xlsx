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3.xml" ContentType="application/vnd.openxmlformats-officedocument.spreadsheetml.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drawings/drawing7.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6A3C255B-E543-48FD-A8C6-9F64EAC6AE9D}" xr6:coauthVersionLast="47" xr6:coauthVersionMax="47" xr10:uidLastSave="{00000000-0000-0000-0000-000000000000}"/>
  <bookViews>
    <workbookView xWindow="-96" yWindow="0" windowWidth="11712" windowHeight="12336" tabRatio="1000" firstSheet="10" activeTab="12" xr2:uid="{352D25E5-EE06-4DDB-99E1-3948CD812789}"/>
  </bookViews>
  <sheets>
    <sheet name="class12-2022 dataset" sheetId="1" state="hidden" r:id="rId1"/>
    <sheet name="class 12-2022 table" sheetId="2" r:id="rId2"/>
    <sheet name="class12-2022 result" sheetId="3" state="hidden" r:id="rId3"/>
    <sheet name="pivot_integrity_summary" sheetId="22" r:id="rId4"/>
    <sheet name="pivot_baseflag_summary" sheetId="23" r:id="rId5"/>
    <sheet name="pivot_anomaly_summary" sheetId="24" r:id="rId6"/>
    <sheet name="fact_table" sheetId="4" r:id="rId7"/>
    <sheet name="Charts_volatility" sheetId="15" r:id="rId8"/>
    <sheet name="minbase_pivot" sheetId="10" r:id="rId9"/>
    <sheet name="profiling_baseflag" sheetId="11" r:id="rId10"/>
    <sheet name="profiling_anomalyflag" sheetId="12" r:id="rId11"/>
    <sheet name="profiling_volatility_schooltype" sheetId="13" r:id="rId12"/>
    <sheet name="Dashboard" sheetId="16" r:id="rId13"/>
  </sheets>
  <definedNames>
    <definedName name="ExternalData_1" localSheetId="2" hidden="1">'class12-2022 result'!$A$1:$I$97</definedName>
    <definedName name="ExternalData_1" localSheetId="6" hidden="1">fact_table!$A$1:$I$97</definedName>
    <definedName name="Slicer_Region">#N/A</definedName>
    <definedName name="Slicer_Region1">#N/A</definedName>
    <definedName name="Slicer_School_Type">#N/A</definedName>
    <definedName name="Slicer_School_Type2">#N/A</definedName>
  </definedNames>
  <calcPr calcId="191029"/>
  <pivotCaches>
    <pivotCache cacheId="725" r:id="rId14"/>
    <pivotCache cacheId="728" r:id="rId15"/>
    <pivotCache cacheId="731" r:id="rId16"/>
    <pivotCache cacheId="737" r:id="rId17"/>
  </pivotCaches>
  <extLst>
    <ext xmlns:x14="http://schemas.microsoft.com/office/spreadsheetml/2009/9/main" uri="{876F7934-8845-4945-9796-88D515C7AA90}">
      <x14:pivotCaches>
        <pivotCache cacheId="119" r:id="rId18"/>
      </x14:pivotCaches>
    </ext>
    <ext xmlns:x14="http://schemas.microsoft.com/office/spreadsheetml/2009/9/main" uri="{BBE1A952-AA13-448e-AADC-164F8A28A991}">
      <x14:slicerCaches>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_14  2_b00e89d7-ac98-4c0f-bd4f-6bfa36debdcc" name="Table1_14  2" connection="Query - Table1_14 (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5" i="4" l="1"/>
  <c r="P2"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O2" i="4"/>
  <c r="O3" i="4"/>
  <c r="O4" i="4"/>
  <c r="O5" i="4"/>
  <c r="O6" i="4"/>
  <c r="O7" i="4"/>
  <c r="O8" i="4"/>
  <c r="O9" i="4"/>
  <c r="O10" i="4"/>
  <c r="O11" i="4"/>
  <c r="O12" i="4"/>
  <c r="O13" i="4"/>
  <c r="O14"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N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E4" i="13" a="1"/>
  <c r="E4" i="13" s="1"/>
  <c r="M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L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B15" i="12"/>
  <c r="B14" i="12"/>
  <c r="B6" i="12"/>
  <c r="B13" i="12"/>
  <c r="B12" i="12"/>
  <c r="B11" i="12"/>
  <c r="B10" i="12"/>
  <c r="B9" i="12"/>
  <c r="B8" i="12"/>
  <c r="B7" i="12"/>
  <c r="B5" i="12"/>
  <c r="B4" i="12"/>
  <c r="B3" i="12" a="1"/>
  <c r="B3" i="12" s="1"/>
  <c r="B2" i="12" a="1"/>
  <c r="B2" i="12" s="1"/>
  <c r="B1" i="12"/>
  <c r="K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B7" i="11"/>
  <c r="B5" i="11"/>
  <c r="B4" i="11"/>
  <c r="B6" i="11"/>
  <c r="B3" i="11" a="1"/>
  <c r="B3" i="11" s="1"/>
  <c r="B2" i="11" a="1"/>
  <c r="B2" i="11" s="1"/>
  <c r="B1" i="11"/>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M98" i="4" l="1"/>
  <c r="B16"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fact_table" description="Connection to the 'fact_table' query in the workbook." type="5" refreshedVersion="8" background="1" saveData="1">
    <dbPr connection="Provider=Microsoft.Mashup.OleDb.1;Data Source=$Workbook$;Location=fact_table;Extended Properties=&quot;&quot;" command="SELECT * FROM [fact_table]"/>
  </connection>
  <connection id="2" xr16:uid="{32F0CCBD-2BBD-49B3-B20D-0353732B9C48}" name="Query - Table1_14 (2)" description="Connection to the 'Table1_14 (2)' query in the workbook." type="100" refreshedVersion="8" minRefreshableVersion="5">
    <extLst>
      <ext xmlns:x15="http://schemas.microsoft.com/office/spreadsheetml/2010/11/main" uri="{DE250136-89BD-433C-8126-D09CA5730AF9}">
        <x15:connection id="278a5147-969f-4753-868b-ae2e3c89e77b">
          <x15:oledbPr connection="Provider=Microsoft.Mashup.OleDb.1;Data Source=$Workbook$;Location=&quot;Table1_14 (2)&quot;;Extended Properties=&quot;&quot;">
            <x15:dbTables>
              <x15:dbTable name="Table1_14 (2)"/>
            </x15:dbTables>
          </x15:oledbPr>
        </x15:connection>
      </ext>
    </extLst>
  </connection>
  <connection id="3" xr16:uid="{9315A0C3-1285-4528-8030-AF6A52CABF34}"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<sst xmlns="http://schemas.openxmlformats.org/spreadsheetml/2006/main" count="765" uniqueCount="88">
  <si>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</si>
  <si>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</si>
  <si>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</si>
  <si>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</si>
  <si>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</si>
  <si>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</si>
  <si>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</si>
  <si>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</si>
  <si>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</si>
  <si>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</si>
  <si>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</si>
  <si>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</si>
  <si>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</si>
  <si>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</si>
  <si>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</si>
  <si>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</si>
  <si>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</si>
  <si>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</si>
  <si>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</si>
  <si>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</si>
  <si>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</si>
  <si>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</si>
  <si>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</si>
  <si>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</si>
  <si>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</si>
  <si>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</si>
  <si>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</si>
  <si>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</si>
  <si>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</si>
  <si>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</si>
  <si>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</si>
  <si>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</si>
  <si>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</si>
  <si>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</si>
  <si>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</si>
  <si>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</si>
  <si>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</si>
  <si>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</si>
  <si>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</si>
  <si>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</si>
  <si>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NON_ZERO</t>
  </si>
  <si>
    <t>Smallest non-zero base</t>
  </si>
  <si>
    <t>25th percentile (non-zero)</t>
  </si>
  <si>
    <t>Median (non-zero)</t>
  </si>
  <si>
    <t>Count below 30</t>
  </si>
  <si>
    <t>Count below 50</t>
  </si>
  <si>
    <t>Count below 100</t>
  </si>
  <si>
    <t>Count below 1000</t>
  </si>
  <si>
    <t>Base Flag</t>
  </si>
  <si>
    <t>Smallest non-zero rate:</t>
  </si>
  <si>
    <t>25th percentile:</t>
  </si>
  <si>
    <t xml:space="preserve">Median: </t>
  </si>
  <si>
    <t>Count below 90%:</t>
  </si>
  <si>
    <t>Count below 95%:</t>
  </si>
  <si>
    <t>Count below 98%:</t>
  </si>
  <si>
    <t>Count below 99%:</t>
  </si>
  <si>
    <t>Count below 98.5%:</t>
  </si>
  <si>
    <t>Count below 98.6%:</t>
  </si>
  <si>
    <t>Count below 98.7%:</t>
  </si>
  <si>
    <t>Count below 98.8%:</t>
  </si>
  <si>
    <t>Count below 98.9%:</t>
  </si>
  <si>
    <t xml:space="preserve">Total Counts: </t>
  </si>
  <si>
    <t>Blank fields:</t>
  </si>
  <si>
    <t>Non-empty rows:</t>
  </si>
  <si>
    <t>Count below 96%:</t>
  </si>
  <si>
    <t>Anomaly Flag</t>
  </si>
  <si>
    <t>Coverage Share</t>
  </si>
  <si>
    <t>volatility_pivot</t>
  </si>
  <si>
    <t>Volatility_StdDev_SchoolType</t>
  </si>
  <si>
    <t>Max_AppearanceRate</t>
  </si>
  <si>
    <t>Min_AppearanceRate</t>
  </si>
  <si>
    <t>Volatility_Range_SchoolType</t>
  </si>
  <si>
    <t>Integrity_RateCheck</t>
  </si>
  <si>
    <t>Integrity_RegisteredCheck</t>
  </si>
  <si>
    <t>Integrity_MissingCheck</t>
  </si>
  <si>
    <t>OK</t>
  </si>
  <si>
    <t>FLAG</t>
  </si>
  <si>
    <t>ABSENT_BASE</t>
  </si>
  <si>
    <t>VALID_BASE</t>
  </si>
  <si>
    <t>NORMAL</t>
  </si>
  <si>
    <t>SMALL_BASE</t>
  </si>
  <si>
    <t>SUSPICIOUS_PERFECTION</t>
  </si>
  <si>
    <t>LOW_RATE</t>
  </si>
  <si>
    <t>Column Labels</t>
  </si>
  <si>
    <t>Count of Integrity_CheckResult</t>
  </si>
  <si>
    <t>Count of Base Flag</t>
  </si>
  <si>
    <t>Count of Anomaly Flag</t>
  </si>
  <si>
    <t>Credibility Dashboard - CBSE Class 12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</si>
</sst>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36"/>
      <color theme="1"/>
      <name val="Aptos Narrow"/>
      <family val="2"/>
      <scheme val="minor"/>
    </font>
    <font>
      <b/>
      <sz val="48"/>
      <color theme="0"/>
      <name val="Aptos Narrow"/>
      <family val="2"/>
      <scheme val="minor"/>
    </font>
    <font>
      <b/>
      <sz val="36"/>
      <color theme="0"/>
      <name val="Aptos Narrow"/>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0"/>
        <bgColor theme="4" tint="0.79998168889431442"/>
      </patternFill>
    </fill>
    <fill>
      <patternFill patternType="solid">
        <fgColor rgb="FF7030A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0" fillId="34" borderId="0" xfId="0" applyFill="1"/>
    <xf numFmtId="0" fontId="0" fillId="35" borderId="0" xfId="0" applyFill="1"/>
    <xf numFmtId="10" fontId="0" fillId="0" borderId="0" xfId="0" applyNumberFormat="1"/>
    <xf numFmtId="0" fontId="16" fillId="36" borderId="10" xfId="0" applyFont="1" applyFill="1" applyBorder="1"/>
    <xf numFmtId="0" fontId="0" fillId="37" borderId="0" xfId="0" applyFill="1"/>
    <xf numFmtId="164" fontId="0" fillId="0" borderId="0" xfId="0" applyNumberFormat="1"/>
    <xf numFmtId="164" fontId="16" fillId="36" borderId="10" xfId="0" applyNumberFormat="1" applyFont="1" applyFill="1" applyBorder="1"/>
    <xf numFmtId="0" fontId="16" fillId="0" borderId="11" xfId="0" applyFont="1" applyBorder="1"/>
    <xf numFmtId="0" fontId="16" fillId="38" borderId="11" xfId="0" applyFont="1" applyFill="1" applyBorder="1"/>
    <xf numFmtId="0" fontId="0" fillId="0" borderId="11" xfId="0" applyBorder="1" applyAlignment="1">
      <alignment horizontal="left"/>
    </xf>
    <xf numFmtId="164" fontId="0" fillId="0" borderId="11" xfId="0" applyNumberFormat="1" applyBorder="1"/>
    <xf numFmtId="0" fontId="19" fillId="0" borderId="0" xfId="0" applyFont="1" applyAlignment="1">
      <alignment horizontal="center"/>
    </xf>
    <xf numFmtId="0" fontId="0" fillId="0" borderId="0" xfId="0" applyNumberFormat="1"/>
    <xf numFmtId="0" fontId="20" fillId="39" borderId="0" xfId="0" applyFont="1" applyFill="1" applyAlignment="1">
      <alignment horizontal="center"/>
    </xf>
    <xf numFmtId="0" fontId="21" fillId="39"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numFmt numFmtId="164" formatCode="0.0000"/>
    </dxf>
    <dxf>
      <numFmt numFmtId="164" formatCode="0.0000"/>
    </dxf>
    <dxf>
      <numFmt numFmtId="164" formatCode="0.0000"/>
    </dxf>
    <dxf>
      <numFmt numFmtId="164" formatCode="0.0000"/>
    </dxf>
    <dxf>
      <numFmt numFmtId="164" formatCode="0.0000"/>
    </dxf>
    <dxf>
      <numFmt numFmtId="164" formatCode="0.0000"/>
    </dxf>
    <dxf>
      <numFmt numFmtId="0" formatCode="General"/>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sharedStrings" Target="sharedStrings.xml"/><Relationship Id="rId39" Type="http://schemas.openxmlformats.org/officeDocument/2006/relationships/customXml" Target="../customXml/item10.xml"/><Relationship Id="rId21" Type="http://schemas.microsoft.com/office/2007/relationships/slicerCache" Target="slicerCaches/slicerCache3.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theme" Target="theme/theme1.xml"/><Relationship Id="rId28" Type="http://schemas.openxmlformats.org/officeDocument/2006/relationships/powerPivotData" Target="model/item.data"/><Relationship Id="rId36" Type="http://schemas.openxmlformats.org/officeDocument/2006/relationships/customXml" Target="../customXml/item7.xml"/><Relationship Id="rId10" Type="http://schemas.openxmlformats.org/officeDocument/2006/relationships/worksheet" Target="worksheets/sheet10.xml"/><Relationship Id="rId19" Type="http://schemas.microsoft.com/office/2007/relationships/slicerCache" Target="slicerCaches/slicerCache1.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07/relationships/slicerCache" Target="slicerCaches/slicerCache4.xml"/><Relationship Id="rId27" Type="http://schemas.openxmlformats.org/officeDocument/2006/relationships/sheetMetadata" Target="metadata.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styles" Target="style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microsoft.com/office/2007/relationships/slicerCache" Target="slicerCaches/slicerCache2.xml"/><Relationship Id="rId41"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cleaned.csv.xlsx]pivot_integrity_summary!PivotTable4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4BAE-4F69-8C54-F37B0D862791}"/>
            </c:ext>
          </c:extLst>
        </c:ser>
        <c:ser>
          <c:idx val="1"/>
          <c:order val="1"/>
          <c:tx>
            <c:strRef>
              <c:f>pivot_integrity_summary!$C$3:$C$4</c:f>
              <c:strCache>
                <c:ptCount val="1"/>
                <c:pt idx="0">
                  <c:v>OK</c:v>
                </c:pt>
              </c:strCache>
            </c:strRef>
          </c:tx>
          <c:spPr>
            <a:solidFill>
              <a:schemeClr val="accent2"/>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9-4BAE-4F69-8C54-F37B0D862791}"/>
            </c:ext>
          </c:extLst>
        </c:ser>
        <c:dLbls>
          <c:showLegendKey val="0"/>
          <c:showVal val="0"/>
          <c:showCatName val="0"/>
          <c:showSerName val="0"/>
          <c:showPercent val="0"/>
          <c:showBubbleSize val="0"/>
        </c:dLbls>
        <c:gapWidth val="150"/>
        <c:overlap val="100"/>
        <c:axId val="206236624"/>
        <c:axId val="199656016"/>
      </c:barChart>
      <c:catAx>
        <c:axId val="20623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cleaned.csv.xlsx]pivot_baseflag_summary!PivotTable5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pivot_baseflag_summary!$B$3</c:f>
              <c:strCache>
                <c:ptCount val="1"/>
                <c:pt idx="0">
                  <c:v>Total</c:v>
                </c:pt>
              </c:strCache>
            </c:strRef>
          </c:tx>
          <c:dPt>
            <c:idx val="0"/>
            <c:bubble3D val="0"/>
            <c:spPr>
              <a:solidFill>
                <a:schemeClr val="accent6"/>
              </a:solidFill>
              <a:ln w="19050">
                <a:solidFill>
                  <a:schemeClr val="lt1"/>
                </a:solidFill>
              </a:ln>
              <a:effectLst/>
            </c:spPr>
          </c:dPt>
          <c:dPt>
            <c:idx val="1"/>
            <c:bubble3D val="0"/>
            <c:spPr>
              <a:solidFill>
                <a:schemeClr val="accent5"/>
              </a:solidFill>
              <a:ln w="19050">
                <a:solidFill>
                  <a:schemeClr val="lt1"/>
                </a:solidFill>
              </a:ln>
              <a:effectLst/>
            </c:spPr>
          </c:dPt>
          <c:dPt>
            <c:idx val="2"/>
            <c:bubble3D val="0"/>
            <c:spPr>
              <a:solidFill>
                <a:schemeClr val="accent4"/>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pivot_baseflag_summary!$A$4:$A$7</c:f>
              <c:strCache>
                <c:ptCount val="3"/>
                <c:pt idx="0">
                  <c:v>ABSENT_BASE</c:v>
                </c:pt>
                <c:pt idx="1">
                  <c:v>SMALL_BASE</c:v>
                </c:pt>
                <c:pt idx="2">
                  <c:v>VALID_BASE</c:v>
                </c:pt>
              </c:strCache>
            </c:strRef>
          </c:cat>
          <c:val>
            <c:numRef>
              <c:f>pivot_baseflag_summary!$B$4:$B$7</c:f>
              <c:numCache>
                <c:formatCode>General</c:formatCode>
                <c:ptCount val="3"/>
                <c:pt idx="0">
                  <c:v>66</c:v>
                </c:pt>
                <c:pt idx="1">
                  <c:v>27</c:v>
                </c:pt>
                <c:pt idx="2">
                  <c:v>195</c:v>
                </c:pt>
              </c:numCache>
            </c:numRef>
          </c:val>
          <c:extLst>
            <c:ext xmlns:c16="http://schemas.microsoft.com/office/drawing/2014/chart" uri="{C3380CC4-5D6E-409C-BE32-E72D297353CC}">
              <c16:uniqueId val="{00000000-96A4-4EAF-A3BB-7E35CE9E5EFE}"/>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cleaned.csv.xlsx]pivot_anomaly_summary!PivotTable6</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schemeClr>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pivot_anomaly_summary!$B$3</c:f>
              <c:strCache>
                <c:ptCount val="1"/>
                <c:pt idx="0">
                  <c:v>Total</c:v>
                </c:pt>
              </c:strCache>
            </c:strRef>
          </c:tx>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2-9809-48E1-9DC1-A16012C7F37E}"/>
              </c:ext>
            </c:extLst>
          </c:dPt>
          <c:dPt>
            <c:idx val="2"/>
            <c:bubble3D val="0"/>
            <c:spPr>
              <a:solidFill>
                <a:schemeClr val="accent6"/>
              </a:solidFill>
              <a:ln w="19050">
                <a:solidFill>
                  <a:schemeClr val="lt1"/>
                </a:solidFill>
              </a:ln>
              <a:effectLst/>
            </c:spPr>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3-9809-48E1-9DC1-A16012C7F37E}"/>
              </c:ext>
            </c:extLst>
          </c:dPt>
          <c:dLbls>
            <c:dLbl>
              <c:idx val="1"/>
              <c:layout>
                <c:manualLayout>
                  <c:x val="3.1719434333061319E-2"/>
                  <c:y val="1.268063556288779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809-48E1-9DC1-A16012C7F37E}"/>
                </c:ext>
              </c:extLst>
            </c:dLbl>
            <c:dLbl>
              <c:idx val="3"/>
              <c:layout>
                <c:manualLayout>
                  <c:x val="4.2509069681437896E-2"/>
                  <c:y val="-2.1896319205158173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809-48E1-9DC1-A16012C7F37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66</c:v>
                </c:pt>
                <c:pt idx="1">
                  <c:v>6</c:v>
                </c:pt>
                <c:pt idx="2">
                  <c:v>195</c:v>
                </c:pt>
                <c:pt idx="3">
                  <c:v>21</c:v>
                </c:pt>
              </c:numCache>
            </c:numRef>
          </c:val>
          <c:extLst>
            <c:ext xmlns:c16="http://schemas.microsoft.com/office/drawing/2014/chart" uri="{C3380CC4-5D6E-409C-BE32-E72D297353CC}">
              <c16:uniqueId val="{00000000-9809-48E1-9DC1-A16012C7F37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E4EF-4386-B978-25BFF3C57E88}"/>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E4EF-4386-B978-25BFF3C57E88}"/>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 (Dual Axis)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3104469376959893"/>
          <c:y val="0.12830793440172397"/>
          <c:w val="0.73791061246080214"/>
          <c:h val="0.59561703176136072"/>
        </c:manualLayout>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dLbls>
            <c:dLbl>
              <c:idx val="0"/>
              <c:layout>
                <c:manualLayout>
                  <c:x val="-1.9670126366789911E-17"/>
                  <c:y val="-3.8566679967616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CB-49B0-9EEF-CE01B3687069}"/>
                </c:ext>
              </c:extLst>
            </c:dLbl>
            <c:dLbl>
              <c:idx val="1"/>
              <c:layout>
                <c:manualLayout>
                  <c:x val="-4.9354705390763892E-2"/>
                  <c:y val="3.85666799676161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CB-49B0-9EEF-CE01B3687069}"/>
                </c:ext>
              </c:extLst>
            </c:dLbl>
            <c:dLbl>
              <c:idx val="2"/>
              <c:layout>
                <c:manualLayout>
                  <c:x val="1.7166854048961355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CB-49B0-9EEF-CE01B3687069}"/>
                </c:ext>
              </c:extLst>
            </c:dLbl>
            <c:dLbl>
              <c:idx val="3"/>
              <c:layout>
                <c:manualLayout>
                  <c:x val="-1.5020997292841185E-2"/>
                  <c:y val="-1.92833399838081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CB-49B0-9EEF-CE01B3687069}"/>
                </c:ext>
              </c:extLst>
            </c:dLbl>
            <c:dLbl>
              <c:idx val="4"/>
              <c:layout>
                <c:manualLayout>
                  <c:x val="-3.6575533898608091E-2"/>
                  <c:y val="-7.2355363487498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CB-49B0-9EEF-CE01B3687069}"/>
                </c:ext>
              </c:extLst>
            </c:dLbl>
            <c:dLbl>
              <c:idx val="5"/>
              <c:layout>
                <c:manualLayout>
                  <c:x val="-5.5735729959429124E-2"/>
                  <c:y val="-6.09449178067512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78CB-49B0-9EEF-CE01B3687069}"/>
            </c:ext>
          </c:extLst>
        </c:ser>
        <c:dLbls>
          <c:showLegendKey val="0"/>
          <c:showVal val="1"/>
          <c:showCatName val="0"/>
          <c:showSerName val="0"/>
          <c:showPercent val="0"/>
          <c:showBubbleSize val="0"/>
        </c:dLbls>
        <c:gapWidth val="219"/>
        <c:overlap val="-27"/>
        <c:axId val="517568736"/>
        <c:axId val="517565856"/>
      </c:barChart>
      <c:lineChart>
        <c:grouping val="standard"/>
        <c:varyColors val="0"/>
        <c:ser>
          <c:idx val="1"/>
          <c:order val="1"/>
          <c:tx>
            <c:strRef>
              <c:f>Charts_volatility!$C$3</c:f>
              <c:strCache>
                <c:ptCount val="1"/>
                <c:pt idx="0">
                  <c:v>Volatility_Range_SchoolType</c:v>
                </c:pt>
              </c:strCache>
            </c:strRef>
          </c:tx>
          <c:spPr>
            <a:ln w="28575" cap="rnd">
              <a:solidFill>
                <a:schemeClr val="accent2"/>
              </a:solidFill>
              <a:round/>
            </a:ln>
            <a:effectLst/>
          </c:spPr>
          <c:marker>
            <c:symbol val="none"/>
          </c:marker>
          <c:dLbls>
            <c:dLbl>
              <c:idx val="0"/>
              <c:layout>
                <c:manualLayout>
                  <c:x val="2.1458567561201694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CB-49B0-9EEF-CE01B3687069}"/>
                </c:ext>
              </c:extLst>
            </c:dLbl>
            <c:dLbl>
              <c:idx val="1"/>
              <c:layout>
                <c:manualLayout>
                  <c:x val="3.2187851341802458E-2"/>
                  <c:y val="4.24233479643777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CB-49B0-9EEF-CE01B3687069}"/>
                </c:ext>
              </c:extLst>
            </c:dLbl>
            <c:dLbl>
              <c:idx val="2"/>
              <c:layout>
                <c:manualLayout>
                  <c:x val="1.5020997292841185E-2"/>
                  <c:y val="5.78500199514242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CB-49B0-9EEF-CE01B3687069}"/>
                </c:ext>
              </c:extLst>
            </c:dLbl>
            <c:dLbl>
              <c:idx val="3"/>
              <c:layout>
                <c:manualLayout>
                  <c:x val="1.2909011964214593E-2"/>
                  <c:y val="4.56981243078938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CB-49B0-9EEF-CE01B3687069}"/>
                </c:ext>
              </c:extLst>
            </c:dLbl>
            <c:dLbl>
              <c:idx val="4"/>
              <c:layout>
                <c:manualLayout>
                  <c:x val="1.9369145148116496E-2"/>
                  <c:y val="-8.79760631497498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CB-49B0-9EEF-CE01B3687069}"/>
                </c:ext>
              </c:extLst>
            </c:dLbl>
            <c:dLbl>
              <c:idx val="5"/>
              <c:layout>
                <c:manualLayout>
                  <c:x val="-8.5714309818422339E-3"/>
                  <c:y val="-0.116096723658423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smooth val="0"/>
          <c:extLst>
            <c:ext xmlns:c16="http://schemas.microsoft.com/office/drawing/2014/chart" uri="{C3380CC4-5D6E-409C-BE32-E72D297353CC}">
              <c16:uniqueId val="{00000001-78CB-49B0-9EEF-CE01B3687069}"/>
            </c:ext>
          </c:extLst>
        </c:ser>
        <c:dLbls>
          <c:showLegendKey val="0"/>
          <c:showVal val="1"/>
          <c:showCatName val="0"/>
          <c:showSerName val="0"/>
          <c:showPercent val="0"/>
          <c:showBubbleSize val="0"/>
        </c:dLbls>
        <c:marker val="1"/>
        <c:smooth val="0"/>
        <c:axId val="517575936"/>
        <c:axId val="517567776"/>
      </c:lineChart>
      <c:catAx>
        <c:axId val="517568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5856"/>
        <c:crosses val="autoZero"/>
        <c:auto val="1"/>
        <c:lblAlgn val="ctr"/>
        <c:lblOffset val="100"/>
        <c:noMultiLvlLbl val="0"/>
      </c:catAx>
      <c:valAx>
        <c:axId val="51756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StdDev</a:t>
                </a:r>
                <a:r>
                  <a:rPr lang="en-IN" baseline="0"/>
                  <a:t> (behavioral consistency)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8736"/>
        <c:crosses val="autoZero"/>
        <c:crossBetween val="between"/>
      </c:valAx>
      <c:valAx>
        <c:axId val="51756777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Range</a:t>
                </a:r>
                <a:r>
                  <a:rPr lang="en-IN" baseline="0"/>
                  <a:t> (Extreme spread)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5936"/>
        <c:crosses val="max"/>
        <c:crossBetween val="between"/>
      </c:valAx>
      <c:catAx>
        <c:axId val="517575936"/>
        <c:scaling>
          <c:orientation val="minMax"/>
        </c:scaling>
        <c:delete val="1"/>
        <c:axPos val="b"/>
        <c:numFmt formatCode="General" sourceLinked="1"/>
        <c:majorTickMark val="out"/>
        <c:minorTickMark val="none"/>
        <c:tickLblPos val="nextTo"/>
        <c:crossAx val="517567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Summary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A5C9-4760-B438-4BFFFA28F463}"/>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A5C9-4760-B438-4BFFFA28F463}"/>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cleaned.csv.xlsx]pivot_integrity_summary!PivotTable4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0"/>
              <c:y val="-5.0894146340861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1674802735510389E-3"/>
              <c:y val="-5.48090806747743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dLbls>
            <c:dLbl>
              <c:idx val="1"/>
              <c:layout>
                <c:manualLayout>
                  <c:x val="0"/>
                  <c:y val="-5.08941463408619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3A-46C3-BD29-CA82BFA72C6B}"/>
                </c:ext>
              </c:extLst>
            </c:dLbl>
            <c:dLbl>
              <c:idx val="2"/>
              <c:layout>
                <c:manualLayout>
                  <c:x val="-5.1674802735510389E-3"/>
                  <c:y val="-5.4809080674774385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3A-46C3-BD29-CA82BFA72C6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Integrity_MissingCheck</c:v>
                </c:pt>
                <c:pt idx="1">
                  <c:v>Integrity_RateCheck</c:v>
                </c:pt>
                <c:pt idx="2">
                  <c:v>Integrity_RegisteredCheck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783A-46C3-BD29-CA82BFA72C6B}"/>
            </c:ext>
          </c:extLst>
        </c:ser>
        <c:ser>
          <c:idx val="1"/>
          <c:order val="1"/>
          <c:tx>
            <c:strRef>
              <c:f>pivot_integrity_summary!$C$3:$C$4</c:f>
              <c:strCache>
                <c:ptCount val="1"/>
                <c:pt idx="0">
                  <c:v>OK</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Integrity_MissingCheck</c:v>
                </c:pt>
                <c:pt idx="1">
                  <c:v>Integrity_RateCheck</c:v>
                </c:pt>
                <c:pt idx="2">
                  <c:v>Integrity_RegisteredCheck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9-783A-46C3-BD29-CA82BFA72C6B}"/>
            </c:ext>
          </c:extLst>
        </c:ser>
        <c:dLbls>
          <c:dLblPos val="ctr"/>
          <c:showLegendKey val="0"/>
          <c:showVal val="1"/>
          <c:showCatName val="0"/>
          <c:showSerName val="0"/>
          <c:showPercent val="0"/>
          <c:showBubbleSize val="0"/>
        </c:dLbls>
        <c:gapWidth val="150"/>
        <c:overlap val="100"/>
        <c:axId val="206236624"/>
        <c:axId val="199656016"/>
      </c:barChart>
      <c:catAx>
        <c:axId val="20623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cleaned.csv.xlsx]pivot_baseflag_summary!PivotTable5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s>
    <c:plotArea>
      <c:layout/>
      <c:pieChart>
        <c:varyColors val="1"/>
        <c:ser>
          <c:idx val="0"/>
          <c:order val="0"/>
          <c:tx>
            <c:strRef>
              <c:f>pivot_baseflag_summary!$B$3</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08CF-40C6-BE6F-D8E8EC43220C}"/>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08CF-40C6-BE6F-D8E8EC43220C}"/>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08CF-40C6-BE6F-D8E8EC43220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pivot_baseflag_summary!$A$4:$A$7</c:f>
              <c:strCache>
                <c:ptCount val="3"/>
                <c:pt idx="0">
                  <c:v>ABSENT_BASE</c:v>
                </c:pt>
                <c:pt idx="1">
                  <c:v>SMALL_BASE</c:v>
                </c:pt>
                <c:pt idx="2">
                  <c:v>VALID_BASE</c:v>
                </c:pt>
              </c:strCache>
            </c:strRef>
          </c:cat>
          <c:val>
            <c:numRef>
              <c:f>pivot_baseflag_summary!$B$4:$B$7</c:f>
              <c:numCache>
                <c:formatCode>General</c:formatCode>
                <c:ptCount val="3"/>
                <c:pt idx="0">
                  <c:v>66</c:v>
                </c:pt>
                <c:pt idx="1">
                  <c:v>27</c:v>
                </c:pt>
                <c:pt idx="2">
                  <c:v>195</c:v>
                </c:pt>
              </c:numCache>
            </c:numRef>
          </c:val>
          <c:extLst>
            <c:ext xmlns:c16="http://schemas.microsoft.com/office/drawing/2014/chart" uri="{C3380CC4-5D6E-409C-BE32-E72D297353CC}">
              <c16:uniqueId val="{00000006-08CF-40C6-BE6F-D8E8EC43220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cleaned.csv.xlsx]pivot_anomaly_summary!PivotTable6</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schemeClr>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dLbl>
          <c:idx val="0"/>
          <c:layout>
            <c:manualLayout>
              <c:x val="-5.6347811163106609E-2"/>
              <c:y val="2.529663366707233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dLbl>
          <c:idx val="0"/>
          <c:layout>
            <c:manualLayout>
              <c:x val="3.7340778862770256E-2"/>
              <c:y val="8.827528361510085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pivot_anomaly_summary!$B$3</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D9EF-45ED-9889-E0A9488FDC87}"/>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D9EF-45ED-9889-E0A9488FDC87}"/>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D9EF-45ED-9889-E0A9488FDC87}"/>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D9EF-45ED-9889-E0A9488FDC87}"/>
              </c:ext>
            </c:extLst>
          </c:dPt>
          <c:dLbls>
            <c:dLbl>
              <c:idx val="1"/>
              <c:layout>
                <c:manualLayout>
                  <c:x val="-5.6347811163106609E-2"/>
                  <c:y val="2.5296633667072337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9EF-45ED-9889-E0A9488FDC87}"/>
                </c:ext>
              </c:extLst>
            </c:dLbl>
            <c:dLbl>
              <c:idx val="3"/>
              <c:layout>
                <c:manualLayout>
                  <c:x val="3.7340778862770256E-2"/>
                  <c:y val="8.827528361510085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9EF-45ED-9889-E0A9488FDC8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66</c:v>
                </c:pt>
                <c:pt idx="1">
                  <c:v>6</c:v>
                </c:pt>
                <c:pt idx="2">
                  <c:v>195</c:v>
                </c:pt>
                <c:pt idx="3">
                  <c:v>21</c:v>
                </c:pt>
              </c:numCache>
            </c:numRef>
          </c:val>
          <c:extLst>
            <c:ext xmlns:c16="http://schemas.microsoft.com/office/drawing/2014/chart" uri="{C3380CC4-5D6E-409C-BE32-E72D297353CC}">
              <c16:uniqueId val="{00000008-D9EF-45ED-9889-E0A9488FDC8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594360</xdr:colOff>
      <xdr:row>1</xdr:row>
      <xdr:rowOff>152400</xdr:rowOff>
    </xdr:from>
    <xdr:to>
      <xdr:col>12</xdr:col>
      <xdr:colOff>289560</xdr:colOff>
      <xdr:row>16</xdr:row>
      <xdr:rowOff>152400</xdr:rowOff>
    </xdr:to>
    <xdr:graphicFrame macro="">
      <xdr:nvGraphicFramePr>
        <xdr:cNvPr id="2" name="Chart 1">
          <a:extLst>
            <a:ext uri="{FF2B5EF4-FFF2-40B4-BE49-F238E27FC236}">
              <a16:creationId xmlns:a16="http://schemas.microsoft.com/office/drawing/2014/main" id="{4DA74C27-C28B-8732-4B3D-975199AA65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381000</xdr:colOff>
      <xdr:row>5</xdr:row>
      <xdr:rowOff>45720</xdr:rowOff>
    </xdr:from>
    <xdr:to>
      <xdr:col>11</xdr:col>
      <xdr:colOff>76200</xdr:colOff>
      <xdr:row>20</xdr:row>
      <xdr:rowOff>45720</xdr:rowOff>
    </xdr:to>
    <xdr:graphicFrame macro="">
      <xdr:nvGraphicFramePr>
        <xdr:cNvPr id="2" name="Chart 1">
          <a:extLst>
            <a:ext uri="{FF2B5EF4-FFF2-40B4-BE49-F238E27FC236}">
              <a16:creationId xmlns:a16="http://schemas.microsoft.com/office/drawing/2014/main" id="{AC7AE7EE-9457-4470-4B07-70E4837FE1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12700</xdr:colOff>
      <xdr:row>0</xdr:row>
      <xdr:rowOff>171450</xdr:rowOff>
    </xdr:from>
    <xdr:to>
      <xdr:col>10</xdr:col>
      <xdr:colOff>317500</xdr:colOff>
      <xdr:row>15</xdr:row>
      <xdr:rowOff>171450</xdr:rowOff>
    </xdr:to>
    <xdr:graphicFrame macro="">
      <xdr:nvGraphicFramePr>
        <xdr:cNvPr id="2" name="Chart 1">
          <a:extLst>
            <a:ext uri="{FF2B5EF4-FFF2-40B4-BE49-F238E27FC236}">
              <a16:creationId xmlns:a16="http://schemas.microsoft.com/office/drawing/2014/main" id="{05705699-873E-8512-FEE0-1998045E3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373380</xdr:colOff>
      <xdr:row>10</xdr:row>
      <xdr:rowOff>41910</xdr:rowOff>
    </xdr:from>
    <xdr:to>
      <xdr:col>5</xdr:col>
      <xdr:colOff>129540</xdr:colOff>
      <xdr:row>28</xdr:row>
      <xdr:rowOff>68580</xdr:rowOff>
    </xdr:to>
    <xdr:graphicFrame macro="">
      <xdr:nvGraphicFramePr>
        <xdr:cNvPr id="2" name="Chart 1">
          <a:extLst>
            <a:ext uri="{FF2B5EF4-FFF2-40B4-BE49-F238E27FC236}">
              <a16:creationId xmlns:a16="http://schemas.microsoft.com/office/drawing/2014/main" id="{473C206C-1344-C692-CA8B-F0EEC50E7F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423334</xdr:colOff>
      <xdr:row>2</xdr:row>
      <xdr:rowOff>33096</xdr:rowOff>
    </xdr:from>
    <xdr:to>
      <xdr:col>15</xdr:col>
      <xdr:colOff>253999</xdr:colOff>
      <xdr:row>20</xdr:row>
      <xdr:rowOff>46181</xdr:rowOff>
    </xdr:to>
    <xdr:graphicFrame macro="">
      <xdr:nvGraphicFramePr>
        <xdr:cNvPr id="3" name="Chart 2">
          <a:extLst>
            <a:ext uri="{FF2B5EF4-FFF2-40B4-BE49-F238E27FC236}">
              <a16:creationId xmlns:a16="http://schemas.microsoft.com/office/drawing/2014/main" id="{4D4F21E5-F31C-8258-B656-018FCAA4D6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7620</xdr:colOff>
      <xdr:row>1</xdr:row>
      <xdr:rowOff>27548</xdr:rowOff>
    </xdr:from>
    <xdr:to>
      <xdr:col>6</xdr:col>
      <xdr:colOff>7620</xdr:colOff>
      <xdr:row>10</xdr:row>
      <xdr:rowOff>152400</xdr:rowOff>
    </xdr:to>
    <mc:AlternateContent xmlns:mc="http://schemas.openxmlformats.org/markup-compatibility/2006" xmlns:a14="http://schemas.microsoft.com/office/drawing/2010/main">
      <mc:Choice Requires="a14">
        <xdr:graphicFrame macro="">
          <xdr:nvGraphicFramePr>
            <xdr:cNvPr id="2" name="School Type">
              <a:extLst>
                <a:ext uri="{FF2B5EF4-FFF2-40B4-BE49-F238E27FC236}">
                  <a16:creationId xmlns:a16="http://schemas.microsoft.com/office/drawing/2014/main" id="{967E3060-9343-5E7A-7F1B-1E17F8AB1119}"/>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mlns="">
        <xdr:sp macro="" textlink="">
          <xdr:nvSpPr>
            <xdr:cNvPr id="0" name=""/>
            <xdr:cNvSpPr>
              <a:spLocks noTextEdit="1"/>
            </xdr:cNvSpPr>
          </xdr:nvSpPr>
          <xdr:spPr>
            <a:xfrm>
              <a:off x="2692205" y="215117"/>
              <a:ext cx="1828800" cy="1812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319031</xdr:colOff>
      <xdr:row>1</xdr:row>
      <xdr:rowOff>182788</xdr:rowOff>
    </xdr:from>
    <xdr:to>
      <xdr:col>8</xdr:col>
      <xdr:colOff>330048</xdr:colOff>
      <xdr:row>26</xdr:row>
      <xdr:rowOff>174433</xdr:rowOff>
    </xdr:to>
    <mc:AlternateContent xmlns:mc="http://schemas.openxmlformats.org/markup-compatibility/2006">
      <mc:Choice xmlns:a14="http://schemas.microsoft.com/office/drawing/2010/main" Requires="a14">
        <xdr:graphicFrame macro="">
          <xdr:nvGraphicFramePr>
            <xdr:cNvPr id="2" name="Region 1">
              <a:extLst>
                <a:ext uri="{FF2B5EF4-FFF2-40B4-BE49-F238E27FC236}">
                  <a16:creationId xmlns:a16="http://schemas.microsoft.com/office/drawing/2014/main" id="{360C211F-B33F-67ED-9D2B-F233A28F20F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7369826" y="366402"/>
              <a:ext cx="1828800" cy="45820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110535</xdr:colOff>
      <xdr:row>11</xdr:row>
      <xdr:rowOff>1836</xdr:rowOff>
    </xdr:from>
    <xdr:to>
      <xdr:col>1</xdr:col>
      <xdr:colOff>1039624</xdr:colOff>
      <xdr:row>20</xdr:row>
      <xdr:rowOff>174434</xdr:rowOff>
    </xdr:to>
    <mc:AlternateContent xmlns:mc="http://schemas.openxmlformats.org/markup-compatibility/2006">
      <mc:Choice xmlns:a14="http://schemas.microsoft.com/office/drawing/2010/main" Requires="a14">
        <xdr:graphicFrame macro="">
          <xdr:nvGraphicFramePr>
            <xdr:cNvPr id="3" name="School Type 2">
              <a:extLst>
                <a:ext uri="{FF2B5EF4-FFF2-40B4-BE49-F238E27FC236}">
                  <a16:creationId xmlns:a16="http://schemas.microsoft.com/office/drawing/2014/main" id="{720C83FD-7ECB-C374-6A91-A295BE45E37F}"/>
                </a:ext>
              </a:extLst>
            </xdr:cNvPr>
            <xdr:cNvGraphicFramePr/>
          </xdr:nvGraphicFramePr>
          <xdr:xfrm>
            <a:off x="0" y="0"/>
            <a:ext cx="0" cy="0"/>
          </xdr:xfrm>
          <a:graphic>
            <a:graphicData uri="http://schemas.microsoft.com/office/drawing/2010/slicer">
              <sle:slicer xmlns:sle="http://schemas.microsoft.com/office/drawing/2010/slicer" name="School Type 2"/>
            </a:graphicData>
          </a:graphic>
        </xdr:graphicFrame>
      </mc:Choice>
      <mc:Fallback>
        <xdr:sp macro="" textlink="">
          <xdr:nvSpPr>
            <xdr:cNvPr id="0" name=""/>
            <xdr:cNvSpPr>
              <a:spLocks noTextEdit="1"/>
            </xdr:cNvSpPr>
          </xdr:nvSpPr>
          <xdr:spPr>
            <a:xfrm>
              <a:off x="110535" y="2021595"/>
              <a:ext cx="1828800" cy="18251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11</xdr:col>
      <xdr:colOff>543650</xdr:colOff>
      <xdr:row>23</xdr:row>
      <xdr:rowOff>16409</xdr:rowOff>
    </xdr:from>
    <xdr:to>
      <xdr:col>19</xdr:col>
      <xdr:colOff>568477</xdr:colOff>
      <xdr:row>41</xdr:row>
      <xdr:rowOff>168349</xdr:rowOff>
    </xdr:to>
    <xdr:graphicFrame macro="">
      <xdr:nvGraphicFramePr>
        <xdr:cNvPr id="5" name="Chart 4">
          <a:extLst>
            <a:ext uri="{FF2B5EF4-FFF2-40B4-BE49-F238E27FC236}">
              <a16:creationId xmlns:a16="http://schemas.microsoft.com/office/drawing/2014/main" id="{C0A629F7-2D6E-4E6F-A0B3-927DDD45AA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441532</xdr:colOff>
      <xdr:row>5</xdr:row>
      <xdr:rowOff>27710</xdr:rowOff>
    </xdr:from>
    <xdr:to>
      <xdr:col>11</xdr:col>
      <xdr:colOff>493057</xdr:colOff>
      <xdr:row>22</xdr:row>
      <xdr:rowOff>171006</xdr:rowOff>
    </xdr:to>
    <xdr:graphicFrame macro="">
      <xdr:nvGraphicFramePr>
        <xdr:cNvPr id="8" name="Chart 7">
          <a:extLst>
            <a:ext uri="{FF2B5EF4-FFF2-40B4-BE49-F238E27FC236}">
              <a16:creationId xmlns:a16="http://schemas.microsoft.com/office/drawing/2014/main" id="{A76BF4D5-3FE2-48B6-9B30-ED7BAE2C0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552823</xdr:colOff>
      <xdr:row>5</xdr:row>
      <xdr:rowOff>39584</xdr:rowOff>
    </xdr:from>
    <xdr:to>
      <xdr:col>19</xdr:col>
      <xdr:colOff>568477</xdr:colOff>
      <xdr:row>23</xdr:row>
      <xdr:rowOff>29882</xdr:rowOff>
    </xdr:to>
    <xdr:graphicFrame macro="">
      <xdr:nvGraphicFramePr>
        <xdr:cNvPr id="9" name="Chart 8">
          <a:extLst>
            <a:ext uri="{FF2B5EF4-FFF2-40B4-BE49-F238E27FC236}">
              <a16:creationId xmlns:a16="http://schemas.microsoft.com/office/drawing/2014/main" id="{299A35B2-CE45-456E-9531-84216F82D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441532</xdr:colOff>
      <xdr:row>23</xdr:row>
      <xdr:rowOff>35442</xdr:rowOff>
    </xdr:from>
    <xdr:to>
      <xdr:col>11</xdr:col>
      <xdr:colOff>493058</xdr:colOff>
      <xdr:row>41</xdr:row>
      <xdr:rowOff>168349</xdr:rowOff>
    </xdr:to>
    <xdr:graphicFrame macro="">
      <xdr:nvGraphicFramePr>
        <xdr:cNvPr id="10" name="Chart 9">
          <a:extLst>
            <a:ext uri="{FF2B5EF4-FFF2-40B4-BE49-F238E27FC236}">
              <a16:creationId xmlns:a16="http://schemas.microsoft.com/office/drawing/2014/main" id="{36DF30FF-CBB1-4B98-A5F1-0967A93F8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39583</xdr:colOff>
      <xdr:row>5</xdr:row>
      <xdr:rowOff>27710</xdr:rowOff>
    </xdr:from>
    <xdr:to>
      <xdr:col>3</xdr:col>
      <xdr:colOff>385947</xdr:colOff>
      <xdr:row>30</xdr:row>
      <xdr:rowOff>152399</xdr:rowOff>
    </xdr:to>
    <mc:AlternateContent xmlns:mc="http://schemas.openxmlformats.org/markup-compatibility/2006">
      <mc:Choice xmlns:a14="http://schemas.microsoft.com/office/drawing/2010/main" Requires="a14">
        <xdr:graphicFrame macro="">
          <xdr:nvGraphicFramePr>
            <xdr:cNvPr id="14" name="Region">
              <a:extLst>
                <a:ext uri="{FF2B5EF4-FFF2-40B4-BE49-F238E27FC236}">
                  <a16:creationId xmlns:a16="http://schemas.microsoft.com/office/drawing/2014/main" id="{607D5FCB-42E4-A7B2-31C0-6E37E6C8B88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9583" y="956978"/>
              <a:ext cx="2186315" cy="47710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39584</xdr:colOff>
      <xdr:row>31</xdr:row>
      <xdr:rowOff>24088</xdr:rowOff>
    </xdr:from>
    <xdr:to>
      <xdr:col>3</xdr:col>
      <xdr:colOff>374171</xdr:colOff>
      <xdr:row>41</xdr:row>
      <xdr:rowOff>168349</xdr:rowOff>
    </xdr:to>
    <mc:AlternateContent xmlns:mc="http://schemas.openxmlformats.org/markup-compatibility/2006">
      <mc:Choice xmlns:a14="http://schemas.microsoft.com/office/drawing/2010/main" Requires="a14">
        <xdr:graphicFrame macro="">
          <xdr:nvGraphicFramePr>
            <xdr:cNvPr id="16" name="School Type 1">
              <a:extLst>
                <a:ext uri="{FF2B5EF4-FFF2-40B4-BE49-F238E27FC236}">
                  <a16:creationId xmlns:a16="http://schemas.microsoft.com/office/drawing/2014/main" id="{2E325280-7475-3AB3-8C80-6F5E7EFE89F8}"/>
                </a:ext>
              </a:extLst>
            </xdr:cNvPr>
            <xdr:cNvGraphicFramePr/>
          </xdr:nvGraphicFramePr>
          <xdr:xfrm>
            <a:off x="0" y="0"/>
            <a:ext cx="0" cy="0"/>
          </xdr:xfrm>
          <a:graphic>
            <a:graphicData uri="http://schemas.microsoft.com/office/drawing/2010/slicer">
              <sle:slicer xmlns:sle="http://schemas.microsoft.com/office/drawing/2010/slicer" name="School Type 1"/>
            </a:graphicData>
          </a:graphic>
        </xdr:graphicFrame>
      </mc:Choice>
      <mc:Fallback>
        <xdr:sp macro="" textlink="">
          <xdr:nvSpPr>
            <xdr:cNvPr id="0" name=""/>
            <xdr:cNvSpPr>
              <a:spLocks noTextEdit="1"/>
            </xdr:cNvSpPr>
          </xdr:nvSpPr>
          <xdr:spPr>
            <a:xfrm>
              <a:off x="39584" y="5785551"/>
              <a:ext cx="2174538" cy="20027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4.63041701389" createdVersion="8" refreshedVersion="8" minRefreshableVersion="3" recordCount="0" supportSubquery="1" supportAdvancedDrill="1" xr:uid="{F2C0133C-14AE-4100-9792-173F764601F4}">
  <cacheSource type="external" connectionId="3"/>
  <cacheFields count="4">
    <cacheField name="[Table1_14  2].[Integrity_CheckType].[Integrity_CheckType]" caption="Integrity_CheckType" numFmtId="0" hierarchy="13" level="1">
      <sharedItems count="3">
        <s v="Integrity_MissingCheck"/>
        <s v="Integrity_RateCheck"/>
        <s v="Integrity_RegisteredCheck"/>
      </sharedItems>
    </cacheField>
    <cacheField name="[Table1_14  2].[Integrity_CheckResult].[Integrity_CheckResult]" caption="Integrity_CheckResult" numFmtId="0" hierarchy="14" level="1">
      <sharedItems count="2">
        <s v="FLAG"/>
        <s v="OK"/>
      </sharedItems>
    </cacheField>
    <cacheField name="[Measures].[Count of Integrity_CheckResult]" caption="Count of Integrity_CheckResult" numFmtId="0" hierarchy="17" level="32767"/>
    <cacheField name="[Table1_14  2].[School Type].[School Type]" caption="School Type" numFmtId="0" hierarchy="3" level="1">
      <sharedItems containsSemiMixedTypes="0" containsNonDate="0" containsString="0"/>
    </cacheField>
  </cacheFields>
  <cacheHierarchies count="24">
    <cacheHierarchy uniqueName="[Table1_14  2].[Class]" caption="Class" attribute="1" defaultMemberUniqueName="[Table1_14  2].[Class].[All]" allUniqueName="[Table1_14  2].[Class].[All]" dimensionUniqueName="[Table1_14  2]" displayFolder="" count="2" memberValueDatatype="20" unbalanced="0"/>
    <cacheHierarchy uniqueName="[Table1_14  2].[Year]" caption="Year" attribute="1" defaultMemberUniqueName="[Table1_14  2].[Year].[All]" allUniqueName="[Table1_14  2].[Year].[All]" dimensionUniqueName="[Table1_14  2]" displayFolder="" count="2"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3"/>
      </fieldsUsage>
    </cacheHierarchy>
    <cacheHierarchy uniqueName="[Table1_14  2].[Registered]" caption="Registered" attribute="1" defaultMemberUniqueName="[Table1_14  2].[Registered].[All]" allUniqueName="[Table1_14  2].[Registered].[All]" dimensionUniqueName="[Table1_14  2]" displayFolder="" count="2" memberValueDatatype="20" unbalanced="0"/>
    <cacheHierarchy uniqueName="[Table1_14  2].[Appeared]" caption="Appeared" attribute="1" defaultMemberUniqueName="[Table1_14  2].[Appeared].[All]" allUniqueName="[Table1_14  2].[Appeared].[All]" dimensionUniqueName="[Table1_14  2]" displayFolder="" count="2" memberValueDatatype="20" unbalanced="0"/>
    <cacheHierarchy uniqueName="[Table1_14  2].[Appearance Rate]" caption="Appearance Rate" attribute="1" defaultMemberUniqueName="[Table1_14  2].[Appearance Rate].[All]" allUniqueName="[Table1_14  2].[Appearance Rate].[All]" dimensionUniqueName="[Table1_14  2]" displayFolder="" count="2" memberValueDatatype="5" unbalanced="0"/>
    <cacheHierarchy uniqueName="[Table1_14  2].[No-show Rate]" caption="No-show Rate" attribute="1" defaultMemberUniqueName="[Table1_14  2].[No-show Rate].[All]" allUniqueName="[Table1_14  2].[No-show Rate].[All]" dimensionUniqueName="[Table1_14  2]" displayFolder="" count="2" memberValueDatatype="5" unbalanced="0"/>
    <cacheHierarchy uniqueName="[Table1_14  2].[Absence Flag]" caption="Absence Flag" attribute="1" defaultMemberUniqueName="[Table1_14  2].[Absence Flag].[All]" allUniqueName="[Table1_14  2].[Absence Flag].[All]" dimensionUniqueName="[Table1_14  2]" displayFolder="" count="2" memberValueDatatype="130" unbalanced="0"/>
    <cacheHierarchy uniqueName="[Table1_14  2].[Base Status]" caption="Base Status" attribute="1" defaultMemberUniqueName="[Table1_14  2].[Base Status].[All]" allUniqueName="[Table1_14  2].[Base Status].[All]" dimensionUniqueName="[Table1_14  2]" displayFolder="" count="2" memberValueDatatype="130" unbalanced="0"/>
    <cacheHierarchy uniqueName="[Table1_14  2].[Base Flag]" caption="Base Flag" attribute="1" defaultMemberUniqueName="[Table1_14  2].[Base Flag].[All]" allUniqueName="[Table1_14  2].[Base Flag].[All]" dimensionUniqueName="[Table1_14  2]" displayFolder="" count="2" memberValueDatatype="130" unbalanced="0"/>
    <cacheHierarchy uniqueName="[Table1_14  2].[Anomaly Flag]" caption="Anomaly Flag" attribute="1" defaultMemberUniqueName="[Table1_14  2].[Anomaly Flag].[All]" allUniqueName="[Table1_14  2].[Anomaly Flag].[All]" dimensionUniqueName="[Table1_14  2]" displayFolder="" count="2" memberValueDatatype="130" unbalanced="0"/>
    <cacheHierarchy uniqueName="[Table1_14  2].[Coverage Share]" caption="Coverage Share" attribute="1" defaultMemberUniqueName="[Table1_14  2].[Coverage Share].[All]" allUniqueName="[Table1_14  2].[Coverage Share].[All]" dimensionUniqueName="[Table1_14  2]" displayFolder="" count="2"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2" memberValueDatatype="130" unbalanced="0">
      <fieldsUsage count="2">
        <fieldUsage x="-1"/>
        <fieldUsage x="0"/>
      </fieldsUsage>
    </cacheHierarchy>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1"/>
      </fieldsUsage>
    </cacheHierarchy>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y uniqueName="[Measures].[Count of Integrity_CheckResult]" caption="Count of Integrity_CheckResult" measure="1" displayFolder="" measureGroup="Table1_14  2"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hidden="1">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hidden="1">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hidden="1">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hidden="1">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hidden="1">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4.630417592591" createdVersion="8" refreshedVersion="8" minRefreshableVersion="3" recordCount="0" supportSubquery="1" supportAdvancedDrill="1" xr:uid="{B1C71EE1-668C-42D3-B3E5-2E206245D230}">
  <cacheSource type="external" connectionId="3"/>
  <cacheFields count="3">
    <cacheField name="[Table1_14  2].[Anomaly Flag].[Anomaly Flag]" caption="Anomaly Flag" numFmtId="0" hierarchy="11" level="1">
      <sharedItems count="4">
        <s v="ABSENT"/>
        <s v="LOW_RATE"/>
        <s v="NORMAL"/>
        <s v="SUSPICIOUS_PERFECTION"/>
      </sharedItems>
    </cacheField>
    <cacheField name="[Measures].[Count of Anomaly Flag]" caption="Count of Anomaly Flag" numFmtId="0" hierarchy="19" level="32767"/>
    <cacheField name="[Table1_14  2].[School Type].[School Type]" caption="School Type" numFmtId="0" hierarchy="3" level="1">
      <sharedItems containsSemiMixedTypes="0" containsNonDate="0" containsString="0"/>
    </cacheField>
  </cacheFields>
  <cacheHierarchies count="24">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2"/>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2" memberValueDatatype="130" unbalanced="0">
      <fieldsUsage count="2">
        <fieldUsage x="-1"/>
        <fieldUsage x="0"/>
      </fieldsUsage>
    </cacheHierarchy>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y uniqueName="[Measures].[Count of Integrity_CheckResult]" caption="Count of Integrity_CheckResult" measure="1" displayFolder="" measureGroup="Table1_14  2" count="0" hidden="1">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hidden="1">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oneField="1" hidden="1">
      <fieldsUsage count="1">
        <fieldUsage x="1"/>
      </fieldsUsage>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hidden="1">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hidden="1">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hidden="1">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4.630418055553" createdVersion="8" refreshedVersion="8" minRefreshableVersion="3" recordCount="0" supportSubquery="1" supportAdvancedDrill="1" xr:uid="{E9D5C1B1-65A9-43A2-AEE9-228382EEBE40}">
  <cacheSource type="external" connectionId="3"/>
  <cacheFields count="3">
    <cacheField name="[Table1_14  2].[Base Flag].[Base Flag]" caption="Base Flag" numFmtId="0" hierarchy="10" level="1">
      <sharedItems count="3">
        <s v="ABSENT_BASE"/>
        <s v="SMALL_BASE"/>
        <s v="VALID_BASE"/>
      </sharedItems>
    </cacheField>
    <cacheField name="[Measures].[Count of Base Flag]" caption="Count of Base Flag" numFmtId="0" hierarchy="18" level="32767"/>
    <cacheField name="[Table1_14  2].[School Type].[School Type]" caption="School Type" numFmtId="0" hierarchy="3" level="1">
      <sharedItems containsSemiMixedTypes="0" containsNonDate="0" containsString="0"/>
    </cacheField>
  </cacheFields>
  <cacheHierarchies count="24">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2"/>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2" memberValueDatatype="130" unbalanced="0">
      <fieldsUsage count="2">
        <fieldUsage x="-1"/>
        <fieldUsage x="0"/>
      </fieldsUsage>
    </cacheHierarchy>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y uniqueName="[Measures].[Count of Integrity_CheckResult]" caption="Count of Integrity_CheckResult" measure="1" displayFolder="" measureGroup="Table1_14  2" count="0" hidden="1">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oneField="1" hidden="1">
      <fieldsUsage count="1">
        <fieldUsage x="1"/>
      </fieldsUsage>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hidden="1">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hidden="1">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hidden="1">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hidden="1">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94.656582407406" missingItemsLimit="1048576" createdVersion="8" refreshedVersion="8" minRefreshableVersion="3" recordCount="96" xr:uid="{909D199C-A61F-4C6C-BE2E-A101142EDBF1}">
  <cacheSource type="worksheet">
    <worksheetSource name="Table1_14"/>
  </cacheSource>
  <cacheFields count="16">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ount="2">
        <s v="ABSENT"/>
        <s v="NON_ZERO"/>
      </sharedItems>
    </cacheField>
    <cacheField name="Base Flag" numFmtId="0">
      <sharedItems/>
    </cacheField>
    <cacheField name="Anomaly Flag" numFmtId="0">
      <sharedItems/>
    </cacheField>
    <cacheField name="Coverage Share" numFmtId="10">
      <sharedItems containsSemiMixedTypes="0" containsString="0" containsNumber="1" minValue="0" maxValue="9.1553686118526545E-2"/>
    </cacheField>
    <cacheField name="Integrity_RateCheck" numFmtId="0">
      <sharedItems/>
    </cacheField>
    <cacheField name="Integrity_RegisteredCheck" numFmtId="0">
      <sharedItems/>
    </cacheField>
    <cacheField name="Integrity_MissingCheck" numFmtId="0">
      <sharedItems/>
    </cacheField>
  </cacheFields>
  <extLst>
    <ext xmlns:x14="http://schemas.microsoft.com/office/spreadsheetml/2009/9/main" uri="{725AE2AE-9491-48be-B2B4-4EB974FC3084}">
      <x14:pivotCacheDefinition pivotCacheId="1192373820"/>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4.610208217593" createdVersion="3" refreshedVersion="8" minRefreshableVersion="3" recordCount="0" supportSubquery="1" supportAdvancedDrill="1" xr:uid="{CAB8F50C-1747-4EE8-8305-B6E948B0AA64}">
  <cacheSource type="external" connectionId="3">
    <extLst>
      <ext xmlns:x14="http://schemas.microsoft.com/office/spreadsheetml/2009/9/main" uri="{F057638F-6D5F-4e77-A914-E7F072B9BCA8}">
        <x14:sourceConnection name="ThisWorkbookDataModel"/>
      </ext>
    </extLst>
  </cacheSource>
  <cacheFields count="0"/>
  <cacheHierarchies count="24">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0"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y uniqueName="[Measures].[Count of Integrity_CheckResult]" caption="Count of Integrity_CheckResult" measure="1" displayFolder="" measureGroup="Table1_14  2" count="0" hidden="1">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hidden="1">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hidden="1">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hidden="1">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hidden="1">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hidden="1">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licerData="1" pivotCacheId="73560160"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n v="0"/>
    <n v="0"/>
    <m/>
    <m/>
    <s v="ABSENT"/>
    <x v="0"/>
    <s v="ABSENT_BASE"/>
    <s v="ABSENT"/>
    <n v="0"/>
    <s v="OK"/>
    <s v="OK"/>
    <s v="FLAG"/>
  </r>
  <r>
    <n v="12"/>
    <n v="2022"/>
    <x v="0"/>
    <x v="1"/>
    <n v="4533"/>
    <n v="4524"/>
    <n v="0.99801455989410981"/>
    <n v="1.9854401058901905E-3"/>
    <m/>
    <x v="1"/>
    <s v="VALID_BASE"/>
    <s v="NORMAL"/>
    <n v="3.1505048939510722E-3"/>
    <s v="OK"/>
    <s v="OK"/>
    <s v="OK"/>
  </r>
  <r>
    <n v="12"/>
    <n v="2022"/>
    <x v="0"/>
    <x v="2"/>
    <n v="0"/>
    <n v="0"/>
    <m/>
    <m/>
    <s v="ABSENT"/>
    <x v="0"/>
    <s v="ABSENT_BASE"/>
    <s v="ABSENT"/>
    <n v="0"/>
    <s v="OK"/>
    <s v="OK"/>
    <s v="FLAG"/>
  </r>
  <r>
    <n v="12"/>
    <n v="2022"/>
    <x v="0"/>
    <x v="3"/>
    <n v="86178"/>
    <n v="85839"/>
    <n v="0.99606628141753117"/>
    <n v="3.9337185824688259E-3"/>
    <m/>
    <x v="1"/>
    <s v="VALID_BASE"/>
    <s v="NORMAL"/>
    <n v="5.9895038771435143E-2"/>
    <s v="OK"/>
    <s v="OK"/>
    <s v="OK"/>
  </r>
  <r>
    <n v="12"/>
    <n v="2022"/>
    <x v="0"/>
    <x v="4"/>
    <n v="3741"/>
    <n v="3730"/>
    <n v="0.99705960973001873"/>
    <n v="2.9403902699812745E-3"/>
    <m/>
    <x v="1"/>
    <s v="VALID_BASE"/>
    <s v="NORMAL"/>
    <n v="2.600052682168754E-3"/>
    <s v="OK"/>
    <s v="OK"/>
    <s v="OK"/>
  </r>
  <r>
    <n v="12"/>
    <n v="2022"/>
    <x v="0"/>
    <x v="5"/>
    <n v="7736"/>
    <n v="7725"/>
    <n v="0.99857807652533614"/>
    <n v="1.4219234746638554E-3"/>
    <m/>
    <x v="1"/>
    <s v="VALID_BASE"/>
    <s v="NORMAL"/>
    <n v="5.3766392807424431E-3"/>
    <s v="OK"/>
    <s v="OK"/>
    <s v="OK"/>
  </r>
  <r>
    <n v="12"/>
    <n v="2022"/>
    <x v="1"/>
    <x v="0"/>
    <n v="93"/>
    <n v="92"/>
    <n v="0.989247311827957"/>
    <n v="1.0752688172043001E-2"/>
    <m/>
    <x v="1"/>
    <s v="SMALL_BASE"/>
    <s v="NORMAL"/>
    <n v="6.4636433959287392E-5"/>
    <s v="OK"/>
    <s v="OK"/>
    <s v="OK"/>
  </r>
  <r>
    <n v="12"/>
    <n v="2022"/>
    <x v="1"/>
    <x v="1"/>
    <n v="70"/>
    <n v="70"/>
    <n v="1"/>
    <n v="0"/>
    <m/>
    <x v="1"/>
    <s v="SMALL_BASE"/>
    <s v="SUSPICIOUS_PERFECTION"/>
    <n v="4.8651079324194808E-5"/>
    <s v="OK"/>
    <s v="OK"/>
    <s v="OK"/>
  </r>
  <r>
    <n v="12"/>
    <n v="2022"/>
    <x v="1"/>
    <x v="2"/>
    <n v="0"/>
    <n v="0"/>
    <m/>
    <m/>
    <s v="ABSENT"/>
    <x v="0"/>
    <s v="ABSENT_BASE"/>
    <s v="ABSENT"/>
    <n v="0"/>
    <s v="OK"/>
    <s v="OK"/>
    <s v="FLAG"/>
  </r>
  <r>
    <n v="12"/>
    <n v="2022"/>
    <x v="1"/>
    <x v="3"/>
    <n v="12262"/>
    <n v="12214"/>
    <n v="0.99608546729734138"/>
    <n v="3.9145327026586241E-3"/>
    <m/>
    <x v="1"/>
    <s v="VALID_BASE"/>
    <s v="NORMAL"/>
    <n v="8.5222790667610956E-3"/>
    <s v="OK"/>
    <s v="OK"/>
    <s v="OK"/>
  </r>
  <r>
    <n v="12"/>
    <n v="2022"/>
    <x v="1"/>
    <x v="4"/>
    <n v="1901"/>
    <n v="1894"/>
    <n v="0.99631772751183589"/>
    <n v="3.6822724881641067E-3"/>
    <m/>
    <x v="1"/>
    <s v="VALID_BASE"/>
    <s v="NORMAL"/>
    <n v="1.3212243113613475E-3"/>
    <s v="OK"/>
    <s v="OK"/>
    <s v="OK"/>
  </r>
  <r>
    <n v="12"/>
    <n v="2022"/>
    <x v="1"/>
    <x v="5"/>
    <n v="2363"/>
    <n v="2361"/>
    <n v="0.99915361828184512"/>
    <n v="8.4638171815487606E-4"/>
    <m/>
    <x v="1"/>
    <s v="VALID_BASE"/>
    <s v="NORMAL"/>
    <n v="1.6423214349010333E-3"/>
    <s v="OK"/>
    <s v="OK"/>
    <s v="OK"/>
  </r>
  <r>
    <n v="12"/>
    <n v="2022"/>
    <x v="2"/>
    <x v="0"/>
    <n v="0"/>
    <n v="0"/>
    <m/>
    <m/>
    <s v="ABSENT"/>
    <x v="0"/>
    <s v="ABSENT_BASE"/>
    <s v="ABSENT"/>
    <n v="0"/>
    <s v="OK"/>
    <s v="OK"/>
    <s v="FLAG"/>
  </r>
  <r>
    <n v="12"/>
    <n v="2022"/>
    <x v="2"/>
    <x v="1"/>
    <n v="3180"/>
    <n v="3138"/>
    <n v="0.98679245283018868"/>
    <n v="1.3207547169811318E-2"/>
    <m/>
    <x v="1"/>
    <s v="VALID_BASE"/>
    <s v="NORMAL"/>
    <n v="2.2101490321562783E-3"/>
    <s v="OK"/>
    <s v="OK"/>
    <s v="OK"/>
  </r>
  <r>
    <n v="12"/>
    <n v="2022"/>
    <x v="2"/>
    <x v="2"/>
    <n v="0"/>
    <n v="0"/>
    <m/>
    <m/>
    <s v="ABSENT"/>
    <x v="0"/>
    <s v="ABSENT_BASE"/>
    <s v="ABSENT"/>
    <n v="0"/>
    <s v="OK"/>
    <s v="OK"/>
    <s v="FLAG"/>
  </r>
  <r>
    <n v="12"/>
    <n v="2022"/>
    <x v="2"/>
    <x v="3"/>
    <n v="60352"/>
    <n v="60136"/>
    <n v="0.99642099681866381"/>
    <n v="3.5790031813361933E-3"/>
    <m/>
    <x v="1"/>
    <s v="VALID_BASE"/>
    <s v="NORMAL"/>
    <n v="4.194557056248293E-2"/>
    <s v="OK"/>
    <s v="OK"/>
    <s v="OK"/>
  </r>
  <r>
    <n v="12"/>
    <n v="2022"/>
    <x v="2"/>
    <x v="4"/>
    <n v="3640"/>
    <n v="3629"/>
    <n v="0.99697802197802199"/>
    <n v="3.0219780219780112E-3"/>
    <m/>
    <x v="1"/>
    <s v="VALID_BASE"/>
    <s v="NORMAL"/>
    <n v="2.5298561248581299E-3"/>
    <s v="OK"/>
    <s v="OK"/>
    <s v="OK"/>
  </r>
  <r>
    <n v="12"/>
    <n v="2022"/>
    <x v="2"/>
    <x v="5"/>
    <n v="7807"/>
    <n v="7794"/>
    <n v="0.99833482771871396"/>
    <n v="1.6651722812860426E-3"/>
    <m/>
    <x v="1"/>
    <s v="VALID_BASE"/>
    <s v="NORMAL"/>
    <n v="5.4259853754855553E-3"/>
    <s v="OK"/>
    <s v="OK"/>
    <s v="OK"/>
  </r>
  <r>
    <n v="12"/>
    <n v="2022"/>
    <x v="3"/>
    <x v="0"/>
    <n v="103"/>
    <n v="101"/>
    <n v="0.98058252427184467"/>
    <n v="1.9417475728155331E-2"/>
    <m/>
    <x v="1"/>
    <s v="VALID_BASE"/>
    <s v="NORMAL"/>
    <n v="7.1586588148458079E-5"/>
    <s v="OK"/>
    <s v="OK"/>
    <s v="OK"/>
  </r>
  <r>
    <n v="12"/>
    <n v="2022"/>
    <x v="3"/>
    <x v="1"/>
    <n v="7746"/>
    <n v="7688"/>
    <n v="0.99251226439452622"/>
    <n v="7.4877356054737776E-3"/>
    <m/>
    <x v="1"/>
    <s v="VALID_BASE"/>
    <s v="NORMAL"/>
    <n v="5.3835894349316136E-3"/>
    <s v="OK"/>
    <s v="OK"/>
    <s v="OK"/>
  </r>
  <r>
    <n v="12"/>
    <n v="2022"/>
    <x v="3"/>
    <x v="2"/>
    <n v="0"/>
    <n v="0"/>
    <m/>
    <m/>
    <s v="ABSENT"/>
    <x v="0"/>
    <s v="ABSENT_BASE"/>
    <s v="ABSENT"/>
    <n v="0"/>
    <s v="OK"/>
    <s v="OK"/>
    <s v="FLAG"/>
  </r>
  <r>
    <n v="12"/>
    <n v="2022"/>
    <x v="3"/>
    <x v="3"/>
    <n v="69835"/>
    <n v="69506"/>
    <n v="0.99528889525309661"/>
    <n v="4.711104746903394E-3"/>
    <m/>
    <x v="1"/>
    <s v="VALID_BASE"/>
    <s v="NORMAL"/>
    <n v="4.8536401780073492E-2"/>
    <s v="OK"/>
    <s v="OK"/>
    <s v="OK"/>
  </r>
  <r>
    <n v="12"/>
    <n v="2022"/>
    <x v="3"/>
    <x v="4"/>
    <n v="3823"/>
    <n v="3809"/>
    <n v="0.99633795448600571"/>
    <n v="3.6620455139942942E-3"/>
    <m/>
    <x v="1"/>
    <s v="VALID_BASE"/>
    <s v="NORMAL"/>
    <n v="2.6570439465199536E-3"/>
    <s v="OK"/>
    <s v="OK"/>
    <s v="OK"/>
  </r>
  <r>
    <n v="12"/>
    <n v="2022"/>
    <x v="3"/>
    <x v="5"/>
    <n v="11465"/>
    <n v="11431"/>
    <n v="0.99703445268207591"/>
    <n v="2.9655473179240888E-3"/>
    <m/>
    <x v="1"/>
    <s v="VALID_BASE"/>
    <s v="NORMAL"/>
    <n v="7.9683517778841931E-3"/>
    <s v="OK"/>
    <s v="OK"/>
    <s v="OK"/>
  </r>
  <r>
    <n v="12"/>
    <n v="2022"/>
    <x v="4"/>
    <x v="0"/>
    <n v="0"/>
    <n v="0"/>
    <m/>
    <m/>
    <s v="ABSENT"/>
    <x v="0"/>
    <s v="ABSENT_BASE"/>
    <s v="ABSENT"/>
    <n v="0"/>
    <s v="OK"/>
    <s v="OK"/>
    <s v="FLAG"/>
  </r>
  <r>
    <n v="12"/>
    <n v="2022"/>
    <x v="4"/>
    <x v="1"/>
    <n v="13060"/>
    <n v="13025"/>
    <n v="0.99732006125574268"/>
    <n v="2.6799387442573153E-3"/>
    <m/>
    <x v="1"/>
    <s v="VALID_BASE"/>
    <s v="NORMAL"/>
    <n v="9.0769013710569162E-3"/>
    <s v="OK"/>
    <s v="OK"/>
    <s v="OK"/>
  </r>
  <r>
    <n v="12"/>
    <n v="2022"/>
    <x v="4"/>
    <x v="2"/>
    <n v="55"/>
    <n v="55"/>
    <n v="1"/>
    <n v="0"/>
    <m/>
    <x v="1"/>
    <s v="SMALL_BASE"/>
    <s v="SUSPICIOUS_PERFECTION"/>
    <n v="3.8225848040438776E-5"/>
    <s v="OK"/>
    <s v="OK"/>
    <s v="OK"/>
  </r>
  <r>
    <n v="12"/>
    <n v="2022"/>
    <x v="4"/>
    <x v="3"/>
    <n v="89637"/>
    <n v="89317"/>
    <n v="0.99643004562847937"/>
    <n v="3.5699543715206339E-3"/>
    <m/>
    <x v="1"/>
    <s v="VALID_BASE"/>
    <s v="NORMAL"/>
    <n v="6.2299097105469284E-2"/>
    <s v="OK"/>
    <s v="OK"/>
    <s v="OK"/>
  </r>
  <r>
    <n v="12"/>
    <n v="2022"/>
    <x v="4"/>
    <x v="4"/>
    <n v="2549"/>
    <n v="2537"/>
    <n v="0.99529227147901134"/>
    <n v="4.7077285209886632E-3"/>
    <m/>
    <x v="1"/>
    <s v="VALID_BASE"/>
    <s v="NORMAL"/>
    <n v="1.771594302819608E-3"/>
    <s v="OK"/>
    <s v="OK"/>
    <s v="OK"/>
  </r>
  <r>
    <n v="12"/>
    <n v="2022"/>
    <x v="4"/>
    <x v="5"/>
    <n v="5861"/>
    <n v="5844"/>
    <n v="0.99709947108002051"/>
    <n v="2.9005289199794948E-3"/>
    <m/>
    <x v="1"/>
    <s v="VALID_BASE"/>
    <s v="NORMAL"/>
    <n v="4.0734853702729399E-3"/>
    <s v="OK"/>
    <s v="OK"/>
    <s v="OK"/>
  </r>
  <r>
    <n v="12"/>
    <n v="2022"/>
    <x v="5"/>
    <x v="0"/>
    <n v="0"/>
    <n v="0"/>
    <m/>
    <m/>
    <s v="ABSENT"/>
    <x v="0"/>
    <s v="ABSENT_BASE"/>
    <s v="ABSENT"/>
    <n v="0"/>
    <s v="OK"/>
    <s v="OK"/>
    <s v="FLAG"/>
  </r>
  <r>
    <n v="12"/>
    <n v="2022"/>
    <x v="5"/>
    <x v="1"/>
    <n v="3565"/>
    <n v="3552"/>
    <n v="0.99635343618513328"/>
    <n v="3.6465638148667212E-3"/>
    <m/>
    <x v="1"/>
    <s v="VALID_BASE"/>
    <s v="NORMAL"/>
    <n v="2.4777299684393497E-3"/>
    <s v="OK"/>
    <s v="OK"/>
    <s v="OK"/>
  </r>
  <r>
    <n v="12"/>
    <n v="2022"/>
    <x v="5"/>
    <x v="2"/>
    <n v="0"/>
    <n v="0"/>
    <m/>
    <m/>
    <s v="ABSENT"/>
    <x v="0"/>
    <s v="ABSENT_BASE"/>
    <s v="ABSENT"/>
    <n v="0"/>
    <s v="OK"/>
    <s v="OK"/>
    <s v="FLAG"/>
  </r>
  <r>
    <n v="12"/>
    <n v="2022"/>
    <x v="5"/>
    <x v="3"/>
    <n v="67799"/>
    <n v="67700"/>
    <n v="0.99853980147199817"/>
    <n v="1.4601985280018326E-3"/>
    <m/>
    <x v="1"/>
    <s v="VALID_BASE"/>
    <s v="NORMAL"/>
    <n v="4.7121350387158339E-2"/>
    <s v="OK"/>
    <s v="OK"/>
    <s v="OK"/>
  </r>
  <r>
    <n v="12"/>
    <n v="2022"/>
    <x v="5"/>
    <x v="4"/>
    <n v="1646"/>
    <n v="1642"/>
    <n v="0.99756986634264888"/>
    <n v="2.430133657351119E-3"/>
    <m/>
    <x v="1"/>
    <s v="VALID_BASE"/>
    <s v="NORMAL"/>
    <n v="1.143995379537495E-3"/>
    <s v="OK"/>
    <s v="OK"/>
    <s v="OK"/>
  </r>
  <r>
    <n v="12"/>
    <n v="2022"/>
    <x v="5"/>
    <x v="5"/>
    <n v="6713"/>
    <n v="6701"/>
    <n v="0.99821242365559359"/>
    <n v="1.7875763444064052E-3"/>
    <m/>
    <x v="1"/>
    <s v="VALID_BASE"/>
    <s v="NORMAL"/>
    <n v="4.6656385071902817E-3"/>
    <s v="OK"/>
    <s v="OK"/>
    <s v="OK"/>
  </r>
  <r>
    <n v="12"/>
    <n v="2022"/>
    <x v="6"/>
    <x v="0"/>
    <n v="164"/>
    <n v="162"/>
    <n v="0.98780487804878048"/>
    <n v="1.2195121951219523E-2"/>
    <m/>
    <x v="1"/>
    <s v="VALID_BASE"/>
    <s v="NORMAL"/>
    <n v="1.1398252870239926E-4"/>
    <s v="OK"/>
    <s v="OK"/>
    <s v="OK"/>
  </r>
  <r>
    <n v="12"/>
    <n v="2022"/>
    <x v="6"/>
    <x v="1"/>
    <n v="1555"/>
    <n v="1552"/>
    <n v="0.99807073954983927"/>
    <n v="1.9292604501607302E-3"/>
    <m/>
    <x v="1"/>
    <s v="VALID_BASE"/>
    <s v="NORMAL"/>
    <n v="1.0807489764160419E-3"/>
    <s v="OK"/>
    <s v="OK"/>
    <s v="OK"/>
  </r>
  <r>
    <n v="12"/>
    <n v="2022"/>
    <x v="6"/>
    <x v="2"/>
    <n v="22"/>
    <n v="22"/>
    <n v="1"/>
    <n v="0"/>
    <m/>
    <x v="1"/>
    <s v="SMALL_BASE"/>
    <s v="SUSPICIOUS_PERFECTION"/>
    <n v="1.5290339216175512E-5"/>
    <s v="OK"/>
    <s v="OK"/>
    <s v="OK"/>
  </r>
  <r>
    <n v="12"/>
    <n v="2022"/>
    <x v="6"/>
    <x v="3"/>
    <n v="62473"/>
    <n v="62094"/>
    <n v="0.99393337921982294"/>
    <n v="6.0666207801770566E-3"/>
    <m/>
    <x v="1"/>
    <s v="VALID_BASE"/>
    <s v="NORMAL"/>
    <n v="4.3419698266006029E-2"/>
    <s v="OK"/>
    <s v="OK"/>
    <s v="OK"/>
  </r>
  <r>
    <n v="12"/>
    <n v="2022"/>
    <x v="6"/>
    <x v="4"/>
    <n v="1120"/>
    <n v="1117"/>
    <n v="0.99732142857142858"/>
    <n v="2.6785714285714191E-3"/>
    <m/>
    <x v="1"/>
    <s v="VALID_BASE"/>
    <s v="NORMAL"/>
    <n v="7.7841726918711693E-4"/>
    <s v="OK"/>
    <s v="OK"/>
    <s v="OK"/>
  </r>
  <r>
    <n v="12"/>
    <n v="2022"/>
    <x v="6"/>
    <x v="5"/>
    <n v="4312"/>
    <n v="4307"/>
    <n v="0.99884044526901672"/>
    <n v="1.159554730983281E-3"/>
    <m/>
    <x v="1"/>
    <s v="VALID_BASE"/>
    <s v="NORMAL"/>
    <n v="2.9969064863704003E-3"/>
    <s v="OK"/>
    <s v="OK"/>
    <s v="OK"/>
  </r>
  <r>
    <n v="12"/>
    <n v="2022"/>
    <x v="7"/>
    <x v="0"/>
    <n v="0"/>
    <n v="0"/>
    <m/>
    <m/>
    <s v="ABSENT"/>
    <x v="0"/>
    <s v="ABSENT_BASE"/>
    <s v="ABSENT"/>
    <n v="0"/>
    <s v="OK"/>
    <s v="OK"/>
    <s v="FLAG"/>
  </r>
  <r>
    <n v="12"/>
    <n v="2022"/>
    <x v="7"/>
    <x v="1"/>
    <n v="100216"/>
    <n v="99566"/>
    <n v="0.99351400973896387"/>
    <n v="6.4859902610361342E-3"/>
    <m/>
    <x v="1"/>
    <s v="VALID_BASE"/>
    <s v="NORMAL"/>
    <n v="6.965166522219296E-2"/>
    <s v="OK"/>
    <s v="OK"/>
    <s v="OK"/>
  </r>
  <r>
    <n v="12"/>
    <n v="2022"/>
    <x v="7"/>
    <x v="2"/>
    <n v="6420"/>
    <n v="6393"/>
    <n v="0.99579439252336444"/>
    <n v="4.2056074766355644E-3"/>
    <m/>
    <x v="1"/>
    <s v="VALID_BASE"/>
    <s v="NORMAL"/>
    <n v="4.4619989894475812E-3"/>
    <s v="OK"/>
    <s v="OK"/>
    <s v="OK"/>
  </r>
  <r>
    <n v="12"/>
    <n v="2022"/>
    <x v="7"/>
    <x v="3"/>
    <n v="64953"/>
    <n v="64774"/>
    <n v="0.99724416116268688"/>
    <n v="2.7558388373131182E-3"/>
    <m/>
    <x v="1"/>
    <s v="VALID_BASE"/>
    <s v="NORMAL"/>
    <n v="4.5143336504920362E-2"/>
    <s v="OK"/>
    <s v="OK"/>
    <s v="OK"/>
  </r>
  <r>
    <n v="12"/>
    <n v="2022"/>
    <x v="7"/>
    <x v="4"/>
    <n v="81"/>
    <n v="81"/>
    <n v="1"/>
    <n v="0"/>
    <m/>
    <x v="1"/>
    <s v="SMALL_BASE"/>
    <s v="SUSPICIOUS_PERFECTION"/>
    <n v="5.6296248932282561E-5"/>
    <s v="OK"/>
    <s v="OK"/>
    <s v="OK"/>
  </r>
  <r>
    <n v="12"/>
    <n v="2022"/>
    <x v="7"/>
    <x v="5"/>
    <n v="6669"/>
    <n v="6661"/>
    <n v="0.99880041985305146"/>
    <n v="1.1995801469485423E-3"/>
    <m/>
    <x v="1"/>
    <s v="VALID_BASE"/>
    <s v="NORMAL"/>
    <n v="4.6350578287579309E-3"/>
    <s v="OK"/>
    <s v="OK"/>
    <s v="OK"/>
  </r>
  <r>
    <n v="12"/>
    <n v="2022"/>
    <x v="8"/>
    <x v="0"/>
    <n v="0"/>
    <n v="0"/>
    <m/>
    <m/>
    <s v="ABSENT"/>
    <x v="0"/>
    <s v="ABSENT_BASE"/>
    <s v="ABSENT"/>
    <n v="0"/>
    <s v="OK"/>
    <s v="OK"/>
    <s v="FLAG"/>
  </r>
  <r>
    <n v="12"/>
    <n v="2022"/>
    <x v="8"/>
    <x v="1"/>
    <n v="69504"/>
    <n v="69109"/>
    <n v="0.99431687384898715"/>
    <n v="5.6831261510128517E-3"/>
    <m/>
    <x v="1"/>
    <s v="VALID_BASE"/>
    <s v="NORMAL"/>
    <n v="4.8306351676411945E-2"/>
    <s v="OK"/>
    <s v="OK"/>
    <s v="OK"/>
  </r>
  <r>
    <n v="12"/>
    <n v="2022"/>
    <x v="8"/>
    <x v="2"/>
    <n v="7775"/>
    <n v="7743"/>
    <n v="0.99588424437299039"/>
    <n v="4.1157556270096096E-3"/>
    <m/>
    <x v="1"/>
    <s v="VALID_BASE"/>
    <s v="NORMAL"/>
    <n v="5.4037448820802086E-3"/>
    <s v="OK"/>
    <s v="OK"/>
    <s v="OK"/>
  </r>
  <r>
    <n v="12"/>
    <n v="2022"/>
    <x v="8"/>
    <x v="3"/>
    <n v="40461"/>
    <n v="40291"/>
    <n v="0.99579842317293199"/>
    <n v="4.2015768270680098E-3"/>
    <m/>
    <x v="1"/>
    <s v="VALID_BASE"/>
    <s v="NORMAL"/>
    <n v="2.8121018864803515E-2"/>
    <s v="OK"/>
    <s v="OK"/>
    <s v="OK"/>
  </r>
  <r>
    <n v="12"/>
    <n v="2022"/>
    <x v="8"/>
    <x v="4"/>
    <n v="65"/>
    <n v="65"/>
    <n v="1"/>
    <n v="0"/>
    <m/>
    <x v="1"/>
    <s v="SMALL_BASE"/>
    <s v="SUSPICIOUS_PERFECTION"/>
    <n v="4.5176002229609464E-5"/>
    <s v="OK"/>
    <s v="OK"/>
    <s v="OK"/>
  </r>
  <r>
    <n v="12"/>
    <n v="2022"/>
    <x v="8"/>
    <x v="5"/>
    <n v="2872"/>
    <n v="2872"/>
    <n v="1"/>
    <n v="0"/>
    <m/>
    <x v="1"/>
    <s v="VALID_BASE"/>
    <s v="NORMAL"/>
    <n v="1.9960842831298212E-3"/>
    <s v="OK"/>
    <s v="OK"/>
    <s v="OK"/>
  </r>
  <r>
    <n v="12"/>
    <n v="2022"/>
    <x v="9"/>
    <x v="0"/>
    <n v="0"/>
    <n v="0"/>
    <m/>
    <m/>
    <s v="ABSENT"/>
    <x v="0"/>
    <s v="ABSENT_BASE"/>
    <s v="ABSENT"/>
    <n v="0"/>
    <s v="OK"/>
    <s v="OK"/>
    <s v="FLAG"/>
  </r>
  <r>
    <n v="12"/>
    <n v="2022"/>
    <x v="9"/>
    <x v="1"/>
    <n v="20672"/>
    <n v="20518"/>
    <n v="0.99255030959752322"/>
    <n v="7.4496904024767829E-3"/>
    <m/>
    <x v="1"/>
    <s v="VALID_BASE"/>
    <s v="NORMAL"/>
    <n v="1.4367358739853644E-2"/>
    <s v="OK"/>
    <s v="OK"/>
    <s v="OK"/>
  </r>
  <r>
    <n v="12"/>
    <n v="2022"/>
    <x v="9"/>
    <x v="2"/>
    <n v="102"/>
    <n v="101"/>
    <n v="0.99019607843137258"/>
    <n v="9.8039215686274161E-3"/>
    <m/>
    <x v="1"/>
    <s v="VALID_BASE"/>
    <s v="NORMAL"/>
    <n v="7.0891572729541008E-5"/>
    <s v="OK"/>
    <s v="OK"/>
    <s v="OK"/>
  </r>
  <r>
    <n v="12"/>
    <n v="2022"/>
    <x v="9"/>
    <x v="3"/>
    <n v="20768"/>
    <n v="20601"/>
    <n v="0.99195878274268101"/>
    <n v="8.0412172573189888E-3"/>
    <m/>
    <x v="1"/>
    <s v="VALID_BASE"/>
    <s v="NORMAL"/>
    <n v="1.4434080220069681E-2"/>
    <s v="OK"/>
    <s v="OK"/>
    <s v="OK"/>
  </r>
  <r>
    <n v="12"/>
    <n v="2022"/>
    <x v="9"/>
    <x v="4"/>
    <n v="4536"/>
    <n v="4481"/>
    <n v="0.9878747795414462"/>
    <n v="1.2125220458553798E-2"/>
    <m/>
    <x v="1"/>
    <s v="VALID_BASE"/>
    <s v="NORMAL"/>
    <n v="3.1525899402078234E-3"/>
    <s v="OK"/>
    <s v="OK"/>
    <s v="OK"/>
  </r>
  <r>
    <n v="12"/>
    <n v="2022"/>
    <x v="9"/>
    <x v="5"/>
    <n v="6071"/>
    <n v="6047"/>
    <n v="0.99604677977268985"/>
    <n v="3.9532202273101502E-3"/>
    <m/>
    <x v="1"/>
    <s v="VALID_BASE"/>
    <s v="NORMAL"/>
    <n v="4.2194386082455241E-3"/>
    <s v="OK"/>
    <s v="OK"/>
    <s v="OK"/>
  </r>
  <r>
    <n v="12"/>
    <n v="2022"/>
    <x v="10"/>
    <x v="0"/>
    <n v="0"/>
    <n v="0"/>
    <m/>
    <m/>
    <s v="ABSENT"/>
    <x v="0"/>
    <s v="ABSENT_BASE"/>
    <s v="ABSENT"/>
    <n v="0"/>
    <s v="OK"/>
    <s v="OK"/>
    <s v="FLAG"/>
  </r>
  <r>
    <n v="12"/>
    <n v="2022"/>
    <x v="10"/>
    <x v="1"/>
    <n v="278"/>
    <n v="272"/>
    <n v="0.97841726618705038"/>
    <n v="2.1582733812949617E-2"/>
    <m/>
    <x v="1"/>
    <s v="VALID_BASE"/>
    <s v="LOW_RATE"/>
    <n v="1.9321428645894509E-4"/>
    <s v="OK"/>
    <s v="OK"/>
    <s v="OK"/>
  </r>
  <r>
    <n v="12"/>
    <n v="2022"/>
    <x v="10"/>
    <x v="2"/>
    <n v="921"/>
    <n v="920"/>
    <n v="0.998914223669924"/>
    <n v="1.0857763300760048E-3"/>
    <m/>
    <x v="1"/>
    <s v="VALID_BASE"/>
    <s v="NORMAL"/>
    <n v="6.4010920082262029E-4"/>
    <s v="OK"/>
    <s v="OK"/>
    <s v="OK"/>
  </r>
  <r>
    <n v="12"/>
    <n v="2022"/>
    <x v="10"/>
    <x v="3"/>
    <n v="100688"/>
    <n v="99746"/>
    <n v="0.99064436675671386"/>
    <n v="9.3556332432861433E-3"/>
    <m/>
    <x v="1"/>
    <s v="VALID_BASE"/>
    <s v="NORMAL"/>
    <n v="6.9979712499921812E-2"/>
    <s v="OK"/>
    <s v="OK"/>
    <s v="OK"/>
  </r>
  <r>
    <n v="12"/>
    <n v="2022"/>
    <x v="10"/>
    <x v="4"/>
    <n v="1069"/>
    <n v="1060"/>
    <n v="0.99158091674462112"/>
    <n v="8.4190832553788786E-3"/>
    <m/>
    <x v="1"/>
    <s v="VALID_BASE"/>
    <s v="NORMAL"/>
    <n v="7.4297148282234638E-4"/>
    <s v="OK"/>
    <s v="OK"/>
    <s v="OK"/>
  </r>
  <r>
    <n v="12"/>
    <n v="2022"/>
    <x v="10"/>
    <x v="5"/>
    <n v="4480"/>
    <n v="4471"/>
    <n v="0.99799107142857146"/>
    <n v="2.0089285714285365E-3"/>
    <m/>
    <x v="1"/>
    <s v="VALID_BASE"/>
    <s v="NORMAL"/>
    <n v="3.1136690767484677E-3"/>
    <s v="OK"/>
    <s v="OK"/>
    <s v="OK"/>
  </r>
  <r>
    <n v="12"/>
    <n v="2022"/>
    <x v="11"/>
    <x v="0"/>
    <n v="38"/>
    <n v="38"/>
    <n v="1"/>
    <n v="0"/>
    <m/>
    <x v="1"/>
    <s v="SMALL_BASE"/>
    <s v="SUSPICIOUS_PERFECTION"/>
    <n v="2.6410585918848608E-5"/>
    <s v="OK"/>
    <s v="OK"/>
    <s v="OK"/>
  </r>
  <r>
    <n v="12"/>
    <n v="2022"/>
    <x v="11"/>
    <x v="1"/>
    <n v="357"/>
    <n v="357"/>
    <n v="1"/>
    <n v="0"/>
    <m/>
    <x v="1"/>
    <s v="VALID_BASE"/>
    <s v="NORMAL"/>
    <n v="2.4812050455339353E-4"/>
    <s v="OK"/>
    <s v="OK"/>
    <s v="OK"/>
  </r>
  <r>
    <n v="12"/>
    <n v="2022"/>
    <x v="11"/>
    <x v="2"/>
    <n v="0"/>
    <n v="0"/>
    <m/>
    <m/>
    <s v="ABSENT"/>
    <x v="0"/>
    <s v="ABSENT_BASE"/>
    <s v="ABSENT"/>
    <n v="0"/>
    <s v="OK"/>
    <s v="OK"/>
    <s v="FLAG"/>
  </r>
  <r>
    <n v="12"/>
    <n v="2022"/>
    <x v="11"/>
    <x v="3"/>
    <n v="118675"/>
    <n v="118046"/>
    <n v="0.99469981040657263"/>
    <n v="5.3001895934273735E-3"/>
    <m/>
    <x v="1"/>
    <s v="VALID_BASE"/>
    <s v="NORMAL"/>
    <n v="8.248095483998312E-2"/>
    <s v="OK"/>
    <s v="OK"/>
    <s v="OK"/>
  </r>
  <r>
    <n v="12"/>
    <n v="2022"/>
    <x v="11"/>
    <x v="4"/>
    <n v="2231"/>
    <n v="2225"/>
    <n v="0.99731062303899598"/>
    <n v="2.6893769610040197E-3"/>
    <m/>
    <x v="1"/>
    <s v="VALID_BASE"/>
    <s v="NORMAL"/>
    <n v="1.5505793996039802E-3"/>
    <s v="OK"/>
    <s v="OK"/>
    <s v="OK"/>
  </r>
  <r>
    <n v="12"/>
    <n v="2022"/>
    <x v="11"/>
    <x v="5"/>
    <n v="3615"/>
    <n v="3607"/>
    <n v="0.99778699861687414"/>
    <n v="2.2130013831258566E-3"/>
    <m/>
    <x v="1"/>
    <s v="VALID_BASE"/>
    <s v="NORMAL"/>
    <n v="2.5124807393852033E-3"/>
    <s v="OK"/>
    <s v="OK"/>
    <s v="OK"/>
  </r>
  <r>
    <n v="12"/>
    <n v="2022"/>
    <x v="12"/>
    <x v="0"/>
    <n v="0"/>
    <n v="0"/>
    <m/>
    <m/>
    <s v="ABSENT"/>
    <x v="0"/>
    <s v="ABSENT_BASE"/>
    <s v="ABSENT"/>
    <n v="0"/>
    <s v="OK"/>
    <s v="OK"/>
    <s v="FLAG"/>
  </r>
  <r>
    <n v="12"/>
    <n v="2022"/>
    <x v="12"/>
    <x v="1"/>
    <n v="84"/>
    <n v="83"/>
    <n v="0.98809523809523814"/>
    <n v="1.1904761904761862E-2"/>
    <m/>
    <x v="1"/>
    <s v="SMALL_BASE"/>
    <s v="NORMAL"/>
    <n v="5.8381295189033768E-5"/>
    <s v="OK"/>
    <s v="OK"/>
    <s v="OK"/>
  </r>
  <r>
    <n v="12"/>
    <n v="2022"/>
    <x v="12"/>
    <x v="2"/>
    <n v="0"/>
    <n v="0"/>
    <m/>
    <m/>
    <s v="ABSENT"/>
    <x v="0"/>
    <s v="ABSENT_BASE"/>
    <s v="ABSENT"/>
    <n v="0"/>
    <s v="OK"/>
    <s v="OK"/>
    <s v="FLAG"/>
  </r>
  <r>
    <n v="12"/>
    <n v="2022"/>
    <x v="12"/>
    <x v="3"/>
    <n v="84716"/>
    <n v="83962"/>
    <n v="0.99109967420558098"/>
    <n v="8.9003257944190173E-3"/>
    <m/>
    <x v="1"/>
    <s v="VALID_BASE"/>
    <s v="NORMAL"/>
    <n v="5.887892622897839E-2"/>
    <s v="OK"/>
    <s v="OK"/>
    <s v="OK"/>
  </r>
  <r>
    <n v="12"/>
    <n v="2022"/>
    <x v="12"/>
    <x v="4"/>
    <n v="3714"/>
    <n v="3669"/>
    <n v="0.98788368336025845"/>
    <n v="1.2116316639741553E-2"/>
    <m/>
    <x v="1"/>
    <s v="VALID_BASE"/>
    <s v="NORMAL"/>
    <n v="2.581287265857993E-3"/>
    <s v="OK"/>
    <s v="OK"/>
    <s v="OK"/>
  </r>
  <r>
    <n v="12"/>
    <n v="2022"/>
    <x v="12"/>
    <x v="5"/>
    <n v="5409"/>
    <n v="5398"/>
    <n v="0.99796635237567022"/>
    <n v="2.0336476243297819E-3"/>
    <m/>
    <x v="1"/>
    <s v="VALID_BASE"/>
    <s v="NORMAL"/>
    <n v="3.7593384009224243E-3"/>
    <s v="OK"/>
    <s v="OK"/>
    <s v="OK"/>
  </r>
  <r>
    <n v="12"/>
    <n v="2022"/>
    <x v="13"/>
    <x v="0"/>
    <n v="0"/>
    <n v="0"/>
    <m/>
    <m/>
    <s v="ABSENT"/>
    <x v="0"/>
    <s v="ABSENT_BASE"/>
    <s v="ABSENT"/>
    <n v="0"/>
    <s v="OK"/>
    <s v="OK"/>
    <s v="FLAG"/>
  </r>
  <r>
    <n v="12"/>
    <n v="2022"/>
    <x v="13"/>
    <x v="1"/>
    <n v="1336"/>
    <n v="1272"/>
    <n v="0.95209580838323349"/>
    <n v="4.7904191616766512E-2"/>
    <m/>
    <x v="1"/>
    <s v="VALID_BASE"/>
    <s v="LOW_RATE"/>
    <n v="9.2854059967320372E-4"/>
    <s v="OK"/>
    <s v="OK"/>
    <s v="OK"/>
  </r>
  <r>
    <n v="12"/>
    <n v="2022"/>
    <x v="13"/>
    <x v="2"/>
    <n v="0"/>
    <n v="0"/>
    <m/>
    <m/>
    <s v="ABSENT"/>
    <x v="0"/>
    <s v="ABSENT_BASE"/>
    <s v="ABSENT"/>
    <n v="0"/>
    <s v="OK"/>
    <s v="OK"/>
    <s v="FLAG"/>
  </r>
  <r>
    <n v="12"/>
    <n v="2022"/>
    <x v="13"/>
    <x v="3"/>
    <n v="131729"/>
    <n v="130263"/>
    <n v="0.98887109140735907"/>
    <n v="1.1128908592640929E-2"/>
    <m/>
    <x v="1"/>
    <s v="VALID_BASE"/>
    <s v="NORMAL"/>
    <n v="9.1553686118526545E-2"/>
    <s v="OK"/>
    <s v="OK"/>
    <s v="OK"/>
  </r>
  <r>
    <n v="12"/>
    <n v="2022"/>
    <x v="13"/>
    <x v="4"/>
    <n v="3184"/>
    <n v="3152"/>
    <n v="0.98994974874371855"/>
    <n v="1.0050251256281451E-2"/>
    <m/>
    <x v="1"/>
    <s v="VALID_BASE"/>
    <s v="NORMAL"/>
    <n v="2.2129290938319468E-3"/>
    <s v="OK"/>
    <s v="OK"/>
    <s v="OK"/>
  </r>
  <r>
    <n v="12"/>
    <n v="2022"/>
    <x v="13"/>
    <x v="5"/>
    <n v="8680"/>
    <n v="8666"/>
    <n v="0.99838709677419357"/>
    <n v="1.612903225806428E-3"/>
    <m/>
    <x v="1"/>
    <s v="VALID_BASE"/>
    <s v="NORMAL"/>
    <n v="6.0327338362001562E-3"/>
    <s v="OK"/>
    <s v="OK"/>
    <s v="OK"/>
  </r>
  <r>
    <n v="12"/>
    <n v="2022"/>
    <x v="14"/>
    <x v="0"/>
    <n v="0"/>
    <n v="0"/>
    <m/>
    <m/>
    <s v="ABSENT"/>
    <x v="0"/>
    <s v="ABSENT_BASE"/>
    <s v="ABSENT"/>
    <n v="0"/>
    <s v="OK"/>
    <s v="OK"/>
    <s v="FLAG"/>
  </r>
  <r>
    <n v="12"/>
    <n v="2022"/>
    <x v="14"/>
    <x v="1"/>
    <n v="1535"/>
    <n v="1534"/>
    <n v="0.99934853420195435"/>
    <n v="6.514657980456473E-4"/>
    <m/>
    <x v="1"/>
    <s v="VALID_BASE"/>
    <s v="NORMAL"/>
    <n v="1.0668486680377005E-3"/>
    <s v="OK"/>
    <s v="OK"/>
    <s v="OK"/>
  </r>
  <r>
    <n v="12"/>
    <n v="2022"/>
    <x v="14"/>
    <x v="2"/>
    <n v="0"/>
    <n v="0"/>
    <m/>
    <m/>
    <s v="ABSENT"/>
    <x v="0"/>
    <s v="ABSENT_BASE"/>
    <s v="ABSENT"/>
    <n v="0"/>
    <s v="OK"/>
    <s v="OK"/>
    <s v="FLAG"/>
  </r>
  <r>
    <n v="12"/>
    <n v="2022"/>
    <x v="14"/>
    <x v="3"/>
    <n v="22801"/>
    <n v="22742"/>
    <n v="0.99741239419323713"/>
    <n v="2.5876058067628716E-3"/>
    <m/>
    <x v="1"/>
    <s v="VALID_BASE"/>
    <s v="NORMAL"/>
    <n v="1.5847046566728081E-2"/>
    <s v="OK"/>
    <s v="OK"/>
    <s v="OK"/>
  </r>
  <r>
    <n v="12"/>
    <n v="2022"/>
    <x v="14"/>
    <x v="4"/>
    <n v="1673"/>
    <n v="1662"/>
    <n v="0.99342498505678423"/>
    <n v="6.5750149432157734E-3"/>
    <m/>
    <x v="1"/>
    <s v="VALID_BASE"/>
    <s v="NORMAL"/>
    <n v="1.1627607958482559E-3"/>
    <s v="OK"/>
    <s v="OK"/>
    <s v="OK"/>
  </r>
  <r>
    <n v="12"/>
    <n v="2022"/>
    <x v="14"/>
    <x v="5"/>
    <n v="4859"/>
    <n v="4849"/>
    <n v="0.99794196336694796"/>
    <n v="2.0580366330520405E-3"/>
    <m/>
    <x v="1"/>
    <s v="VALID_BASE"/>
    <s v="NORMAL"/>
    <n v="3.3770799205180366E-3"/>
    <s v="OK"/>
    <s v="OK"/>
    <s v="OK"/>
  </r>
  <r>
    <n v="12"/>
    <n v="2022"/>
    <x v="15"/>
    <x v="0"/>
    <n v="0"/>
    <n v="0"/>
    <m/>
    <m/>
    <s v="ABSENT"/>
    <x v="0"/>
    <s v="ABSENT_BASE"/>
    <s v="ABSENT"/>
    <n v="0"/>
    <s v="OK"/>
    <s v="OK"/>
    <s v="FLAG"/>
  </r>
  <r>
    <n v="12"/>
    <n v="2022"/>
    <x v="15"/>
    <x v="1"/>
    <n v="82"/>
    <n v="82"/>
    <n v="1"/>
    <n v="0"/>
    <m/>
    <x v="1"/>
    <s v="SMALL_BASE"/>
    <s v="SUSPICIOUS_PERFECTION"/>
    <n v="5.6991264351199632E-5"/>
    <s v="OK"/>
    <s v="OK"/>
    <s v="OK"/>
  </r>
  <r>
    <n v="12"/>
    <n v="2022"/>
    <x v="15"/>
    <x v="2"/>
    <n v="0"/>
    <n v="0"/>
    <m/>
    <m/>
    <s v="ABSENT"/>
    <x v="0"/>
    <s v="ABSENT_BASE"/>
    <s v="ABSENT"/>
    <n v="0"/>
    <s v="OK"/>
    <s v="OK"/>
    <s v="FLAG"/>
  </r>
  <r>
    <n v="12"/>
    <n v="2022"/>
    <x v="15"/>
    <x v="3"/>
    <n v="33500"/>
    <n v="33462"/>
    <n v="0.99886567164179108"/>
    <n v="1.1343283582089247E-3"/>
    <m/>
    <x v="1"/>
    <s v="VALID_BASE"/>
    <s v="NORMAL"/>
    <n v="2.32830165337218E-2"/>
    <s v="OK"/>
    <s v="OK"/>
    <s v="OK"/>
  </r>
  <r>
    <n v="12"/>
    <n v="2022"/>
    <x v="15"/>
    <x v="4"/>
    <n v="973"/>
    <n v="972"/>
    <n v="0.99897225077081198"/>
    <n v="1.0277492291880241E-3"/>
    <m/>
    <x v="1"/>
    <s v="VALID_BASE"/>
    <s v="NORMAL"/>
    <n v="6.7625000260630784E-4"/>
    <s v="OK"/>
    <s v="OK"/>
    <s v="OK"/>
  </r>
  <r>
    <n v="12"/>
    <n v="2022"/>
    <x v="15"/>
    <x v="5"/>
    <n v="3666"/>
    <n v="3661"/>
    <n v="0.9986361156573923"/>
    <n v="1.3638843426077019E-3"/>
    <m/>
    <x v="1"/>
    <s v="VALID_BASE"/>
    <s v="NORMAL"/>
    <n v="2.5479265257499738E-3"/>
    <s v="OK"/>
    <s v="OK"/>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A1A6F3-50BD-4587-BB05-10DA66A5AFD4}" name="PivotTable4" cacheId="725" applyNumberFormats="0" applyBorderFormats="0" applyFontFormats="0" applyPatternFormats="0" applyAlignmentFormats="0" applyWidthHeightFormats="1" dataCaption="Values" missingCaption="0" tag="f2c51aa9-bef5-4e95-8f12-7e3ebe01765f" updatedVersion="8" minRefreshableVersion="3" useAutoFormatting="1" subtotalHiddenItems="1" itemPrintTitles="1" createdVersion="8" indent="0" outline="1" outlineData="1" multipleFieldFilters="0" chartFormat="9">
  <location ref="A3:D8" firstHeaderRow="1" firstDataRow="2"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1"/>
  </colFields>
  <colItems count="3">
    <i>
      <x/>
    </i>
    <i>
      <x v="1"/>
    </i>
    <i t="grand">
      <x/>
    </i>
  </colItems>
  <dataFields count="1">
    <dataField name="Count of Integrity_CheckResult" fld="2" subtotal="count"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5" format="6">
      <pivotArea type="data" outline="0" fieldPosition="0">
        <references count="3">
          <reference field="4294967294" count="1" selected="0">
            <x v="0"/>
          </reference>
          <reference field="0" count="1" selected="0">
            <x v="1"/>
          </reference>
          <reference field="1" count="1" selected="0">
            <x v="0"/>
          </reference>
        </references>
      </pivotArea>
    </chartFormat>
    <chartFormat chart="5" format="7">
      <pivotArea type="data" outline="0" fieldPosition="0">
        <references count="3">
          <reference field="4294967294" count="1" selected="0">
            <x v="0"/>
          </reference>
          <reference field="0" count="1" selected="0">
            <x v="2"/>
          </reference>
          <reference field="1" count="1" selected="0">
            <x v="0"/>
          </reference>
        </references>
      </pivotArea>
    </chartFormat>
  </chartFormats>
  <pivotHierarchies count="24">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368B0B-B47A-42F6-93D2-E618AC267B57}" name="PivotTable5" cacheId="731" applyNumberFormats="0" applyBorderFormats="0" applyFontFormats="0" applyPatternFormats="0" applyAlignmentFormats="0" applyWidthHeightFormats="1" dataCaption="Values" tag="a0293e04-d4b1-4dfe-85f5-75243e87e18a" updatedVersion="8" minRefreshableVersion="3" useAutoFormatting="1" subtotalHiddenItems="1" itemPrintTitles="1" createdVersion="8" indent="0" outline="1" outlineData="1" multipleFieldFilters="0" chartFormat="8">
  <location ref="A3:B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Base Flag" fld="1" subtotal="count" baseField="0" baseItem="0"/>
  </dataFields>
  <chartFormats count="5">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0" count="1" selected="0">
            <x v="0"/>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2"/>
          </reference>
        </references>
      </pivotArea>
    </chartFormat>
  </chartFormats>
  <pivotHierarchies count="24">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34029A-3D6F-48CF-BA87-D01287B7C29E}" name="PivotTable6" cacheId="728" applyNumberFormats="0" applyBorderFormats="0" applyFontFormats="0" applyPatternFormats="0" applyAlignmentFormats="0" applyWidthHeightFormats="1" dataCaption="Values" tag="f6223a23-523b-457a-8b1b-8ab6832f52ce" updatedVersion="8" minRefreshableVersion="3" useAutoFormatting="1" itemPrintTitles="1" createdVersion="8" indent="0" outline="1" outlineData="1" multipleFieldFilters="0" chartFormat="9">
  <location ref="A3:B8"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Anomaly Flag"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0" format="2">
      <pivotArea type="data" outline="0" fieldPosition="0">
        <references count="2">
          <reference field="4294967294" count="1" selected="0">
            <x v="0"/>
          </reference>
          <reference field="0" count="1" selected="0">
            <x v="3"/>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0" count="1" selected="0">
            <x v="0"/>
          </reference>
        </references>
      </pivotArea>
    </chartFormat>
    <chartFormat chart="5" format="10">
      <pivotArea type="data" outline="0" fieldPosition="0">
        <references count="2">
          <reference field="4294967294" count="1" selected="0">
            <x v="0"/>
          </reference>
          <reference field="0" count="1" selected="0">
            <x v="1"/>
          </reference>
        </references>
      </pivotArea>
    </chartFormat>
    <chartFormat chart="5" format="11">
      <pivotArea type="data" outline="0" fieldPosition="0">
        <references count="2">
          <reference field="4294967294" count="1" selected="0">
            <x v="0"/>
          </reference>
          <reference field="0" count="1" selected="0">
            <x v="2"/>
          </reference>
        </references>
      </pivotArea>
    </chartFormat>
    <chartFormat chart="5" format="12">
      <pivotArea type="data" outline="0" fieldPosition="0">
        <references count="2">
          <reference field="4294967294" count="1" selected="0">
            <x v="0"/>
          </reference>
          <reference field="0" count="1" selected="0">
            <x v="3"/>
          </reference>
        </references>
      </pivotArea>
    </chartFormat>
  </chartFormats>
  <pivotHierarchies count="24">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B7A7E3-0BE5-4A95-8905-6E7009CA0303}" name="PivotTable3" cacheId="7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4" firstHeaderRow="1" firstDataRow="1" firstDataCol="1" rowPageCount="1" colPageCount="1"/>
  <pivotFields count="16">
    <pivotField showAll="0"/>
    <pivotField showAll="0"/>
    <pivotField axis="axisRow" showAll="0" sortType="ascending">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axis="axisRow" showAll="0">
      <items count="7">
        <item x="0"/>
        <item x="1"/>
        <item x="2"/>
        <item x="3"/>
        <item x="4"/>
        <item x="5"/>
        <item t="default"/>
      </items>
    </pivotField>
    <pivotField dataField="1" showAll="0"/>
    <pivotField showAll="0"/>
    <pivotField showAll="0"/>
    <pivotField showAll="0"/>
    <pivotField showAll="0"/>
    <pivotField axis="axisPage" showAll="0">
      <items count="3">
        <item x="0"/>
        <item x="1"/>
        <item t="default"/>
      </items>
    </pivotField>
    <pivotField showAll="0"/>
    <pivotField showAll="0"/>
    <pivotField numFmtId="10" showAll="0"/>
    <pivotField showAll="0"/>
    <pivotField showAll="0"/>
    <pivotField showAll="0"/>
  </pivotFields>
  <rowFields count="2">
    <field x="2"/>
    <field x="3"/>
  </rowFields>
  <rowItems count="91">
    <i>
      <x v="6"/>
    </i>
    <i r="1">
      <x/>
    </i>
    <i r="1">
      <x v="1"/>
    </i>
    <i r="1">
      <x v="2"/>
    </i>
    <i r="1">
      <x v="3"/>
    </i>
    <i r="1">
      <x v="4"/>
    </i>
    <i r="1">
      <x v="5"/>
    </i>
    <i>
      <x v="11"/>
    </i>
    <i r="1">
      <x/>
    </i>
    <i r="1">
      <x v="1"/>
    </i>
    <i r="1">
      <x v="3"/>
    </i>
    <i r="1">
      <x v="4"/>
    </i>
    <i r="1">
      <x v="5"/>
    </i>
    <i>
      <x v="4"/>
    </i>
    <i r="1">
      <x v="1"/>
    </i>
    <i r="1">
      <x v="2"/>
    </i>
    <i r="1">
      <x v="3"/>
    </i>
    <i r="1">
      <x v="4"/>
    </i>
    <i r="1">
      <x v="5"/>
    </i>
    <i>
      <x v="8"/>
    </i>
    <i r="1">
      <x v="1"/>
    </i>
    <i r="1">
      <x v="2"/>
    </i>
    <i r="1">
      <x v="3"/>
    </i>
    <i r="1">
      <x v="4"/>
    </i>
    <i r="1">
      <x v="5"/>
    </i>
    <i>
      <x v="1"/>
    </i>
    <i r="1">
      <x/>
    </i>
    <i r="1">
      <x v="1"/>
    </i>
    <i r="1">
      <x v="3"/>
    </i>
    <i r="1">
      <x v="4"/>
    </i>
    <i r="1">
      <x v="5"/>
    </i>
    <i>
      <x v="7"/>
    </i>
    <i r="1">
      <x v="1"/>
    </i>
    <i r="1">
      <x v="2"/>
    </i>
    <i r="1">
      <x v="3"/>
    </i>
    <i r="1">
      <x v="4"/>
    </i>
    <i r="1">
      <x v="5"/>
    </i>
    <i>
      <x v="15"/>
    </i>
    <i r="1">
      <x v="1"/>
    </i>
    <i r="1">
      <x v="3"/>
    </i>
    <i r="1">
      <x v="4"/>
    </i>
    <i r="1">
      <x v="5"/>
    </i>
    <i>
      <x v="12"/>
    </i>
    <i r="1">
      <x v="1"/>
    </i>
    <i r="1">
      <x v="3"/>
    </i>
    <i r="1">
      <x v="4"/>
    </i>
    <i r="1">
      <x v="5"/>
    </i>
    <i>
      <x v="9"/>
    </i>
    <i r="1">
      <x v="1"/>
    </i>
    <i r="1">
      <x v="2"/>
    </i>
    <i r="1">
      <x v="3"/>
    </i>
    <i r="1">
      <x v="4"/>
    </i>
    <i r="1">
      <x v="5"/>
    </i>
    <i>
      <x v="3"/>
    </i>
    <i r="1">
      <x/>
    </i>
    <i r="1">
      <x v="1"/>
    </i>
    <i r="1">
      <x v="3"/>
    </i>
    <i r="1">
      <x v="4"/>
    </i>
    <i r="1">
      <x v="5"/>
    </i>
    <i>
      <x v="10"/>
    </i>
    <i r="1">
      <x v="1"/>
    </i>
    <i r="1">
      <x v="2"/>
    </i>
    <i r="1">
      <x v="3"/>
    </i>
    <i r="1">
      <x v="4"/>
    </i>
    <i r="1">
      <x v="5"/>
    </i>
    <i>
      <x v="13"/>
    </i>
    <i r="1">
      <x v="1"/>
    </i>
    <i r="1">
      <x v="3"/>
    </i>
    <i r="1">
      <x v="4"/>
    </i>
    <i r="1">
      <x v="5"/>
    </i>
    <i>
      <x v="14"/>
    </i>
    <i r="1">
      <x v="1"/>
    </i>
    <i r="1">
      <x v="3"/>
    </i>
    <i r="1">
      <x v="4"/>
    </i>
    <i r="1">
      <x v="5"/>
    </i>
    <i>
      <x v="5"/>
    </i>
    <i r="1">
      <x v="1"/>
    </i>
    <i r="1">
      <x v="3"/>
    </i>
    <i r="1">
      <x v="4"/>
    </i>
    <i r="1">
      <x v="5"/>
    </i>
    <i>
      <x v="2"/>
    </i>
    <i r="1">
      <x v="1"/>
    </i>
    <i r="1">
      <x v="3"/>
    </i>
    <i r="1">
      <x v="4"/>
    </i>
    <i r="1">
      <x v="5"/>
    </i>
    <i>
      <x/>
    </i>
    <i r="1">
      <x v="1"/>
    </i>
    <i r="1">
      <x v="3"/>
    </i>
    <i r="1">
      <x v="4"/>
    </i>
    <i r="1">
      <x v="5"/>
    </i>
    <i t="grand">
      <x/>
    </i>
  </rowItems>
  <colItems count="1">
    <i/>
  </colItems>
  <pageFields count="1">
    <pageField fld="9" item="1" hier="-1"/>
  </pageFields>
  <dataFields count="1">
    <dataField name="Min of Registered" fld="4" subtotal="min"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0480BE-F6DB-463D-B32A-EEB1A38A2C65}" name="PivotTable1" cacheId="7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0" firstDataRow="1" firstDataCol="1"/>
  <pivotFields count="16">
    <pivotField showAll="0"/>
    <pivotField showAll="0"/>
    <pivotField showAll="0">
      <items count="17">
        <item x="0"/>
        <item x="1"/>
        <item x="2"/>
        <item x="3"/>
        <item x="4"/>
        <item x="5"/>
        <item x="6"/>
        <item x="7"/>
        <item x="8"/>
        <item x="9"/>
        <item x="10"/>
        <item x="11"/>
        <item x="12"/>
        <item x="13"/>
        <item x="14"/>
        <item x="15"/>
        <item t="default"/>
      </items>
    </pivotField>
    <pivotField axis="axisRow" showAll="0">
      <items count="7">
        <item x="0"/>
        <item x="1"/>
        <item x="2"/>
        <item x="3"/>
        <item x="4"/>
        <item x="5"/>
        <item t="default"/>
      </items>
    </pivotField>
    <pivotField showAll="0"/>
    <pivotField showAll="0"/>
    <pivotField dataField="1" showAll="0"/>
    <pivotField showAll="0"/>
    <pivotField showAll="0"/>
    <pivotField showAll="0"/>
    <pivotField showAll="0"/>
    <pivotField showAll="0"/>
    <pivotField numFmtId="10" showAll="0"/>
    <pivotField showAll="0"/>
    <pivotField showAll="0"/>
    <pivotField showAll="0"/>
  </pivotFields>
  <rowFields count="1">
    <field x="3"/>
  </rowFields>
  <rowItems count="7">
    <i>
      <x/>
    </i>
    <i>
      <x v="1"/>
    </i>
    <i>
      <x v="2"/>
    </i>
    <i>
      <x v="3"/>
    </i>
    <i>
      <x v="4"/>
    </i>
    <i>
      <x v="5"/>
    </i>
    <i t="grand">
      <x/>
    </i>
  </rowItems>
  <colFields count="1">
    <field x="-2"/>
  </colFields>
  <colItems count="3">
    <i>
      <x/>
    </i>
    <i i="1">
      <x v="1"/>
    </i>
    <i i="2">
      <x v="2"/>
    </i>
  </colItems>
  <dataFields count="3">
    <dataField name="Volatility_StdDev_SchoolType" fld="6" subtotal="stdDev" baseField="3" baseItem="2" numFmtId="164"/>
    <dataField name="Max_AppearanceRate" fld="6" subtotal="max" baseField="3" baseItem="1" numFmtId="164"/>
    <dataField name="Min_AppearanceRate" fld="6" subtotal="min" baseField="3" baseItem="1" numFmtId="164"/>
  </dataFields>
  <formats count="3">
    <format dxfId="3">
      <pivotArea outline="0" collapsedLevelsAreSubtotals="1" fieldPosition="0">
        <references count="1">
          <reference field="4294967294" count="1" selected="0">
            <x v="0"/>
          </reference>
        </references>
      </pivotArea>
    </format>
    <format dxfId="4">
      <pivotArea outline="0" collapsedLevelsAreSubtotals="1" fieldPosition="0">
        <references count="1">
          <reference field="4294967294" count="1" selected="0">
            <x v="1"/>
          </reference>
        </references>
      </pivotArea>
    </format>
    <format dxfId="5">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5096D51-4A48-4EC0-B4AE-EFA73D783643}" sourceName="Region">
  <pivotTables>
    <pivotTable tabId="13" name="PivotTable1"/>
    <pivotTable tabId="10" name="PivotTable3"/>
  </pivotTables>
  <data>
    <tabular pivotCacheId="1192373820">
      <items count="16">
        <i x="0" s="1"/>
        <i x="1" s="1"/>
        <i x="2" s="1"/>
        <i x="3" s="1"/>
        <i x="4" s="1"/>
        <i x="5" s="1"/>
        <i x="6" s="1"/>
        <i x="7" s="1"/>
        <i x="8" s="1"/>
        <i x="9" s="1"/>
        <i x="10" s="1"/>
        <i x="11" s="1"/>
        <i x="12" s="1"/>
        <i x="13" s="1"/>
        <i x="14" s="1"/>
        <i x="1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2" xr10:uid="{EDF587B1-7972-4E30-9F57-830D40B48968}" sourceName="School Type">
  <pivotTables>
    <pivotTable tabId="13" name="PivotTable1"/>
    <pivotTable tabId="10" name="PivotTable3"/>
  </pivotTables>
  <data>
    <tabular pivotCacheId="1192373820">
      <items count="6">
        <i x="0" s="1"/>
        <i x="1" s="1"/>
        <i x="2" s="1"/>
        <i x="3"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E48E5EC-7CDC-46A1-B90B-713E1CEE1B8E}" sourceName="[Table1_14  2].[Region]">
  <pivotTables>
    <pivotTable tabId="24" name="PivotTable6"/>
    <pivotTable tabId="23" name="PivotTable5"/>
    <pivotTable tabId="22" name="PivotTable4"/>
  </pivotTables>
  <data>
    <olap pivotCacheId="73560160">
      <levels count="2">
        <level uniqueName="[Table1_14  2].[Region].[(All)]" sourceCaption="(All)" count="0"/>
        <level uniqueName="[Table1_14  2].[Region].[Region]" sourceCaption="Region" count="16">
          <ranges>
            <range startItem="0">
              <i n="[Table1_14  2].[Region].&amp;[Ajmer]" c="Ajmer"/>
              <i n="[Table1_14  2].[Region].&amp;[Bengaluru]" c="Bengaluru"/>
              <i n="[Table1_14  2].[Region].&amp;[Bhopal]" c="Bhopal"/>
              <i n="[Table1_14  2].[Region].&amp;[Bhubaneswar]" c="Bhubaneswar"/>
              <i n="[Table1_14  2].[Region].&amp;[Chandigarh]" c="Chandigarh"/>
              <i n="[Table1_14  2].[Region].&amp;[Chennai]" c="Chennai"/>
              <i n="[Table1_14  2].[Region].&amp;[Dehradun]" c="Dehradun"/>
              <i n="[Table1_14  2].[Region].&amp;[Delhi East]" c="Delhi East"/>
              <i n="[Table1_14  2].[Region].&amp;[Delhi West]" c="Delhi West"/>
              <i n="[Table1_14  2].[Region].&amp;[Guwahati]" c="Guwahati"/>
              <i n="[Table1_14  2].[Region].&amp;[Noida]" c="Noida"/>
              <i n="[Table1_14  2].[Region].&amp;[Panchkula]" c="Panchkula"/>
              <i n="[Table1_14  2].[Region].&amp;[Patna]" c="Patna"/>
              <i n="[Table1_14  2].[Region].&amp;[Prayagraj]" c="Prayagraj"/>
              <i n="[Table1_14  2].[Region].&amp;[Pune]" c="Pune"/>
              <i n="[Table1_14  2].[Region].&amp;[Trivandrum]" c="Trivandrum"/>
            </range>
          </ranges>
        </level>
      </levels>
      <selections count="1">
        <selection n="[Table1_14  2].[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C116EBC9-F7DC-4B79-A6A2-2E43167CAA7B}" sourceName="[Table1_14  2].[School Type]">
  <pivotTables>
    <pivotTable tabId="22" name="PivotTable4"/>
    <pivotTable tabId="24" name="PivotTable6"/>
    <pivotTable tabId="23" name="PivotTable5"/>
  </pivotTables>
  <data>
    <olap pivotCacheId="73560160">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hool Type" xr10:uid="{678F6296-9F35-4FA2-B735-ED32391E5666}" cache="Slicer_School_Type2" caption="School Type" showCaption="0"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1A9DD92-E343-4F63-80BB-CD1EF193321E}" cache="Slicer_Region1" caption="Region" showCaption="0" rowHeight="247650"/>
  <slicer name="School Type 2" xr10:uid="{6AD4F7C8-684E-47B4-8D98-AB5EC4289A68}" cache="Slicer_School_Type2" caption="School Type" showCaption="0"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0EFA24E-966A-4066-B105-32967D994BB4}" cache="Slicer_Region" caption="Region" showCaption="0" level="1" rowHeight="247650"/>
  <slicer name="School Type 1" xr10:uid="{5E2B4468-B92B-4763-A496-201C1CB050F2}" cache="Slicer_School_Type" caption="School Type" showCaption="0" level="1"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fact_table" displayName="fact_table"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17"/>
    <tableColumn id="4" xr3:uid="{BD9410F3-AB2A-44EA-B1C3-2FE79993BB2F}" uniqueName="4" name="School Type" queryTableFieldId="4" dataDxfId="16"/>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P98" totalsRowCount="1">
  <autoFilter ref="A1:P97" xr:uid="{4407F130-0C81-42EC-8BF1-476E80F90E54}"/>
  <sortState xmlns:xlrd2="http://schemas.microsoft.com/office/spreadsheetml/2017/richdata2" ref="A2:I97">
    <sortCondition ref="C1:C97"/>
  </sortState>
  <tableColumns count="16">
    <tableColumn id="1" xr3:uid="{37F2B79E-41F3-489E-9B95-66FB541A8F3E}" name="Class"/>
    <tableColumn id="2" xr3:uid="{1D0DEFC2-A240-4F38-9826-11003D3B5442}" name="Year"/>
    <tableColumn id="3" xr3:uid="{E53CDA88-DE90-4CF1-A2A9-22A826B2800A}" name="Region" dataDxfId="15"/>
    <tableColumn id="4" xr3:uid="{BDB3ED0B-2D61-43F4-9A35-7DED82483E12}" name="School Type" dataDxfId="14"/>
    <tableColumn id="5" xr3:uid="{02119A8A-A6A5-4167-97FA-B35277346C17}" name="Registered"/>
    <tableColumn id="6" xr3:uid="{29C9DCFC-DF60-4276-97E4-3113FA8BDCD0}" name="Appeared"/>
    <tableColumn id="7" xr3:uid="{5A4F6F6F-85E4-4B04-A1A0-DCA8E4574519}" name="Appearance Rate"/>
    <tableColumn id="8" xr3:uid="{101DEF23-6252-4034-892C-310C638A82FD}" name="No-show Rate"/>
    <tableColumn id="9" xr3:uid="{05AC3B30-26C8-45F5-861C-8F4164A80E6B}" name="Absence Flag"/>
    <tableColumn id="11" xr3:uid="{DFB67E2C-766E-4D4F-AB9D-60F0879D46F2}" name="Base Status" dataDxfId="13">
      <calculatedColumnFormula>IF(Table1_14[[#This Row],[Registered]] = 0, "ABSENT", "NON_ZERO")</calculatedColumnFormula>
    </tableColumn>
    <tableColumn id="10" xr3:uid="{71F7BF51-686D-4117-9DCA-BC655E435A09}" name="Base Flag" dataDxfId="12">
      <calculatedColumnFormula>IF(Table1_14[[#This Row],[Registered]] = 0, "ABSENT_BASE", IF(Table1_14[[#This Row],[Registered]]&lt;100, "SMALL_BASE", "VALID_BASE"))</calculatedColumnFormula>
    </tableColumn>
    <tableColumn id="12" xr3:uid="{7303740F-3F9C-4115-93C5-822AF5AE8EFA}" name="Anomaly Flag" dataDxfId="11">
      <calculatedColumnFormula>IF(Table1_14[[#This Row],[Registered]]=0, "ABSENT", IF(Table1_14[[#This Row],[Appearance Rate]]&lt;0.98, "LOW_RATE", IF(AND(Table1_14[[#This Row],[Appearance Rate]]=1, Table1_14[[#This Row],[Registered]]&lt;100), "SUSPICIOUS_PERFECTION", "NORMAL")))</calculatedColumnFormula>
    </tableColumn>
    <tableColumn id="13" xr3:uid="{95D2E74B-82D7-49D1-A1F1-571A75513AB5}" name="Coverage Share" totalsRowFunction="custom" dataDxfId="10" totalsRowDxfId="9">
      <calculatedColumnFormula>Table1_14[[#This Row],[Registered]]/SUM(Table1_14[Registered])</calculatedColumnFormula>
      <totalsRowFormula xml:space="preserve"> SUM(Table1_14[Coverage Share])</totalsRowFormula>
    </tableColumn>
    <tableColumn id="14" xr3:uid="{53737E91-E15A-46D2-B074-BE70C4C3142F}" name="Integrity_RateCheck" dataDxfId="8">
      <calculatedColumnFormula xml:space="preserve"> IF(OR(Table1_14[[#This Row],[Appearance Rate]]&lt;0, Table1_14[[#This Row],[Appearance Rate]]&gt;1), "FLAG", "OK")</calculatedColumnFormula>
    </tableColumn>
    <tableColumn id="15" xr3:uid="{40083FC0-602F-4BA0-B034-DDCBEE351DD5}" name="Integrity_RegisteredCheck" dataDxfId="7">
      <calculatedColumnFormula xml:space="preserve"> IF(Table1_14[[#This Row],[Appeared]]&gt;Table1_14[[#This Row],[Registered]], "FLAG", "OK")</calculatedColumnFormula>
    </tableColumn>
    <tableColumn id="16" xr3:uid="{A3BE3E84-6C99-4272-948B-D4702A73FEC6}" name="Integrity_MissingCheck" dataDxfId="6">
      <calculatedColumnFormula xml:space="preserve"> IF(OR(ISBLANK(Table1_14[[#This Row],[Registered]]), ISBLANK(Table1_14[[#This Row],[Appeared]]), Table1_14[[#This Row],[Registered]]=0, Table1_14[[#This Row],[Appeared]]=0), "FLAG", "OK")</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activeCell="F15" sqref="F15"/>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6173A-FAE7-4CA4-8819-D4AC6A11F5E2}">
  <dimension ref="A3:D8"/>
  <sheetViews>
    <sheetView workbookViewId="0">
      <selection activeCell="E23" sqref="E23"/>
    </sheetView>
  </sheetViews>
  <sheetFormatPr defaultRowHeight="14.4" x14ac:dyDescent="0.3"/>
  <cols>
    <col min="1" max="1" width="26.6640625" bestFit="1" customWidth="1"/>
    <col min="2" max="2" width="15.5546875" bestFit="1" customWidth="1"/>
    <col min="3" max="3" width="4" bestFit="1" customWidth="1"/>
    <col min="4" max="4" width="10.5546875" bestFit="1" customWidth="1"/>
  </cols>
  <sheetData>
    <row r="3" spans="1:4" x14ac:dyDescent="0.3">
      <c r="A3" s="1" t="s">
        <v>84</v>
      </c>
      <c r="B3" s="1" t="s">
        <v>83</v>
      </c>
    </row>
    <row r="4" spans="1:4" x14ac:dyDescent="0.3">
      <c r="A4" s="1" t="s">
        <v>36</v>
      </c>
      <c r="B4" t="s">
        <v>76</v>
      </c>
      <c r="C4" t="s">
        <v>75</v>
      </c>
      <c r="D4" t="s">
        <v>37</v>
      </c>
    </row>
    <row r="5" spans="1:4" x14ac:dyDescent="0.3">
      <c r="A5" s="2" t="s">
        <v>74</v>
      </c>
      <c r="B5" s="17">
        <v>22</v>
      </c>
      <c r="C5" s="17">
        <v>74</v>
      </c>
      <c r="D5" s="17">
        <v>96</v>
      </c>
    </row>
    <row r="6" spans="1:4" x14ac:dyDescent="0.3">
      <c r="A6" s="2" t="s">
        <v>72</v>
      </c>
      <c r="B6" s="17">
        <v>0</v>
      </c>
      <c r="C6" s="17">
        <v>96</v>
      </c>
      <c r="D6" s="17">
        <v>96</v>
      </c>
    </row>
    <row r="7" spans="1:4" x14ac:dyDescent="0.3">
      <c r="A7" s="2" t="s">
        <v>73</v>
      </c>
      <c r="B7" s="17">
        <v>0</v>
      </c>
      <c r="C7" s="17">
        <v>96</v>
      </c>
      <c r="D7" s="17">
        <v>96</v>
      </c>
    </row>
    <row r="8" spans="1:4" x14ac:dyDescent="0.3">
      <c r="A8" s="2" t="s">
        <v>37</v>
      </c>
      <c r="B8" s="17">
        <v>22</v>
      </c>
      <c r="C8" s="17">
        <v>266</v>
      </c>
      <c r="D8" s="17">
        <v>288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6FE3D-89BE-44DC-B463-A8963B449DF1}">
  <dimension ref="A3:B7"/>
  <sheetViews>
    <sheetView workbookViewId="0">
      <selection activeCell="B5" sqref="B5"/>
    </sheetView>
  </sheetViews>
  <sheetFormatPr defaultRowHeight="14.4" x14ac:dyDescent="0.3"/>
  <cols>
    <col min="1" max="1" width="12.44140625" bestFit="1" customWidth="1"/>
    <col min="2" max="2" width="16" bestFit="1" customWidth="1"/>
  </cols>
  <sheetData>
    <row r="3" spans="1:2" x14ac:dyDescent="0.3">
      <c r="A3" s="1" t="s">
        <v>36</v>
      </c>
      <c r="B3" t="s">
        <v>85</v>
      </c>
    </row>
    <row r="4" spans="1:2" x14ac:dyDescent="0.3">
      <c r="A4" s="2" t="s">
        <v>77</v>
      </c>
      <c r="B4" s="17">
        <v>66</v>
      </c>
    </row>
    <row r="5" spans="1:2" x14ac:dyDescent="0.3">
      <c r="A5" s="2" t="s">
        <v>80</v>
      </c>
      <c r="B5" s="17">
        <v>27</v>
      </c>
    </row>
    <row r="6" spans="1:2" x14ac:dyDescent="0.3">
      <c r="A6" s="2" t="s">
        <v>78</v>
      </c>
      <c r="B6" s="17">
        <v>195</v>
      </c>
    </row>
    <row r="7" spans="1:2" x14ac:dyDescent="0.3">
      <c r="A7" s="2" t="s">
        <v>37</v>
      </c>
      <c r="B7" s="17">
        <v>288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CC760-73DB-48C7-B24C-902581F38B71}">
  <dimension ref="A3:B8"/>
  <sheetViews>
    <sheetView zoomScale="75" workbookViewId="0">
      <selection activeCell="K16" sqref="K16"/>
    </sheetView>
  </sheetViews>
  <sheetFormatPr defaultRowHeight="14.4" x14ac:dyDescent="0.3"/>
  <cols>
    <col min="1" max="1" width="23.33203125" bestFit="1" customWidth="1"/>
    <col min="2" max="2" width="20.21875" bestFit="1" customWidth="1"/>
  </cols>
  <sheetData>
    <row r="3" spans="1:2" x14ac:dyDescent="0.3">
      <c r="A3" s="1" t="s">
        <v>36</v>
      </c>
      <c r="B3" t="s">
        <v>86</v>
      </c>
    </row>
    <row r="4" spans="1:2" x14ac:dyDescent="0.3">
      <c r="A4" s="2" t="s">
        <v>35</v>
      </c>
      <c r="B4" s="17">
        <v>66</v>
      </c>
    </row>
    <row r="5" spans="1:2" x14ac:dyDescent="0.3">
      <c r="A5" s="2" t="s">
        <v>82</v>
      </c>
      <c r="B5" s="17">
        <v>6</v>
      </c>
    </row>
    <row r="6" spans="1:2" x14ac:dyDescent="0.3">
      <c r="A6" s="2" t="s">
        <v>79</v>
      </c>
      <c r="B6" s="17">
        <v>195</v>
      </c>
    </row>
    <row r="7" spans="1:2" x14ac:dyDescent="0.3">
      <c r="A7" s="2" t="s">
        <v>81</v>
      </c>
      <c r="B7" s="17">
        <v>21</v>
      </c>
    </row>
    <row r="8" spans="1:2" x14ac:dyDescent="0.3">
      <c r="A8" s="2" t="s">
        <v>37</v>
      </c>
      <c r="B8" s="17">
        <v>288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P98"/>
  <sheetViews>
    <sheetView zoomScaleNormal="100" workbookViewId="0">
      <selection activeCell="C6" sqref="C6"/>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 min="13" max="13" width="16.109375" bestFit="1" customWidth="1"/>
    <col min="14" max="14" width="20.109375" bestFit="1" customWidth="1"/>
    <col min="15" max="15" width="25.33203125" bestFit="1" customWidth="1"/>
    <col min="16" max="16" width="22.5546875" bestFit="1" customWidth="1"/>
  </cols>
  <sheetData>
    <row r="1" spans="1:16" x14ac:dyDescent="0.3">
      <c r="A1" t="s">
        <v>0</v>
      </c>
      <c r="B1" t="s">
        <v>1</v>
      </c>
      <c r="C1" t="s">
        <v>28</v>
      </c>
      <c r="D1" t="s">
        <v>29</v>
      </c>
      <c r="E1" t="s">
        <v>30</v>
      </c>
      <c r="F1" t="s">
        <v>31</v>
      </c>
      <c r="G1" t="s">
        <v>32</v>
      </c>
      <c r="H1" t="s">
        <v>33</v>
      </c>
      <c r="I1" t="s">
        <v>34</v>
      </c>
      <c r="J1" t="s">
        <v>39</v>
      </c>
      <c r="K1" t="s">
        <v>48</v>
      </c>
      <c r="L1" t="s">
        <v>65</v>
      </c>
      <c r="M1" t="s">
        <v>66</v>
      </c>
      <c r="N1" t="s">
        <v>72</v>
      </c>
      <c r="O1" t="s">
        <v>73</v>
      </c>
      <c r="P1" t="s">
        <v>74</v>
      </c>
    </row>
    <row r="2" spans="1:16"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c r="L2" t="str">
        <f>IF(Table1_14[[#This Row],[Registered]]=0, "ABSENT", IF(Table1_14[[#This Row],[Appearance Rate]]&lt;0.98, "LOW_RATE", IF(AND(Table1_14[[#This Row],[Appearance Rate]]=1, Table1_14[[#This Row],[Registered]]&lt;100), "SUSPICIOUS_PERFECTION", "NORMAL")))</f>
        <v>ABSENT</v>
      </c>
      <c r="M2" s="7">
        <f>Table1_14[[#This Row],[Registered]]/SUM(Table1_14[Registered])</f>
        <v>0</v>
      </c>
      <c r="N2" t="str">
        <f xml:space="preserve"> IF(OR(Table1_14[[#This Row],[Appearance Rate]]&lt;0, Table1_14[[#This Row],[Appearance Rate]]&gt;1), "FLAG", "OK")</f>
        <v>OK</v>
      </c>
      <c r="O2" t="str">
        <f xml:space="preserve"> IF(Table1_14[[#This Row],[Appeared]]&gt;Table1_14[[#This Row],[Registered]], "FLAG", "OK")</f>
        <v>OK</v>
      </c>
      <c r="P2" t="str">
        <f xml:space="preserve"> IF(OR(ISBLANK(Table1_14[[#This Row],[Registered]]), ISBLANK(Table1_14[[#This Row],[Appeared]]), Table1_14[[#This Row],[Registered]]=0, Table1_14[[#This Row],[Appeared]]=0), "FLAG", "OK")</f>
        <v>FLAG</v>
      </c>
    </row>
    <row r="3" spans="1:16"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c r="L3" t="str">
        <f>IF(Table1_14[[#This Row],[Registered]]=0, "ABSENT", IF(Table1_14[[#This Row],[Appearance Rate]]&lt;0.98, "LOW_RATE", IF(AND(Table1_14[[#This Row],[Appearance Rate]]=1, Table1_14[[#This Row],[Registered]]&lt;100), "SUSPICIOUS_PERFECTION", "NORMAL")))</f>
        <v>NORMAL</v>
      </c>
      <c r="M3" s="7">
        <f>Table1_14[[#This Row],[Registered]]/SUM(Table1_14[Registered])</f>
        <v>3.1505048939510722E-3</v>
      </c>
      <c r="N3" t="str">
        <f xml:space="preserve"> IF(OR(Table1_14[[#This Row],[Appearance Rate]]&lt;0, Table1_14[[#This Row],[Appearance Rate]]&gt;1), "FLAG", "OK")</f>
        <v>OK</v>
      </c>
      <c r="O3" t="str">
        <f xml:space="preserve"> IF(Table1_14[[#This Row],[Appeared]]&gt;Table1_14[[#This Row],[Registered]], "FLAG", "OK")</f>
        <v>OK</v>
      </c>
      <c r="P3" t="str">
        <f xml:space="preserve"> IF(OR(ISBLANK(Table1_14[[#This Row],[Registered]]), ISBLANK(Table1_14[[#This Row],[Appeared]]), Table1_14[[#This Row],[Registered]]=0, Table1_14[[#This Row],[Appeared]]=0), "FLAG", "OK")</f>
        <v>OK</v>
      </c>
    </row>
    <row r="4" spans="1:16"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c r="L4" t="str">
        <f>IF(Table1_14[[#This Row],[Registered]]=0, "ABSENT", IF(Table1_14[[#This Row],[Appearance Rate]]&lt;0.98, "LOW_RATE", IF(AND(Table1_14[[#This Row],[Appearance Rate]]=1, Table1_14[[#This Row],[Registered]]&lt;100), "SUSPICIOUS_PERFECTION", "NORMAL")))</f>
        <v>ABSENT</v>
      </c>
      <c r="M4" s="7">
        <f>Table1_14[[#This Row],[Registered]]/SUM(Table1_14[Registered])</f>
        <v>0</v>
      </c>
      <c r="N4" t="str">
        <f xml:space="preserve"> IF(OR(Table1_14[[#This Row],[Appearance Rate]]&lt;0, Table1_14[[#This Row],[Appearance Rate]]&gt;1), "FLAG", "OK")</f>
        <v>OK</v>
      </c>
      <c r="O4" t="str">
        <f xml:space="preserve"> IF(Table1_14[[#This Row],[Appeared]]&gt;Table1_14[[#This Row],[Registered]], "FLAG", "OK")</f>
        <v>OK</v>
      </c>
      <c r="P4" t="str">
        <f xml:space="preserve"> IF(OR(ISBLANK(Table1_14[[#This Row],[Registered]]), ISBLANK(Table1_14[[#This Row],[Appeared]]), Table1_14[[#This Row],[Registered]]=0, Table1_14[[#This Row],[Appeared]]=0), "FLAG", "OK")</f>
        <v>FLAG</v>
      </c>
    </row>
    <row r="5" spans="1:16"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c r="L5" t="str">
        <f>IF(Table1_14[[#This Row],[Registered]]=0, "ABSENT", IF(Table1_14[[#This Row],[Appearance Rate]]&lt;0.98, "LOW_RATE", IF(AND(Table1_14[[#This Row],[Appearance Rate]]=1, Table1_14[[#This Row],[Registered]]&lt;100), "SUSPICIOUS_PERFECTION", "NORMAL")))</f>
        <v>NORMAL</v>
      </c>
      <c r="M5" s="7">
        <f>Table1_14[[#This Row],[Registered]]/SUM(Table1_14[Registered])</f>
        <v>5.9895038771435143E-2</v>
      </c>
      <c r="N5" t="str">
        <f xml:space="preserve"> IF(OR(Table1_14[[#This Row],[Appearance Rate]]&lt;0, Table1_14[[#This Row],[Appearance Rate]]&gt;1), "FLAG", "OK")</f>
        <v>OK</v>
      </c>
      <c r="O5" t="str">
        <f xml:space="preserve"> IF(Table1_14[[#This Row],[Appeared]]&gt;Table1_14[[#This Row],[Registered]], "FLAG", "OK")</f>
        <v>OK</v>
      </c>
      <c r="P5" t="str">
        <f xml:space="preserve"> IF(OR(ISBLANK(Table1_14[[#This Row],[Registered]]), ISBLANK(Table1_14[[#This Row],[Appeared]]), Table1_14[[#This Row],[Registered]]=0, Table1_14[[#This Row],[Appeared]]=0), "FLAG", "OK")</f>
        <v>OK</v>
      </c>
    </row>
    <row r="6" spans="1:16"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c r="L6" t="str">
        <f>IF(Table1_14[[#This Row],[Registered]]=0, "ABSENT", IF(Table1_14[[#This Row],[Appearance Rate]]&lt;0.98, "LOW_RATE", IF(AND(Table1_14[[#This Row],[Appearance Rate]]=1, Table1_14[[#This Row],[Registered]]&lt;100), "SUSPICIOUS_PERFECTION", "NORMAL")))</f>
        <v>NORMAL</v>
      </c>
      <c r="M6" s="7">
        <f>Table1_14[[#This Row],[Registered]]/SUM(Table1_14[Registered])</f>
        <v>2.600052682168754E-3</v>
      </c>
      <c r="N6" t="str">
        <f xml:space="preserve"> IF(OR(Table1_14[[#This Row],[Appearance Rate]]&lt;0, Table1_14[[#This Row],[Appearance Rate]]&gt;1), "FLAG", "OK")</f>
        <v>OK</v>
      </c>
      <c r="O6" t="str">
        <f xml:space="preserve"> IF(Table1_14[[#This Row],[Appeared]]&gt;Table1_14[[#This Row],[Registered]], "FLAG", "OK")</f>
        <v>OK</v>
      </c>
      <c r="P6" t="str">
        <f xml:space="preserve"> IF(OR(ISBLANK(Table1_14[[#This Row],[Registered]]), ISBLANK(Table1_14[[#This Row],[Appeared]]), Table1_14[[#This Row],[Registered]]=0, Table1_14[[#This Row],[Appeared]]=0), "FLAG", "OK")</f>
        <v>OK</v>
      </c>
    </row>
    <row r="7" spans="1:16"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c r="L7" t="str">
        <f>IF(Table1_14[[#This Row],[Registered]]=0, "ABSENT", IF(Table1_14[[#This Row],[Appearance Rate]]&lt;0.98, "LOW_RATE", IF(AND(Table1_14[[#This Row],[Appearance Rate]]=1, Table1_14[[#This Row],[Registered]]&lt;100), "SUSPICIOUS_PERFECTION", "NORMAL")))</f>
        <v>NORMAL</v>
      </c>
      <c r="M7" s="7">
        <f>Table1_14[[#This Row],[Registered]]/SUM(Table1_14[Registered])</f>
        <v>5.3766392807424431E-3</v>
      </c>
      <c r="N7" t="str">
        <f xml:space="preserve"> IF(OR(Table1_14[[#This Row],[Appearance Rate]]&lt;0, Table1_14[[#This Row],[Appearance Rate]]&gt;1), "FLAG", "OK")</f>
        <v>OK</v>
      </c>
      <c r="O7" t="str">
        <f xml:space="preserve"> IF(Table1_14[[#This Row],[Appeared]]&gt;Table1_14[[#This Row],[Registered]], "FLAG", "OK")</f>
        <v>OK</v>
      </c>
      <c r="P7" t="str">
        <f xml:space="preserve"> IF(OR(ISBLANK(Table1_14[[#This Row],[Registered]]), ISBLANK(Table1_14[[#This Row],[Appeared]]), Table1_14[[#This Row],[Registered]]=0, Table1_14[[#This Row],[Appeared]]=0), "FLAG", "OK")</f>
        <v>OK</v>
      </c>
    </row>
    <row r="8" spans="1:16"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c r="L8" t="str">
        <f>IF(Table1_14[[#This Row],[Registered]]=0, "ABSENT", IF(Table1_14[[#This Row],[Appearance Rate]]&lt;0.98, "LOW_RATE", IF(AND(Table1_14[[#This Row],[Appearance Rate]]=1, Table1_14[[#This Row],[Registered]]&lt;100), "SUSPICIOUS_PERFECTION", "NORMAL")))</f>
        <v>NORMAL</v>
      </c>
      <c r="M8" s="7">
        <f>Table1_14[[#This Row],[Registered]]/SUM(Table1_14[Registered])</f>
        <v>6.4636433959287392E-5</v>
      </c>
      <c r="N8" t="str">
        <f xml:space="preserve"> IF(OR(Table1_14[[#This Row],[Appearance Rate]]&lt;0, Table1_14[[#This Row],[Appearance Rate]]&gt;1), "FLAG", "OK")</f>
        <v>OK</v>
      </c>
      <c r="O8" t="str">
        <f xml:space="preserve"> IF(Table1_14[[#This Row],[Appeared]]&gt;Table1_14[[#This Row],[Registered]], "FLAG", "OK")</f>
        <v>OK</v>
      </c>
      <c r="P8" t="str">
        <f xml:space="preserve"> IF(OR(ISBLANK(Table1_14[[#This Row],[Registered]]), ISBLANK(Table1_14[[#This Row],[Appeared]]), Table1_14[[#This Row],[Registered]]=0, Table1_14[[#This Row],[Appeared]]=0), "FLAG", "OK")</f>
        <v>OK</v>
      </c>
    </row>
    <row r="9" spans="1:16"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c r="L9" t="str">
        <f>IF(Table1_14[[#This Row],[Registered]]=0, "ABSENT", IF(Table1_14[[#This Row],[Appearance Rate]]&lt;0.98, "LOW_RATE", IF(AND(Table1_14[[#This Row],[Appearance Rate]]=1, Table1_14[[#This Row],[Registered]]&lt;100), "SUSPICIOUS_PERFECTION", "NORMAL")))</f>
        <v>SUSPICIOUS_PERFECTION</v>
      </c>
      <c r="M9" s="7">
        <f>Table1_14[[#This Row],[Registered]]/SUM(Table1_14[Registered])</f>
        <v>4.8651079324194808E-5</v>
      </c>
      <c r="N9" t="str">
        <f xml:space="preserve"> IF(OR(Table1_14[[#This Row],[Appearance Rate]]&lt;0, Table1_14[[#This Row],[Appearance Rate]]&gt;1), "FLAG", "OK")</f>
        <v>OK</v>
      </c>
      <c r="O9" t="str">
        <f xml:space="preserve"> IF(Table1_14[[#This Row],[Appeared]]&gt;Table1_14[[#This Row],[Registered]], "FLAG", "OK")</f>
        <v>OK</v>
      </c>
      <c r="P9" t="str">
        <f xml:space="preserve"> IF(OR(ISBLANK(Table1_14[[#This Row],[Registered]]), ISBLANK(Table1_14[[#This Row],[Appeared]]), Table1_14[[#This Row],[Registered]]=0, Table1_14[[#This Row],[Appeared]]=0), "FLAG", "OK")</f>
        <v>OK</v>
      </c>
    </row>
    <row r="10" spans="1:16"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c r="L10" t="str">
        <f>IF(Table1_14[[#This Row],[Registered]]=0, "ABSENT", IF(Table1_14[[#This Row],[Appearance Rate]]&lt;0.98, "LOW_RATE", IF(AND(Table1_14[[#This Row],[Appearance Rate]]=1, Table1_14[[#This Row],[Registered]]&lt;100), "SUSPICIOUS_PERFECTION", "NORMAL")))</f>
        <v>ABSENT</v>
      </c>
      <c r="M10" s="7">
        <f>Table1_14[[#This Row],[Registered]]/SUM(Table1_14[Registered])</f>
        <v>0</v>
      </c>
      <c r="N10" t="str">
        <f xml:space="preserve"> IF(OR(Table1_14[[#This Row],[Appearance Rate]]&lt;0, Table1_14[[#This Row],[Appearance Rate]]&gt;1), "FLAG", "OK")</f>
        <v>OK</v>
      </c>
      <c r="O10" t="str">
        <f xml:space="preserve"> IF(Table1_14[[#This Row],[Appeared]]&gt;Table1_14[[#This Row],[Registered]], "FLAG", "OK")</f>
        <v>OK</v>
      </c>
      <c r="P10" t="str">
        <f xml:space="preserve"> IF(OR(ISBLANK(Table1_14[[#This Row],[Registered]]), ISBLANK(Table1_14[[#This Row],[Appeared]]), Table1_14[[#This Row],[Registered]]=0, Table1_14[[#This Row],[Appeared]]=0), "FLAG", "OK")</f>
        <v>FLAG</v>
      </c>
    </row>
    <row r="11" spans="1:16"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c r="L11" t="str">
        <f>IF(Table1_14[[#This Row],[Registered]]=0, "ABSENT", IF(Table1_14[[#This Row],[Appearance Rate]]&lt;0.98, "LOW_RATE", IF(AND(Table1_14[[#This Row],[Appearance Rate]]=1, Table1_14[[#This Row],[Registered]]&lt;100), "SUSPICIOUS_PERFECTION", "NORMAL")))</f>
        <v>NORMAL</v>
      </c>
      <c r="M11" s="7">
        <f>Table1_14[[#This Row],[Registered]]/SUM(Table1_14[Registered])</f>
        <v>8.5222790667610956E-3</v>
      </c>
      <c r="N11" t="str">
        <f xml:space="preserve"> IF(OR(Table1_14[[#This Row],[Appearance Rate]]&lt;0, Table1_14[[#This Row],[Appearance Rate]]&gt;1), "FLAG", "OK")</f>
        <v>OK</v>
      </c>
      <c r="O11" t="str">
        <f xml:space="preserve"> IF(Table1_14[[#This Row],[Appeared]]&gt;Table1_14[[#This Row],[Registered]], "FLAG", "OK")</f>
        <v>OK</v>
      </c>
      <c r="P11" t="str">
        <f xml:space="preserve"> IF(OR(ISBLANK(Table1_14[[#This Row],[Registered]]), ISBLANK(Table1_14[[#This Row],[Appeared]]), Table1_14[[#This Row],[Registered]]=0, Table1_14[[#This Row],[Appeared]]=0), "FLAG", "OK")</f>
        <v>OK</v>
      </c>
    </row>
    <row r="12" spans="1:16"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c r="L12" t="str">
        <f>IF(Table1_14[[#This Row],[Registered]]=0, "ABSENT", IF(Table1_14[[#This Row],[Appearance Rate]]&lt;0.98, "LOW_RATE", IF(AND(Table1_14[[#This Row],[Appearance Rate]]=1, Table1_14[[#This Row],[Registered]]&lt;100), "SUSPICIOUS_PERFECTION", "NORMAL")))</f>
        <v>NORMAL</v>
      </c>
      <c r="M12" s="7">
        <f>Table1_14[[#This Row],[Registered]]/SUM(Table1_14[Registered])</f>
        <v>1.3212243113613475E-3</v>
      </c>
      <c r="N12" t="str">
        <f xml:space="preserve"> IF(OR(Table1_14[[#This Row],[Appearance Rate]]&lt;0, Table1_14[[#This Row],[Appearance Rate]]&gt;1), "FLAG", "OK")</f>
        <v>OK</v>
      </c>
      <c r="O12" t="str">
        <f xml:space="preserve"> IF(Table1_14[[#This Row],[Appeared]]&gt;Table1_14[[#This Row],[Registered]], "FLAG", "OK")</f>
        <v>OK</v>
      </c>
      <c r="P12" t="str">
        <f xml:space="preserve"> IF(OR(ISBLANK(Table1_14[[#This Row],[Registered]]), ISBLANK(Table1_14[[#This Row],[Appeared]]), Table1_14[[#This Row],[Registered]]=0, Table1_14[[#This Row],[Appeared]]=0), "FLAG", "OK")</f>
        <v>OK</v>
      </c>
    </row>
    <row r="13" spans="1:16"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c r="L13" t="str">
        <f>IF(Table1_14[[#This Row],[Registered]]=0, "ABSENT", IF(Table1_14[[#This Row],[Appearance Rate]]&lt;0.98, "LOW_RATE", IF(AND(Table1_14[[#This Row],[Appearance Rate]]=1, Table1_14[[#This Row],[Registered]]&lt;100), "SUSPICIOUS_PERFECTION", "NORMAL")))</f>
        <v>NORMAL</v>
      </c>
      <c r="M13" s="7">
        <f>Table1_14[[#This Row],[Registered]]/SUM(Table1_14[Registered])</f>
        <v>1.6423214349010333E-3</v>
      </c>
      <c r="N13" t="str">
        <f xml:space="preserve"> IF(OR(Table1_14[[#This Row],[Appearance Rate]]&lt;0, Table1_14[[#This Row],[Appearance Rate]]&gt;1), "FLAG", "OK")</f>
        <v>OK</v>
      </c>
      <c r="O13" t="str">
        <f xml:space="preserve"> IF(Table1_14[[#This Row],[Appeared]]&gt;Table1_14[[#This Row],[Registered]], "FLAG", "OK")</f>
        <v>OK</v>
      </c>
      <c r="P13" t="str">
        <f xml:space="preserve"> IF(OR(ISBLANK(Table1_14[[#This Row],[Registered]]), ISBLANK(Table1_14[[#This Row],[Appeared]]), Table1_14[[#This Row],[Registered]]=0, Table1_14[[#This Row],[Appeared]]=0), "FLAG", "OK")</f>
        <v>OK</v>
      </c>
    </row>
    <row r="14" spans="1:16"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c r="L14" t="str">
        <f>IF(Table1_14[[#This Row],[Registered]]=0, "ABSENT", IF(Table1_14[[#This Row],[Appearance Rate]]&lt;0.98, "LOW_RATE", IF(AND(Table1_14[[#This Row],[Appearance Rate]]=1, Table1_14[[#This Row],[Registered]]&lt;100), "SUSPICIOUS_PERFECTION", "NORMAL")))</f>
        <v>ABSENT</v>
      </c>
      <c r="M14" s="7">
        <f>Table1_14[[#This Row],[Registered]]/SUM(Table1_14[Registered])</f>
        <v>0</v>
      </c>
      <c r="N14" t="str">
        <f xml:space="preserve"> IF(OR(Table1_14[[#This Row],[Appearance Rate]]&lt;0, Table1_14[[#This Row],[Appearance Rate]]&gt;1), "FLAG", "OK")</f>
        <v>OK</v>
      </c>
      <c r="O14" t="str">
        <f xml:space="preserve"> IF(Table1_14[[#This Row],[Appeared]]&gt;Table1_14[[#This Row],[Registered]], "FLAG", "OK")</f>
        <v>OK</v>
      </c>
      <c r="P14" t="str">
        <f xml:space="preserve"> IF(OR(ISBLANK(Table1_14[[#This Row],[Registered]]), ISBLANK(Table1_14[[#This Row],[Appeared]]), Table1_14[[#This Row],[Registered]]=0, Table1_14[[#This Row],[Appeared]]=0), "FLAG", "OK")</f>
        <v>FLAG</v>
      </c>
    </row>
    <row r="15" spans="1:16"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c r="L15" t="str">
        <f>IF(Table1_14[[#This Row],[Registered]]=0, "ABSENT", IF(Table1_14[[#This Row],[Appearance Rate]]&lt;0.98, "LOW_RATE", IF(AND(Table1_14[[#This Row],[Appearance Rate]]=1, Table1_14[[#This Row],[Registered]]&lt;100), "SUSPICIOUS_PERFECTION", "NORMAL")))</f>
        <v>NORMAL</v>
      </c>
      <c r="M15" s="7">
        <f>Table1_14[[#This Row],[Registered]]/SUM(Table1_14[Registered])</f>
        <v>2.2101490321562783E-3</v>
      </c>
      <c r="N15" t="str">
        <f xml:space="preserve"> IF(OR(Table1_14[[#This Row],[Appearance Rate]]&lt;0, Table1_14[[#This Row],[Appearance Rate]]&gt;1), "FLAG", "OK")</f>
        <v>OK</v>
      </c>
      <c r="O15" t="str">
        <f xml:space="preserve"> IF(Table1_14[[#This Row],[Appeared]]&gt;Table1_14[[#This Row],[Registered]], "FLAG", "OK")</f>
        <v>OK</v>
      </c>
      <c r="P15" t="str">
        <f xml:space="preserve"> IF(OR(ISBLANK(Table1_14[[#This Row],[Registered]]), ISBLANK(Table1_14[[#This Row],[Appeared]]), Table1_14[[#This Row],[Registered]]=0, Table1_14[[#This Row],[Appeared]]=0), "FLAG", "OK")</f>
        <v>OK</v>
      </c>
    </row>
    <row r="16" spans="1:16"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c r="L16" t="str">
        <f>IF(Table1_14[[#This Row],[Registered]]=0, "ABSENT", IF(Table1_14[[#This Row],[Appearance Rate]]&lt;0.98, "LOW_RATE", IF(AND(Table1_14[[#This Row],[Appearance Rate]]=1, Table1_14[[#This Row],[Registered]]&lt;100), "SUSPICIOUS_PERFECTION", "NORMAL")))</f>
        <v>ABSENT</v>
      </c>
      <c r="M16" s="7">
        <f>Table1_14[[#This Row],[Registered]]/SUM(Table1_14[Registered])</f>
        <v>0</v>
      </c>
      <c r="N16" t="str">
        <f xml:space="preserve"> IF(OR(Table1_14[[#This Row],[Appearance Rate]]&lt;0, Table1_14[[#This Row],[Appearance Rate]]&gt;1), "FLAG", "OK")</f>
        <v>OK</v>
      </c>
      <c r="O16" t="str">
        <f xml:space="preserve"> IF(Table1_14[[#This Row],[Appeared]]&gt;Table1_14[[#This Row],[Registered]], "FLAG", "OK")</f>
        <v>OK</v>
      </c>
      <c r="P16" t="str">
        <f xml:space="preserve"> IF(OR(ISBLANK(Table1_14[[#This Row],[Registered]]), ISBLANK(Table1_14[[#This Row],[Appeared]]), Table1_14[[#This Row],[Registered]]=0, Table1_14[[#This Row],[Appeared]]=0), "FLAG", "OK")</f>
        <v>FLAG</v>
      </c>
    </row>
    <row r="17" spans="1:16"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c r="L17" t="str">
        <f>IF(Table1_14[[#This Row],[Registered]]=0, "ABSENT", IF(Table1_14[[#This Row],[Appearance Rate]]&lt;0.98, "LOW_RATE", IF(AND(Table1_14[[#This Row],[Appearance Rate]]=1, Table1_14[[#This Row],[Registered]]&lt;100), "SUSPICIOUS_PERFECTION", "NORMAL")))</f>
        <v>NORMAL</v>
      </c>
      <c r="M17" s="7">
        <f>Table1_14[[#This Row],[Registered]]/SUM(Table1_14[Registered])</f>
        <v>4.194557056248293E-2</v>
      </c>
      <c r="N17" t="str">
        <f xml:space="preserve"> IF(OR(Table1_14[[#This Row],[Appearance Rate]]&lt;0, Table1_14[[#This Row],[Appearance Rate]]&gt;1), "FLAG", "OK")</f>
        <v>OK</v>
      </c>
      <c r="O17" t="str">
        <f xml:space="preserve"> IF(Table1_14[[#This Row],[Appeared]]&gt;Table1_14[[#This Row],[Registered]], "FLAG", "OK")</f>
        <v>OK</v>
      </c>
      <c r="P17" t="str">
        <f xml:space="preserve"> IF(OR(ISBLANK(Table1_14[[#This Row],[Registered]]), ISBLANK(Table1_14[[#This Row],[Appeared]]), Table1_14[[#This Row],[Registered]]=0, Table1_14[[#This Row],[Appeared]]=0), "FLAG", "OK")</f>
        <v>OK</v>
      </c>
    </row>
    <row r="18" spans="1:16"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c r="L18" t="str">
        <f>IF(Table1_14[[#This Row],[Registered]]=0, "ABSENT", IF(Table1_14[[#This Row],[Appearance Rate]]&lt;0.98, "LOW_RATE", IF(AND(Table1_14[[#This Row],[Appearance Rate]]=1, Table1_14[[#This Row],[Registered]]&lt;100), "SUSPICIOUS_PERFECTION", "NORMAL")))</f>
        <v>NORMAL</v>
      </c>
      <c r="M18" s="7">
        <f>Table1_14[[#This Row],[Registered]]/SUM(Table1_14[Registered])</f>
        <v>2.5298561248581299E-3</v>
      </c>
      <c r="N18" t="str">
        <f xml:space="preserve"> IF(OR(Table1_14[[#This Row],[Appearance Rate]]&lt;0, Table1_14[[#This Row],[Appearance Rate]]&gt;1), "FLAG", "OK")</f>
        <v>OK</v>
      </c>
      <c r="O18" t="str">
        <f xml:space="preserve"> IF(Table1_14[[#This Row],[Appeared]]&gt;Table1_14[[#This Row],[Registered]], "FLAG", "OK")</f>
        <v>OK</v>
      </c>
      <c r="P18" t="str">
        <f xml:space="preserve"> IF(OR(ISBLANK(Table1_14[[#This Row],[Registered]]), ISBLANK(Table1_14[[#This Row],[Appeared]]), Table1_14[[#This Row],[Registered]]=0, Table1_14[[#This Row],[Appeared]]=0), "FLAG", "OK")</f>
        <v>OK</v>
      </c>
    </row>
    <row r="19" spans="1:16"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c r="L19" t="str">
        <f>IF(Table1_14[[#This Row],[Registered]]=0, "ABSENT", IF(Table1_14[[#This Row],[Appearance Rate]]&lt;0.98, "LOW_RATE", IF(AND(Table1_14[[#This Row],[Appearance Rate]]=1, Table1_14[[#This Row],[Registered]]&lt;100), "SUSPICIOUS_PERFECTION", "NORMAL")))</f>
        <v>NORMAL</v>
      </c>
      <c r="M19" s="7">
        <f>Table1_14[[#This Row],[Registered]]/SUM(Table1_14[Registered])</f>
        <v>5.4259853754855553E-3</v>
      </c>
      <c r="N19" t="str">
        <f xml:space="preserve"> IF(OR(Table1_14[[#This Row],[Appearance Rate]]&lt;0, Table1_14[[#This Row],[Appearance Rate]]&gt;1), "FLAG", "OK")</f>
        <v>OK</v>
      </c>
      <c r="O19" t="str">
        <f xml:space="preserve"> IF(Table1_14[[#This Row],[Appeared]]&gt;Table1_14[[#This Row],[Registered]], "FLAG", "OK")</f>
        <v>OK</v>
      </c>
      <c r="P19" t="str">
        <f xml:space="preserve"> IF(OR(ISBLANK(Table1_14[[#This Row],[Registered]]), ISBLANK(Table1_14[[#This Row],[Appeared]]), Table1_14[[#This Row],[Registered]]=0, Table1_14[[#This Row],[Appeared]]=0), "FLAG", "OK")</f>
        <v>OK</v>
      </c>
    </row>
    <row r="20" spans="1:16"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c r="L20" t="str">
        <f>IF(Table1_14[[#This Row],[Registered]]=0, "ABSENT", IF(Table1_14[[#This Row],[Appearance Rate]]&lt;0.98, "LOW_RATE", IF(AND(Table1_14[[#This Row],[Appearance Rate]]=1, Table1_14[[#This Row],[Registered]]&lt;100), "SUSPICIOUS_PERFECTION", "NORMAL")))</f>
        <v>NORMAL</v>
      </c>
      <c r="M20" s="7">
        <f>Table1_14[[#This Row],[Registered]]/SUM(Table1_14[Registered])</f>
        <v>7.1586588148458079E-5</v>
      </c>
      <c r="N20" t="str">
        <f xml:space="preserve"> IF(OR(Table1_14[[#This Row],[Appearance Rate]]&lt;0, Table1_14[[#This Row],[Appearance Rate]]&gt;1), "FLAG", "OK")</f>
        <v>OK</v>
      </c>
      <c r="O20" t="str">
        <f xml:space="preserve"> IF(Table1_14[[#This Row],[Appeared]]&gt;Table1_14[[#This Row],[Registered]], "FLAG", "OK")</f>
        <v>OK</v>
      </c>
      <c r="P20" t="str">
        <f xml:space="preserve"> IF(OR(ISBLANK(Table1_14[[#This Row],[Registered]]), ISBLANK(Table1_14[[#This Row],[Appeared]]), Table1_14[[#This Row],[Registered]]=0, Table1_14[[#This Row],[Appeared]]=0), "FLAG", "OK")</f>
        <v>OK</v>
      </c>
    </row>
    <row r="21" spans="1:16"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c r="L21" t="str">
        <f>IF(Table1_14[[#This Row],[Registered]]=0, "ABSENT", IF(Table1_14[[#This Row],[Appearance Rate]]&lt;0.98, "LOW_RATE", IF(AND(Table1_14[[#This Row],[Appearance Rate]]=1, Table1_14[[#This Row],[Registered]]&lt;100), "SUSPICIOUS_PERFECTION", "NORMAL")))</f>
        <v>NORMAL</v>
      </c>
      <c r="M21" s="7">
        <f>Table1_14[[#This Row],[Registered]]/SUM(Table1_14[Registered])</f>
        <v>5.3835894349316136E-3</v>
      </c>
      <c r="N21" t="str">
        <f xml:space="preserve"> IF(OR(Table1_14[[#This Row],[Appearance Rate]]&lt;0, Table1_14[[#This Row],[Appearance Rate]]&gt;1), "FLAG", "OK")</f>
        <v>OK</v>
      </c>
      <c r="O21" t="str">
        <f xml:space="preserve"> IF(Table1_14[[#This Row],[Appeared]]&gt;Table1_14[[#This Row],[Registered]], "FLAG", "OK")</f>
        <v>OK</v>
      </c>
      <c r="P21" t="str">
        <f xml:space="preserve"> IF(OR(ISBLANK(Table1_14[[#This Row],[Registered]]), ISBLANK(Table1_14[[#This Row],[Appeared]]), Table1_14[[#This Row],[Registered]]=0, Table1_14[[#This Row],[Appeared]]=0), "FLAG", "OK")</f>
        <v>OK</v>
      </c>
    </row>
    <row r="22" spans="1:16"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c r="L22" t="str">
        <f>IF(Table1_14[[#This Row],[Registered]]=0, "ABSENT", IF(Table1_14[[#This Row],[Appearance Rate]]&lt;0.98, "LOW_RATE", IF(AND(Table1_14[[#This Row],[Appearance Rate]]=1, Table1_14[[#This Row],[Registered]]&lt;100), "SUSPICIOUS_PERFECTION", "NORMAL")))</f>
        <v>ABSENT</v>
      </c>
      <c r="M22" s="7">
        <f>Table1_14[[#This Row],[Registered]]/SUM(Table1_14[Registered])</f>
        <v>0</v>
      </c>
      <c r="N22" t="str">
        <f xml:space="preserve"> IF(OR(Table1_14[[#This Row],[Appearance Rate]]&lt;0, Table1_14[[#This Row],[Appearance Rate]]&gt;1), "FLAG", "OK")</f>
        <v>OK</v>
      </c>
      <c r="O22" t="str">
        <f xml:space="preserve"> IF(Table1_14[[#This Row],[Appeared]]&gt;Table1_14[[#This Row],[Registered]], "FLAG", "OK")</f>
        <v>OK</v>
      </c>
      <c r="P22" t="str">
        <f xml:space="preserve"> IF(OR(ISBLANK(Table1_14[[#This Row],[Registered]]), ISBLANK(Table1_14[[#This Row],[Appeared]]), Table1_14[[#This Row],[Registered]]=0, Table1_14[[#This Row],[Appeared]]=0), "FLAG", "OK")</f>
        <v>FLAG</v>
      </c>
    </row>
    <row r="23" spans="1:16"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c r="L23" t="str">
        <f>IF(Table1_14[[#This Row],[Registered]]=0, "ABSENT", IF(Table1_14[[#This Row],[Appearance Rate]]&lt;0.98, "LOW_RATE", IF(AND(Table1_14[[#This Row],[Appearance Rate]]=1, Table1_14[[#This Row],[Registered]]&lt;100), "SUSPICIOUS_PERFECTION", "NORMAL")))</f>
        <v>NORMAL</v>
      </c>
      <c r="M23" s="7">
        <f>Table1_14[[#This Row],[Registered]]/SUM(Table1_14[Registered])</f>
        <v>4.8536401780073492E-2</v>
      </c>
      <c r="N23" t="str">
        <f xml:space="preserve"> IF(OR(Table1_14[[#This Row],[Appearance Rate]]&lt;0, Table1_14[[#This Row],[Appearance Rate]]&gt;1), "FLAG", "OK")</f>
        <v>OK</v>
      </c>
      <c r="O23" t="str">
        <f xml:space="preserve"> IF(Table1_14[[#This Row],[Appeared]]&gt;Table1_14[[#This Row],[Registered]], "FLAG", "OK")</f>
        <v>OK</v>
      </c>
      <c r="P23" t="str">
        <f xml:space="preserve"> IF(OR(ISBLANK(Table1_14[[#This Row],[Registered]]), ISBLANK(Table1_14[[#This Row],[Appeared]]), Table1_14[[#This Row],[Registered]]=0, Table1_14[[#This Row],[Appeared]]=0), "FLAG", "OK")</f>
        <v>OK</v>
      </c>
    </row>
    <row r="24" spans="1:16"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c r="L24" t="str">
        <f>IF(Table1_14[[#This Row],[Registered]]=0, "ABSENT", IF(Table1_14[[#This Row],[Appearance Rate]]&lt;0.98, "LOW_RATE", IF(AND(Table1_14[[#This Row],[Appearance Rate]]=1, Table1_14[[#This Row],[Registered]]&lt;100), "SUSPICIOUS_PERFECTION", "NORMAL")))</f>
        <v>NORMAL</v>
      </c>
      <c r="M24" s="7">
        <f>Table1_14[[#This Row],[Registered]]/SUM(Table1_14[Registered])</f>
        <v>2.6570439465199536E-3</v>
      </c>
      <c r="N24" t="str">
        <f xml:space="preserve"> IF(OR(Table1_14[[#This Row],[Appearance Rate]]&lt;0, Table1_14[[#This Row],[Appearance Rate]]&gt;1), "FLAG", "OK")</f>
        <v>OK</v>
      </c>
      <c r="O24" t="str">
        <f xml:space="preserve"> IF(Table1_14[[#This Row],[Appeared]]&gt;Table1_14[[#This Row],[Registered]], "FLAG", "OK")</f>
        <v>OK</v>
      </c>
      <c r="P24" t="str">
        <f xml:space="preserve"> IF(OR(ISBLANK(Table1_14[[#This Row],[Registered]]), ISBLANK(Table1_14[[#This Row],[Appeared]]), Table1_14[[#This Row],[Registered]]=0, Table1_14[[#This Row],[Appeared]]=0), "FLAG", "OK")</f>
        <v>OK</v>
      </c>
    </row>
    <row r="25" spans="1:16"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c r="L25" t="str">
        <f>IF(Table1_14[[#This Row],[Registered]]=0, "ABSENT", IF(Table1_14[[#This Row],[Appearance Rate]]&lt;0.98, "LOW_RATE", IF(AND(Table1_14[[#This Row],[Appearance Rate]]=1, Table1_14[[#This Row],[Registered]]&lt;100), "SUSPICIOUS_PERFECTION", "NORMAL")))</f>
        <v>NORMAL</v>
      </c>
      <c r="M25" s="7">
        <f>Table1_14[[#This Row],[Registered]]/SUM(Table1_14[Registered])</f>
        <v>7.9683517778841931E-3</v>
      </c>
      <c r="N25" t="str">
        <f xml:space="preserve"> IF(OR(Table1_14[[#This Row],[Appearance Rate]]&lt;0, Table1_14[[#This Row],[Appearance Rate]]&gt;1), "FLAG", "OK")</f>
        <v>OK</v>
      </c>
      <c r="O25" t="str">
        <f xml:space="preserve"> IF(Table1_14[[#This Row],[Appeared]]&gt;Table1_14[[#This Row],[Registered]], "FLAG", "OK")</f>
        <v>OK</v>
      </c>
      <c r="P25" t="str">
        <f xml:space="preserve"> IF(OR(ISBLANK(Table1_14[[#This Row],[Registered]]), ISBLANK(Table1_14[[#This Row],[Appeared]]), Table1_14[[#This Row],[Registered]]=0, Table1_14[[#This Row],[Appeared]]=0), "FLAG", "OK")</f>
        <v>OK</v>
      </c>
    </row>
    <row r="26" spans="1:16"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c r="L26" t="str">
        <f>IF(Table1_14[[#This Row],[Registered]]=0, "ABSENT", IF(Table1_14[[#This Row],[Appearance Rate]]&lt;0.98, "LOW_RATE", IF(AND(Table1_14[[#This Row],[Appearance Rate]]=1, Table1_14[[#This Row],[Registered]]&lt;100), "SUSPICIOUS_PERFECTION", "NORMAL")))</f>
        <v>ABSENT</v>
      </c>
      <c r="M26" s="7">
        <f>Table1_14[[#This Row],[Registered]]/SUM(Table1_14[Registered])</f>
        <v>0</v>
      </c>
      <c r="N26" t="str">
        <f xml:space="preserve"> IF(OR(Table1_14[[#This Row],[Appearance Rate]]&lt;0, Table1_14[[#This Row],[Appearance Rate]]&gt;1), "FLAG", "OK")</f>
        <v>OK</v>
      </c>
      <c r="O26" t="str">
        <f xml:space="preserve"> IF(Table1_14[[#This Row],[Appeared]]&gt;Table1_14[[#This Row],[Registered]], "FLAG", "OK")</f>
        <v>OK</v>
      </c>
      <c r="P26" t="str">
        <f xml:space="preserve"> IF(OR(ISBLANK(Table1_14[[#This Row],[Registered]]), ISBLANK(Table1_14[[#This Row],[Appeared]]), Table1_14[[#This Row],[Registered]]=0, Table1_14[[#This Row],[Appeared]]=0), "FLAG", "OK")</f>
        <v>FLAG</v>
      </c>
    </row>
    <row r="27" spans="1:16"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c r="L27" t="str">
        <f>IF(Table1_14[[#This Row],[Registered]]=0, "ABSENT", IF(Table1_14[[#This Row],[Appearance Rate]]&lt;0.98, "LOW_RATE", IF(AND(Table1_14[[#This Row],[Appearance Rate]]=1, Table1_14[[#This Row],[Registered]]&lt;100), "SUSPICIOUS_PERFECTION", "NORMAL")))</f>
        <v>NORMAL</v>
      </c>
      <c r="M27" s="7">
        <f>Table1_14[[#This Row],[Registered]]/SUM(Table1_14[Registered])</f>
        <v>9.0769013710569162E-3</v>
      </c>
      <c r="N27" t="str">
        <f xml:space="preserve"> IF(OR(Table1_14[[#This Row],[Appearance Rate]]&lt;0, Table1_14[[#This Row],[Appearance Rate]]&gt;1), "FLAG", "OK")</f>
        <v>OK</v>
      </c>
      <c r="O27" t="str">
        <f xml:space="preserve"> IF(Table1_14[[#This Row],[Appeared]]&gt;Table1_14[[#This Row],[Registered]], "FLAG", "OK")</f>
        <v>OK</v>
      </c>
      <c r="P27" t="str">
        <f xml:space="preserve"> IF(OR(ISBLANK(Table1_14[[#This Row],[Registered]]), ISBLANK(Table1_14[[#This Row],[Appeared]]), Table1_14[[#This Row],[Registered]]=0, Table1_14[[#This Row],[Appeared]]=0), "FLAG", "OK")</f>
        <v>OK</v>
      </c>
    </row>
    <row r="28" spans="1:16"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c r="L28" t="str">
        <f>IF(Table1_14[[#This Row],[Registered]]=0, "ABSENT", IF(Table1_14[[#This Row],[Appearance Rate]]&lt;0.98, "LOW_RATE", IF(AND(Table1_14[[#This Row],[Appearance Rate]]=1, Table1_14[[#This Row],[Registered]]&lt;100), "SUSPICIOUS_PERFECTION", "NORMAL")))</f>
        <v>SUSPICIOUS_PERFECTION</v>
      </c>
      <c r="M28" s="7">
        <f>Table1_14[[#This Row],[Registered]]/SUM(Table1_14[Registered])</f>
        <v>3.8225848040438776E-5</v>
      </c>
      <c r="N28" t="str">
        <f xml:space="preserve"> IF(OR(Table1_14[[#This Row],[Appearance Rate]]&lt;0, Table1_14[[#This Row],[Appearance Rate]]&gt;1), "FLAG", "OK")</f>
        <v>OK</v>
      </c>
      <c r="O28" t="str">
        <f xml:space="preserve"> IF(Table1_14[[#This Row],[Appeared]]&gt;Table1_14[[#This Row],[Registered]], "FLAG", "OK")</f>
        <v>OK</v>
      </c>
      <c r="P28" t="str">
        <f xml:space="preserve"> IF(OR(ISBLANK(Table1_14[[#This Row],[Registered]]), ISBLANK(Table1_14[[#This Row],[Appeared]]), Table1_14[[#This Row],[Registered]]=0, Table1_14[[#This Row],[Appeared]]=0), "FLAG", "OK")</f>
        <v>OK</v>
      </c>
    </row>
    <row r="29" spans="1:16"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c r="L29" t="str">
        <f>IF(Table1_14[[#This Row],[Registered]]=0, "ABSENT", IF(Table1_14[[#This Row],[Appearance Rate]]&lt;0.98, "LOW_RATE", IF(AND(Table1_14[[#This Row],[Appearance Rate]]=1, Table1_14[[#This Row],[Registered]]&lt;100), "SUSPICIOUS_PERFECTION", "NORMAL")))</f>
        <v>NORMAL</v>
      </c>
      <c r="M29" s="7">
        <f>Table1_14[[#This Row],[Registered]]/SUM(Table1_14[Registered])</f>
        <v>6.2299097105469284E-2</v>
      </c>
      <c r="N29" t="str">
        <f xml:space="preserve"> IF(OR(Table1_14[[#This Row],[Appearance Rate]]&lt;0, Table1_14[[#This Row],[Appearance Rate]]&gt;1), "FLAG", "OK")</f>
        <v>OK</v>
      </c>
      <c r="O29" t="str">
        <f xml:space="preserve"> IF(Table1_14[[#This Row],[Appeared]]&gt;Table1_14[[#This Row],[Registered]], "FLAG", "OK")</f>
        <v>OK</v>
      </c>
      <c r="P29" t="str">
        <f xml:space="preserve"> IF(OR(ISBLANK(Table1_14[[#This Row],[Registered]]), ISBLANK(Table1_14[[#This Row],[Appeared]]), Table1_14[[#This Row],[Registered]]=0, Table1_14[[#This Row],[Appeared]]=0), "FLAG", "OK")</f>
        <v>OK</v>
      </c>
    </row>
    <row r="30" spans="1:16"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c r="L30" t="str">
        <f>IF(Table1_14[[#This Row],[Registered]]=0, "ABSENT", IF(Table1_14[[#This Row],[Appearance Rate]]&lt;0.98, "LOW_RATE", IF(AND(Table1_14[[#This Row],[Appearance Rate]]=1, Table1_14[[#This Row],[Registered]]&lt;100), "SUSPICIOUS_PERFECTION", "NORMAL")))</f>
        <v>NORMAL</v>
      </c>
      <c r="M30" s="7">
        <f>Table1_14[[#This Row],[Registered]]/SUM(Table1_14[Registered])</f>
        <v>1.771594302819608E-3</v>
      </c>
      <c r="N30" t="str">
        <f xml:space="preserve"> IF(OR(Table1_14[[#This Row],[Appearance Rate]]&lt;0, Table1_14[[#This Row],[Appearance Rate]]&gt;1), "FLAG", "OK")</f>
        <v>OK</v>
      </c>
      <c r="O30" t="str">
        <f xml:space="preserve"> IF(Table1_14[[#This Row],[Appeared]]&gt;Table1_14[[#This Row],[Registered]], "FLAG", "OK")</f>
        <v>OK</v>
      </c>
      <c r="P30" t="str">
        <f xml:space="preserve"> IF(OR(ISBLANK(Table1_14[[#This Row],[Registered]]), ISBLANK(Table1_14[[#This Row],[Appeared]]), Table1_14[[#This Row],[Registered]]=0, Table1_14[[#This Row],[Appeared]]=0), "FLAG", "OK")</f>
        <v>OK</v>
      </c>
    </row>
    <row r="31" spans="1:16"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c r="L31" t="str">
        <f>IF(Table1_14[[#This Row],[Registered]]=0, "ABSENT", IF(Table1_14[[#This Row],[Appearance Rate]]&lt;0.98, "LOW_RATE", IF(AND(Table1_14[[#This Row],[Appearance Rate]]=1, Table1_14[[#This Row],[Registered]]&lt;100), "SUSPICIOUS_PERFECTION", "NORMAL")))</f>
        <v>NORMAL</v>
      </c>
      <c r="M31" s="7">
        <f>Table1_14[[#This Row],[Registered]]/SUM(Table1_14[Registered])</f>
        <v>4.0734853702729399E-3</v>
      </c>
      <c r="N31" t="str">
        <f xml:space="preserve"> IF(OR(Table1_14[[#This Row],[Appearance Rate]]&lt;0, Table1_14[[#This Row],[Appearance Rate]]&gt;1), "FLAG", "OK")</f>
        <v>OK</v>
      </c>
      <c r="O31" t="str">
        <f xml:space="preserve"> IF(Table1_14[[#This Row],[Appeared]]&gt;Table1_14[[#This Row],[Registered]], "FLAG", "OK")</f>
        <v>OK</v>
      </c>
      <c r="P31" t="str">
        <f xml:space="preserve"> IF(OR(ISBLANK(Table1_14[[#This Row],[Registered]]), ISBLANK(Table1_14[[#This Row],[Appeared]]), Table1_14[[#This Row],[Registered]]=0, Table1_14[[#This Row],[Appeared]]=0), "FLAG", "OK")</f>
        <v>OK</v>
      </c>
    </row>
    <row r="32" spans="1:16"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c r="L32" t="str">
        <f>IF(Table1_14[[#This Row],[Registered]]=0, "ABSENT", IF(Table1_14[[#This Row],[Appearance Rate]]&lt;0.98, "LOW_RATE", IF(AND(Table1_14[[#This Row],[Appearance Rate]]=1, Table1_14[[#This Row],[Registered]]&lt;100), "SUSPICIOUS_PERFECTION", "NORMAL")))</f>
        <v>ABSENT</v>
      </c>
      <c r="M32" s="7">
        <f>Table1_14[[#This Row],[Registered]]/SUM(Table1_14[Registered])</f>
        <v>0</v>
      </c>
      <c r="N32" t="str">
        <f xml:space="preserve"> IF(OR(Table1_14[[#This Row],[Appearance Rate]]&lt;0, Table1_14[[#This Row],[Appearance Rate]]&gt;1), "FLAG", "OK")</f>
        <v>OK</v>
      </c>
      <c r="O32" t="str">
        <f xml:space="preserve"> IF(Table1_14[[#This Row],[Appeared]]&gt;Table1_14[[#This Row],[Registered]], "FLAG", "OK")</f>
        <v>OK</v>
      </c>
      <c r="P32" t="str">
        <f xml:space="preserve"> IF(OR(ISBLANK(Table1_14[[#This Row],[Registered]]), ISBLANK(Table1_14[[#This Row],[Appeared]]), Table1_14[[#This Row],[Registered]]=0, Table1_14[[#This Row],[Appeared]]=0), "FLAG", "OK")</f>
        <v>FLAG</v>
      </c>
    </row>
    <row r="33" spans="1:16"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c r="L33" t="str">
        <f>IF(Table1_14[[#This Row],[Registered]]=0, "ABSENT", IF(Table1_14[[#This Row],[Appearance Rate]]&lt;0.98, "LOW_RATE", IF(AND(Table1_14[[#This Row],[Appearance Rate]]=1, Table1_14[[#This Row],[Registered]]&lt;100), "SUSPICIOUS_PERFECTION", "NORMAL")))</f>
        <v>NORMAL</v>
      </c>
      <c r="M33" s="7">
        <f>Table1_14[[#This Row],[Registered]]/SUM(Table1_14[Registered])</f>
        <v>2.4777299684393497E-3</v>
      </c>
      <c r="N33" t="str">
        <f xml:space="preserve"> IF(OR(Table1_14[[#This Row],[Appearance Rate]]&lt;0, Table1_14[[#This Row],[Appearance Rate]]&gt;1), "FLAG", "OK")</f>
        <v>OK</v>
      </c>
      <c r="O33" t="str">
        <f xml:space="preserve"> IF(Table1_14[[#This Row],[Appeared]]&gt;Table1_14[[#This Row],[Registered]], "FLAG", "OK")</f>
        <v>OK</v>
      </c>
      <c r="P33" t="str">
        <f xml:space="preserve"> IF(OR(ISBLANK(Table1_14[[#This Row],[Registered]]), ISBLANK(Table1_14[[#This Row],[Appeared]]), Table1_14[[#This Row],[Registered]]=0, Table1_14[[#This Row],[Appeared]]=0), "FLAG", "OK")</f>
        <v>OK</v>
      </c>
    </row>
    <row r="34" spans="1:16"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c r="L34" t="str">
        <f>IF(Table1_14[[#This Row],[Registered]]=0, "ABSENT", IF(Table1_14[[#This Row],[Appearance Rate]]&lt;0.98, "LOW_RATE", IF(AND(Table1_14[[#This Row],[Appearance Rate]]=1, Table1_14[[#This Row],[Registered]]&lt;100), "SUSPICIOUS_PERFECTION", "NORMAL")))</f>
        <v>ABSENT</v>
      </c>
      <c r="M34" s="7">
        <f>Table1_14[[#This Row],[Registered]]/SUM(Table1_14[Registered])</f>
        <v>0</v>
      </c>
      <c r="N34" t="str">
        <f xml:space="preserve"> IF(OR(Table1_14[[#This Row],[Appearance Rate]]&lt;0, Table1_14[[#This Row],[Appearance Rate]]&gt;1), "FLAG", "OK")</f>
        <v>OK</v>
      </c>
      <c r="O34" t="str">
        <f xml:space="preserve"> IF(Table1_14[[#This Row],[Appeared]]&gt;Table1_14[[#This Row],[Registered]], "FLAG", "OK")</f>
        <v>OK</v>
      </c>
      <c r="P34" t="str">
        <f xml:space="preserve"> IF(OR(ISBLANK(Table1_14[[#This Row],[Registered]]), ISBLANK(Table1_14[[#This Row],[Appeared]]), Table1_14[[#This Row],[Registered]]=0, Table1_14[[#This Row],[Appeared]]=0), "FLAG", "OK")</f>
        <v>FLAG</v>
      </c>
    </row>
    <row r="35" spans="1:16"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c r="L35" t="str">
        <f>IF(Table1_14[[#This Row],[Registered]]=0, "ABSENT", IF(Table1_14[[#This Row],[Appearance Rate]]&lt;0.98, "LOW_RATE", IF(AND(Table1_14[[#This Row],[Appearance Rate]]=1, Table1_14[[#This Row],[Registered]]&lt;100), "SUSPICIOUS_PERFECTION", "NORMAL")))</f>
        <v>NORMAL</v>
      </c>
      <c r="M35" s="7">
        <f>Table1_14[[#This Row],[Registered]]/SUM(Table1_14[Registered])</f>
        <v>4.7121350387158339E-2</v>
      </c>
      <c r="N35" t="str">
        <f xml:space="preserve"> IF(OR(Table1_14[[#This Row],[Appearance Rate]]&lt;0, Table1_14[[#This Row],[Appearance Rate]]&gt;1), "FLAG", "OK")</f>
        <v>OK</v>
      </c>
      <c r="O35" t="str">
        <f xml:space="preserve"> IF(Table1_14[[#This Row],[Appeared]]&gt;Table1_14[[#This Row],[Registered]], "FLAG", "OK")</f>
        <v>OK</v>
      </c>
      <c r="P35" t="str">
        <f xml:space="preserve"> IF(OR(ISBLANK(Table1_14[[#This Row],[Registered]]), ISBLANK(Table1_14[[#This Row],[Appeared]]), Table1_14[[#This Row],[Registered]]=0, Table1_14[[#This Row],[Appeared]]=0), "FLAG", "OK")</f>
        <v>OK</v>
      </c>
    </row>
    <row r="36" spans="1:16"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c r="L36" t="str">
        <f>IF(Table1_14[[#This Row],[Registered]]=0, "ABSENT", IF(Table1_14[[#This Row],[Appearance Rate]]&lt;0.98, "LOW_RATE", IF(AND(Table1_14[[#This Row],[Appearance Rate]]=1, Table1_14[[#This Row],[Registered]]&lt;100), "SUSPICIOUS_PERFECTION", "NORMAL")))</f>
        <v>NORMAL</v>
      </c>
      <c r="M36" s="7">
        <f>Table1_14[[#This Row],[Registered]]/SUM(Table1_14[Registered])</f>
        <v>1.143995379537495E-3</v>
      </c>
      <c r="N36" t="str">
        <f xml:space="preserve"> IF(OR(Table1_14[[#This Row],[Appearance Rate]]&lt;0, Table1_14[[#This Row],[Appearance Rate]]&gt;1), "FLAG", "OK")</f>
        <v>OK</v>
      </c>
      <c r="O36" t="str">
        <f xml:space="preserve"> IF(Table1_14[[#This Row],[Appeared]]&gt;Table1_14[[#This Row],[Registered]], "FLAG", "OK")</f>
        <v>OK</v>
      </c>
      <c r="P36" t="str">
        <f xml:space="preserve"> IF(OR(ISBLANK(Table1_14[[#This Row],[Registered]]), ISBLANK(Table1_14[[#This Row],[Appeared]]), Table1_14[[#This Row],[Registered]]=0, Table1_14[[#This Row],[Appeared]]=0), "FLAG", "OK")</f>
        <v>OK</v>
      </c>
    </row>
    <row r="37" spans="1:16"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c r="L37" t="str">
        <f>IF(Table1_14[[#This Row],[Registered]]=0, "ABSENT", IF(Table1_14[[#This Row],[Appearance Rate]]&lt;0.98, "LOW_RATE", IF(AND(Table1_14[[#This Row],[Appearance Rate]]=1, Table1_14[[#This Row],[Registered]]&lt;100), "SUSPICIOUS_PERFECTION", "NORMAL")))</f>
        <v>NORMAL</v>
      </c>
      <c r="M37" s="7">
        <f>Table1_14[[#This Row],[Registered]]/SUM(Table1_14[Registered])</f>
        <v>4.6656385071902817E-3</v>
      </c>
      <c r="N37" t="str">
        <f xml:space="preserve"> IF(OR(Table1_14[[#This Row],[Appearance Rate]]&lt;0, Table1_14[[#This Row],[Appearance Rate]]&gt;1), "FLAG", "OK")</f>
        <v>OK</v>
      </c>
      <c r="O37" t="str">
        <f xml:space="preserve"> IF(Table1_14[[#This Row],[Appeared]]&gt;Table1_14[[#This Row],[Registered]], "FLAG", "OK")</f>
        <v>OK</v>
      </c>
      <c r="P37" t="str">
        <f xml:space="preserve"> IF(OR(ISBLANK(Table1_14[[#This Row],[Registered]]), ISBLANK(Table1_14[[#This Row],[Appeared]]), Table1_14[[#This Row],[Registered]]=0, Table1_14[[#This Row],[Appeared]]=0), "FLAG", "OK")</f>
        <v>OK</v>
      </c>
    </row>
    <row r="38" spans="1:16"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c r="L38" t="str">
        <f>IF(Table1_14[[#This Row],[Registered]]=0, "ABSENT", IF(Table1_14[[#This Row],[Appearance Rate]]&lt;0.98, "LOW_RATE", IF(AND(Table1_14[[#This Row],[Appearance Rate]]=1, Table1_14[[#This Row],[Registered]]&lt;100), "SUSPICIOUS_PERFECTION", "NORMAL")))</f>
        <v>NORMAL</v>
      </c>
      <c r="M38" s="7">
        <f>Table1_14[[#This Row],[Registered]]/SUM(Table1_14[Registered])</f>
        <v>1.1398252870239926E-4</v>
      </c>
      <c r="N38" t="str">
        <f xml:space="preserve"> IF(OR(Table1_14[[#This Row],[Appearance Rate]]&lt;0, Table1_14[[#This Row],[Appearance Rate]]&gt;1), "FLAG", "OK")</f>
        <v>OK</v>
      </c>
      <c r="O38" t="str">
        <f xml:space="preserve"> IF(Table1_14[[#This Row],[Appeared]]&gt;Table1_14[[#This Row],[Registered]], "FLAG", "OK")</f>
        <v>OK</v>
      </c>
      <c r="P38" t="str">
        <f xml:space="preserve"> IF(OR(ISBLANK(Table1_14[[#This Row],[Registered]]), ISBLANK(Table1_14[[#This Row],[Appeared]]), Table1_14[[#This Row],[Registered]]=0, Table1_14[[#This Row],[Appeared]]=0), "FLAG", "OK")</f>
        <v>OK</v>
      </c>
    </row>
    <row r="39" spans="1:16"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c r="L39" t="str">
        <f>IF(Table1_14[[#This Row],[Registered]]=0, "ABSENT", IF(Table1_14[[#This Row],[Appearance Rate]]&lt;0.98, "LOW_RATE", IF(AND(Table1_14[[#This Row],[Appearance Rate]]=1, Table1_14[[#This Row],[Registered]]&lt;100), "SUSPICIOUS_PERFECTION", "NORMAL")))</f>
        <v>NORMAL</v>
      </c>
      <c r="M39" s="7">
        <f>Table1_14[[#This Row],[Registered]]/SUM(Table1_14[Registered])</f>
        <v>1.0807489764160419E-3</v>
      </c>
      <c r="N39" t="str">
        <f xml:space="preserve"> IF(OR(Table1_14[[#This Row],[Appearance Rate]]&lt;0, Table1_14[[#This Row],[Appearance Rate]]&gt;1), "FLAG", "OK")</f>
        <v>OK</v>
      </c>
      <c r="O39" t="str">
        <f xml:space="preserve"> IF(Table1_14[[#This Row],[Appeared]]&gt;Table1_14[[#This Row],[Registered]], "FLAG", "OK")</f>
        <v>OK</v>
      </c>
      <c r="P39" t="str">
        <f xml:space="preserve"> IF(OR(ISBLANK(Table1_14[[#This Row],[Registered]]), ISBLANK(Table1_14[[#This Row],[Appeared]]), Table1_14[[#This Row],[Registered]]=0, Table1_14[[#This Row],[Appeared]]=0), "FLAG", "OK")</f>
        <v>OK</v>
      </c>
    </row>
    <row r="40" spans="1:16"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c r="L40" t="str">
        <f>IF(Table1_14[[#This Row],[Registered]]=0, "ABSENT", IF(Table1_14[[#This Row],[Appearance Rate]]&lt;0.98, "LOW_RATE", IF(AND(Table1_14[[#This Row],[Appearance Rate]]=1, Table1_14[[#This Row],[Registered]]&lt;100), "SUSPICIOUS_PERFECTION", "NORMAL")))</f>
        <v>SUSPICIOUS_PERFECTION</v>
      </c>
      <c r="M40" s="7">
        <f>Table1_14[[#This Row],[Registered]]/SUM(Table1_14[Registered])</f>
        <v>1.5290339216175512E-5</v>
      </c>
      <c r="N40" t="str">
        <f xml:space="preserve"> IF(OR(Table1_14[[#This Row],[Appearance Rate]]&lt;0, Table1_14[[#This Row],[Appearance Rate]]&gt;1), "FLAG", "OK")</f>
        <v>OK</v>
      </c>
      <c r="O40" t="str">
        <f xml:space="preserve"> IF(Table1_14[[#This Row],[Appeared]]&gt;Table1_14[[#This Row],[Registered]], "FLAG", "OK")</f>
        <v>OK</v>
      </c>
      <c r="P40" t="str">
        <f xml:space="preserve"> IF(OR(ISBLANK(Table1_14[[#This Row],[Registered]]), ISBLANK(Table1_14[[#This Row],[Appeared]]), Table1_14[[#This Row],[Registered]]=0, Table1_14[[#This Row],[Appeared]]=0), "FLAG", "OK")</f>
        <v>OK</v>
      </c>
    </row>
    <row r="41" spans="1:16"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c r="L41" t="str">
        <f>IF(Table1_14[[#This Row],[Registered]]=0, "ABSENT", IF(Table1_14[[#This Row],[Appearance Rate]]&lt;0.98, "LOW_RATE", IF(AND(Table1_14[[#This Row],[Appearance Rate]]=1, Table1_14[[#This Row],[Registered]]&lt;100), "SUSPICIOUS_PERFECTION", "NORMAL")))</f>
        <v>NORMAL</v>
      </c>
      <c r="M41" s="7">
        <f>Table1_14[[#This Row],[Registered]]/SUM(Table1_14[Registered])</f>
        <v>4.3419698266006029E-2</v>
      </c>
      <c r="N41" t="str">
        <f xml:space="preserve"> IF(OR(Table1_14[[#This Row],[Appearance Rate]]&lt;0, Table1_14[[#This Row],[Appearance Rate]]&gt;1), "FLAG", "OK")</f>
        <v>OK</v>
      </c>
      <c r="O41" t="str">
        <f xml:space="preserve"> IF(Table1_14[[#This Row],[Appeared]]&gt;Table1_14[[#This Row],[Registered]], "FLAG", "OK")</f>
        <v>OK</v>
      </c>
      <c r="P41" t="str">
        <f xml:space="preserve"> IF(OR(ISBLANK(Table1_14[[#This Row],[Registered]]), ISBLANK(Table1_14[[#This Row],[Appeared]]), Table1_14[[#This Row],[Registered]]=0, Table1_14[[#This Row],[Appeared]]=0), "FLAG", "OK")</f>
        <v>OK</v>
      </c>
    </row>
    <row r="42" spans="1:16"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c r="L42" t="str">
        <f>IF(Table1_14[[#This Row],[Registered]]=0, "ABSENT", IF(Table1_14[[#This Row],[Appearance Rate]]&lt;0.98, "LOW_RATE", IF(AND(Table1_14[[#This Row],[Appearance Rate]]=1, Table1_14[[#This Row],[Registered]]&lt;100), "SUSPICIOUS_PERFECTION", "NORMAL")))</f>
        <v>NORMAL</v>
      </c>
      <c r="M42" s="7">
        <f>Table1_14[[#This Row],[Registered]]/SUM(Table1_14[Registered])</f>
        <v>7.7841726918711693E-4</v>
      </c>
      <c r="N42" t="str">
        <f xml:space="preserve"> IF(OR(Table1_14[[#This Row],[Appearance Rate]]&lt;0, Table1_14[[#This Row],[Appearance Rate]]&gt;1), "FLAG", "OK")</f>
        <v>OK</v>
      </c>
      <c r="O42" t="str">
        <f xml:space="preserve"> IF(Table1_14[[#This Row],[Appeared]]&gt;Table1_14[[#This Row],[Registered]], "FLAG", "OK")</f>
        <v>OK</v>
      </c>
      <c r="P42" t="str">
        <f xml:space="preserve"> IF(OR(ISBLANK(Table1_14[[#This Row],[Registered]]), ISBLANK(Table1_14[[#This Row],[Appeared]]), Table1_14[[#This Row],[Registered]]=0, Table1_14[[#This Row],[Appeared]]=0), "FLAG", "OK")</f>
        <v>OK</v>
      </c>
    </row>
    <row r="43" spans="1:16"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c r="L43" t="str">
        <f>IF(Table1_14[[#This Row],[Registered]]=0, "ABSENT", IF(Table1_14[[#This Row],[Appearance Rate]]&lt;0.98, "LOW_RATE", IF(AND(Table1_14[[#This Row],[Appearance Rate]]=1, Table1_14[[#This Row],[Registered]]&lt;100), "SUSPICIOUS_PERFECTION", "NORMAL")))</f>
        <v>NORMAL</v>
      </c>
      <c r="M43" s="7">
        <f>Table1_14[[#This Row],[Registered]]/SUM(Table1_14[Registered])</f>
        <v>2.9969064863704003E-3</v>
      </c>
      <c r="N43" t="str">
        <f xml:space="preserve"> IF(OR(Table1_14[[#This Row],[Appearance Rate]]&lt;0, Table1_14[[#This Row],[Appearance Rate]]&gt;1), "FLAG", "OK")</f>
        <v>OK</v>
      </c>
      <c r="O43" t="str">
        <f xml:space="preserve"> IF(Table1_14[[#This Row],[Appeared]]&gt;Table1_14[[#This Row],[Registered]], "FLAG", "OK")</f>
        <v>OK</v>
      </c>
      <c r="P43" t="str">
        <f xml:space="preserve"> IF(OR(ISBLANK(Table1_14[[#This Row],[Registered]]), ISBLANK(Table1_14[[#This Row],[Appeared]]), Table1_14[[#This Row],[Registered]]=0, Table1_14[[#This Row],[Appeared]]=0), "FLAG", "OK")</f>
        <v>OK</v>
      </c>
    </row>
    <row r="44" spans="1:16"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c r="L44" t="str">
        <f>IF(Table1_14[[#This Row],[Registered]]=0, "ABSENT", IF(Table1_14[[#This Row],[Appearance Rate]]&lt;0.98, "LOW_RATE", IF(AND(Table1_14[[#This Row],[Appearance Rate]]=1, Table1_14[[#This Row],[Registered]]&lt;100), "SUSPICIOUS_PERFECTION", "NORMAL")))</f>
        <v>ABSENT</v>
      </c>
      <c r="M44" s="7">
        <f>Table1_14[[#This Row],[Registered]]/SUM(Table1_14[Registered])</f>
        <v>0</v>
      </c>
      <c r="N44" t="str">
        <f xml:space="preserve"> IF(OR(Table1_14[[#This Row],[Appearance Rate]]&lt;0, Table1_14[[#This Row],[Appearance Rate]]&gt;1), "FLAG", "OK")</f>
        <v>OK</v>
      </c>
      <c r="O44" t="str">
        <f xml:space="preserve"> IF(Table1_14[[#This Row],[Appeared]]&gt;Table1_14[[#This Row],[Registered]], "FLAG", "OK")</f>
        <v>OK</v>
      </c>
      <c r="P44" t="str">
        <f xml:space="preserve"> IF(OR(ISBLANK(Table1_14[[#This Row],[Registered]]), ISBLANK(Table1_14[[#This Row],[Appeared]]), Table1_14[[#This Row],[Registered]]=0, Table1_14[[#This Row],[Appeared]]=0), "FLAG", "OK")</f>
        <v>FLAG</v>
      </c>
    </row>
    <row r="45" spans="1:16"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c r="L45" t="str">
        <f>IF(Table1_14[[#This Row],[Registered]]=0, "ABSENT", IF(Table1_14[[#This Row],[Appearance Rate]]&lt;0.98, "LOW_RATE", IF(AND(Table1_14[[#This Row],[Appearance Rate]]=1, Table1_14[[#This Row],[Registered]]&lt;100), "SUSPICIOUS_PERFECTION", "NORMAL")))</f>
        <v>NORMAL</v>
      </c>
      <c r="M45" s="7">
        <f>Table1_14[[#This Row],[Registered]]/SUM(Table1_14[Registered])</f>
        <v>6.965166522219296E-2</v>
      </c>
      <c r="N45" t="str">
        <f xml:space="preserve"> IF(OR(Table1_14[[#This Row],[Appearance Rate]]&lt;0, Table1_14[[#This Row],[Appearance Rate]]&gt;1), "FLAG", "OK")</f>
        <v>OK</v>
      </c>
      <c r="O45" t="str">
        <f xml:space="preserve"> IF(Table1_14[[#This Row],[Appeared]]&gt;Table1_14[[#This Row],[Registered]], "FLAG", "OK")</f>
        <v>OK</v>
      </c>
      <c r="P45" t="str">
        <f xml:space="preserve"> IF(OR(ISBLANK(Table1_14[[#This Row],[Registered]]), ISBLANK(Table1_14[[#This Row],[Appeared]]), Table1_14[[#This Row],[Registered]]=0, Table1_14[[#This Row],[Appeared]]=0), "FLAG", "OK")</f>
        <v>OK</v>
      </c>
    </row>
    <row r="46" spans="1:16"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c r="L46" t="str">
        <f>IF(Table1_14[[#This Row],[Registered]]=0, "ABSENT", IF(Table1_14[[#This Row],[Appearance Rate]]&lt;0.98, "LOW_RATE", IF(AND(Table1_14[[#This Row],[Appearance Rate]]=1, Table1_14[[#This Row],[Registered]]&lt;100), "SUSPICIOUS_PERFECTION", "NORMAL")))</f>
        <v>NORMAL</v>
      </c>
      <c r="M46" s="7">
        <f>Table1_14[[#This Row],[Registered]]/SUM(Table1_14[Registered])</f>
        <v>4.4619989894475812E-3</v>
      </c>
      <c r="N46" t="str">
        <f xml:space="preserve"> IF(OR(Table1_14[[#This Row],[Appearance Rate]]&lt;0, Table1_14[[#This Row],[Appearance Rate]]&gt;1), "FLAG", "OK")</f>
        <v>OK</v>
      </c>
      <c r="O46" t="str">
        <f xml:space="preserve"> IF(Table1_14[[#This Row],[Appeared]]&gt;Table1_14[[#This Row],[Registered]], "FLAG", "OK")</f>
        <v>OK</v>
      </c>
      <c r="P46" t="str">
        <f xml:space="preserve"> IF(OR(ISBLANK(Table1_14[[#This Row],[Registered]]), ISBLANK(Table1_14[[#This Row],[Appeared]]), Table1_14[[#This Row],[Registered]]=0, Table1_14[[#This Row],[Appeared]]=0), "FLAG", "OK")</f>
        <v>OK</v>
      </c>
    </row>
    <row r="47" spans="1:16"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c r="L47" t="str">
        <f>IF(Table1_14[[#This Row],[Registered]]=0, "ABSENT", IF(Table1_14[[#This Row],[Appearance Rate]]&lt;0.98, "LOW_RATE", IF(AND(Table1_14[[#This Row],[Appearance Rate]]=1, Table1_14[[#This Row],[Registered]]&lt;100), "SUSPICIOUS_PERFECTION", "NORMAL")))</f>
        <v>NORMAL</v>
      </c>
      <c r="M47" s="7">
        <f>Table1_14[[#This Row],[Registered]]/SUM(Table1_14[Registered])</f>
        <v>4.5143336504920362E-2</v>
      </c>
      <c r="N47" t="str">
        <f xml:space="preserve"> IF(OR(Table1_14[[#This Row],[Appearance Rate]]&lt;0, Table1_14[[#This Row],[Appearance Rate]]&gt;1), "FLAG", "OK")</f>
        <v>OK</v>
      </c>
      <c r="O47" t="str">
        <f xml:space="preserve"> IF(Table1_14[[#This Row],[Appeared]]&gt;Table1_14[[#This Row],[Registered]], "FLAG", "OK")</f>
        <v>OK</v>
      </c>
      <c r="P47" t="str">
        <f xml:space="preserve"> IF(OR(ISBLANK(Table1_14[[#This Row],[Registered]]), ISBLANK(Table1_14[[#This Row],[Appeared]]), Table1_14[[#This Row],[Registered]]=0, Table1_14[[#This Row],[Appeared]]=0), "FLAG", "OK")</f>
        <v>OK</v>
      </c>
    </row>
    <row r="48" spans="1:16"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c r="L48" t="str">
        <f>IF(Table1_14[[#This Row],[Registered]]=0, "ABSENT", IF(Table1_14[[#This Row],[Appearance Rate]]&lt;0.98, "LOW_RATE", IF(AND(Table1_14[[#This Row],[Appearance Rate]]=1, Table1_14[[#This Row],[Registered]]&lt;100), "SUSPICIOUS_PERFECTION", "NORMAL")))</f>
        <v>SUSPICIOUS_PERFECTION</v>
      </c>
      <c r="M48" s="7">
        <f>Table1_14[[#This Row],[Registered]]/SUM(Table1_14[Registered])</f>
        <v>5.6296248932282561E-5</v>
      </c>
      <c r="N48" t="str">
        <f xml:space="preserve"> IF(OR(Table1_14[[#This Row],[Appearance Rate]]&lt;0, Table1_14[[#This Row],[Appearance Rate]]&gt;1), "FLAG", "OK")</f>
        <v>OK</v>
      </c>
      <c r="O48" t="str">
        <f xml:space="preserve"> IF(Table1_14[[#This Row],[Appeared]]&gt;Table1_14[[#This Row],[Registered]], "FLAG", "OK")</f>
        <v>OK</v>
      </c>
      <c r="P48" t="str">
        <f xml:space="preserve"> IF(OR(ISBLANK(Table1_14[[#This Row],[Registered]]), ISBLANK(Table1_14[[#This Row],[Appeared]]), Table1_14[[#This Row],[Registered]]=0, Table1_14[[#This Row],[Appeared]]=0), "FLAG", "OK")</f>
        <v>OK</v>
      </c>
    </row>
    <row r="49" spans="1:16"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c r="L49" t="str">
        <f>IF(Table1_14[[#This Row],[Registered]]=0, "ABSENT", IF(Table1_14[[#This Row],[Appearance Rate]]&lt;0.98, "LOW_RATE", IF(AND(Table1_14[[#This Row],[Appearance Rate]]=1, Table1_14[[#This Row],[Registered]]&lt;100), "SUSPICIOUS_PERFECTION", "NORMAL")))</f>
        <v>NORMAL</v>
      </c>
      <c r="M49" s="7">
        <f>Table1_14[[#This Row],[Registered]]/SUM(Table1_14[Registered])</f>
        <v>4.6350578287579309E-3</v>
      </c>
      <c r="N49" t="str">
        <f xml:space="preserve"> IF(OR(Table1_14[[#This Row],[Appearance Rate]]&lt;0, Table1_14[[#This Row],[Appearance Rate]]&gt;1), "FLAG", "OK")</f>
        <v>OK</v>
      </c>
      <c r="O49" t="str">
        <f xml:space="preserve"> IF(Table1_14[[#This Row],[Appeared]]&gt;Table1_14[[#This Row],[Registered]], "FLAG", "OK")</f>
        <v>OK</v>
      </c>
      <c r="P49" t="str">
        <f xml:space="preserve"> IF(OR(ISBLANK(Table1_14[[#This Row],[Registered]]), ISBLANK(Table1_14[[#This Row],[Appeared]]), Table1_14[[#This Row],[Registered]]=0, Table1_14[[#This Row],[Appeared]]=0), "FLAG", "OK")</f>
        <v>OK</v>
      </c>
    </row>
    <row r="50" spans="1:16"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c r="L50" t="str">
        <f>IF(Table1_14[[#This Row],[Registered]]=0, "ABSENT", IF(Table1_14[[#This Row],[Appearance Rate]]&lt;0.98, "LOW_RATE", IF(AND(Table1_14[[#This Row],[Appearance Rate]]=1, Table1_14[[#This Row],[Registered]]&lt;100), "SUSPICIOUS_PERFECTION", "NORMAL")))</f>
        <v>ABSENT</v>
      </c>
      <c r="M50" s="7">
        <f>Table1_14[[#This Row],[Registered]]/SUM(Table1_14[Registered])</f>
        <v>0</v>
      </c>
      <c r="N50" t="str">
        <f xml:space="preserve"> IF(OR(Table1_14[[#This Row],[Appearance Rate]]&lt;0, Table1_14[[#This Row],[Appearance Rate]]&gt;1), "FLAG", "OK")</f>
        <v>OK</v>
      </c>
      <c r="O50" t="str">
        <f xml:space="preserve"> IF(Table1_14[[#This Row],[Appeared]]&gt;Table1_14[[#This Row],[Registered]], "FLAG", "OK")</f>
        <v>OK</v>
      </c>
      <c r="P50" t="str">
        <f xml:space="preserve"> IF(OR(ISBLANK(Table1_14[[#This Row],[Registered]]), ISBLANK(Table1_14[[#This Row],[Appeared]]), Table1_14[[#This Row],[Registered]]=0, Table1_14[[#This Row],[Appeared]]=0), "FLAG", "OK")</f>
        <v>FLAG</v>
      </c>
    </row>
    <row r="51" spans="1:16"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c r="L51" t="str">
        <f>IF(Table1_14[[#This Row],[Registered]]=0, "ABSENT", IF(Table1_14[[#This Row],[Appearance Rate]]&lt;0.98, "LOW_RATE", IF(AND(Table1_14[[#This Row],[Appearance Rate]]=1, Table1_14[[#This Row],[Registered]]&lt;100), "SUSPICIOUS_PERFECTION", "NORMAL")))</f>
        <v>NORMAL</v>
      </c>
      <c r="M51" s="7">
        <f>Table1_14[[#This Row],[Registered]]/SUM(Table1_14[Registered])</f>
        <v>4.8306351676411945E-2</v>
      </c>
      <c r="N51" t="str">
        <f xml:space="preserve"> IF(OR(Table1_14[[#This Row],[Appearance Rate]]&lt;0, Table1_14[[#This Row],[Appearance Rate]]&gt;1), "FLAG", "OK")</f>
        <v>OK</v>
      </c>
      <c r="O51" t="str">
        <f xml:space="preserve"> IF(Table1_14[[#This Row],[Appeared]]&gt;Table1_14[[#This Row],[Registered]], "FLAG", "OK")</f>
        <v>OK</v>
      </c>
      <c r="P51" t="str">
        <f xml:space="preserve"> IF(OR(ISBLANK(Table1_14[[#This Row],[Registered]]), ISBLANK(Table1_14[[#This Row],[Appeared]]), Table1_14[[#This Row],[Registered]]=0, Table1_14[[#This Row],[Appeared]]=0), "FLAG", "OK")</f>
        <v>OK</v>
      </c>
    </row>
    <row r="52" spans="1:16"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c r="L52" t="str">
        <f>IF(Table1_14[[#This Row],[Registered]]=0, "ABSENT", IF(Table1_14[[#This Row],[Appearance Rate]]&lt;0.98, "LOW_RATE", IF(AND(Table1_14[[#This Row],[Appearance Rate]]=1, Table1_14[[#This Row],[Registered]]&lt;100), "SUSPICIOUS_PERFECTION", "NORMAL")))</f>
        <v>NORMAL</v>
      </c>
      <c r="M52" s="7">
        <f>Table1_14[[#This Row],[Registered]]/SUM(Table1_14[Registered])</f>
        <v>5.4037448820802086E-3</v>
      </c>
      <c r="N52" t="str">
        <f xml:space="preserve"> IF(OR(Table1_14[[#This Row],[Appearance Rate]]&lt;0, Table1_14[[#This Row],[Appearance Rate]]&gt;1), "FLAG", "OK")</f>
        <v>OK</v>
      </c>
      <c r="O52" t="str">
        <f xml:space="preserve"> IF(Table1_14[[#This Row],[Appeared]]&gt;Table1_14[[#This Row],[Registered]], "FLAG", "OK")</f>
        <v>OK</v>
      </c>
      <c r="P52" t="str">
        <f xml:space="preserve"> IF(OR(ISBLANK(Table1_14[[#This Row],[Registered]]), ISBLANK(Table1_14[[#This Row],[Appeared]]), Table1_14[[#This Row],[Registered]]=0, Table1_14[[#This Row],[Appeared]]=0), "FLAG", "OK")</f>
        <v>OK</v>
      </c>
    </row>
    <row r="53" spans="1:16"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c r="L53" t="str">
        <f>IF(Table1_14[[#This Row],[Registered]]=0, "ABSENT", IF(Table1_14[[#This Row],[Appearance Rate]]&lt;0.98, "LOW_RATE", IF(AND(Table1_14[[#This Row],[Appearance Rate]]=1, Table1_14[[#This Row],[Registered]]&lt;100), "SUSPICIOUS_PERFECTION", "NORMAL")))</f>
        <v>NORMAL</v>
      </c>
      <c r="M53" s="7">
        <f>Table1_14[[#This Row],[Registered]]/SUM(Table1_14[Registered])</f>
        <v>2.8121018864803515E-2</v>
      </c>
      <c r="N53" t="str">
        <f xml:space="preserve"> IF(OR(Table1_14[[#This Row],[Appearance Rate]]&lt;0, Table1_14[[#This Row],[Appearance Rate]]&gt;1), "FLAG", "OK")</f>
        <v>OK</v>
      </c>
      <c r="O53" t="str">
        <f xml:space="preserve"> IF(Table1_14[[#This Row],[Appeared]]&gt;Table1_14[[#This Row],[Registered]], "FLAG", "OK")</f>
        <v>OK</v>
      </c>
      <c r="P53" t="str">
        <f xml:space="preserve"> IF(OR(ISBLANK(Table1_14[[#This Row],[Registered]]), ISBLANK(Table1_14[[#This Row],[Appeared]]), Table1_14[[#This Row],[Registered]]=0, Table1_14[[#This Row],[Appeared]]=0), "FLAG", "OK")</f>
        <v>OK</v>
      </c>
    </row>
    <row r="54" spans="1:16"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c r="L54" t="str">
        <f>IF(Table1_14[[#This Row],[Registered]]=0, "ABSENT", IF(Table1_14[[#This Row],[Appearance Rate]]&lt;0.98, "LOW_RATE", IF(AND(Table1_14[[#This Row],[Appearance Rate]]=1, Table1_14[[#This Row],[Registered]]&lt;100), "SUSPICIOUS_PERFECTION", "NORMAL")))</f>
        <v>SUSPICIOUS_PERFECTION</v>
      </c>
      <c r="M54" s="7">
        <f>Table1_14[[#This Row],[Registered]]/SUM(Table1_14[Registered])</f>
        <v>4.5176002229609464E-5</v>
      </c>
      <c r="N54" t="str">
        <f xml:space="preserve"> IF(OR(Table1_14[[#This Row],[Appearance Rate]]&lt;0, Table1_14[[#This Row],[Appearance Rate]]&gt;1), "FLAG", "OK")</f>
        <v>OK</v>
      </c>
      <c r="O54" t="str">
        <f xml:space="preserve"> IF(Table1_14[[#This Row],[Appeared]]&gt;Table1_14[[#This Row],[Registered]], "FLAG", "OK")</f>
        <v>OK</v>
      </c>
      <c r="P54" t="str">
        <f xml:space="preserve"> IF(OR(ISBLANK(Table1_14[[#This Row],[Registered]]), ISBLANK(Table1_14[[#This Row],[Appeared]]), Table1_14[[#This Row],[Registered]]=0, Table1_14[[#This Row],[Appeared]]=0), "FLAG", "OK")</f>
        <v>OK</v>
      </c>
    </row>
    <row r="55" spans="1:16"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c r="L55" t="str">
        <f>IF(Table1_14[[#This Row],[Registered]]=0, "ABSENT", IF(Table1_14[[#This Row],[Appearance Rate]]&lt;0.98, "LOW_RATE", IF(AND(Table1_14[[#This Row],[Appearance Rate]]=1, Table1_14[[#This Row],[Registered]]&lt;100), "SUSPICIOUS_PERFECTION", "NORMAL")))</f>
        <v>NORMAL</v>
      </c>
      <c r="M55" s="7">
        <f>Table1_14[[#This Row],[Registered]]/SUM(Table1_14[Registered])</f>
        <v>1.9960842831298212E-3</v>
      </c>
      <c r="N55" t="str">
        <f xml:space="preserve"> IF(OR(Table1_14[[#This Row],[Appearance Rate]]&lt;0, Table1_14[[#This Row],[Appearance Rate]]&gt;1), "FLAG", "OK")</f>
        <v>OK</v>
      </c>
      <c r="O55" t="str">
        <f xml:space="preserve"> IF(Table1_14[[#This Row],[Appeared]]&gt;Table1_14[[#This Row],[Registered]], "FLAG", "OK")</f>
        <v>OK</v>
      </c>
      <c r="P55" t="str">
        <f xml:space="preserve"> IF(OR(ISBLANK(Table1_14[[#This Row],[Registered]]), ISBLANK(Table1_14[[#This Row],[Appeared]]), Table1_14[[#This Row],[Registered]]=0, Table1_14[[#This Row],[Appeared]]=0), "FLAG", "OK")</f>
        <v>OK</v>
      </c>
    </row>
    <row r="56" spans="1:16"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c r="L56" t="str">
        <f>IF(Table1_14[[#This Row],[Registered]]=0, "ABSENT", IF(Table1_14[[#This Row],[Appearance Rate]]&lt;0.98, "LOW_RATE", IF(AND(Table1_14[[#This Row],[Appearance Rate]]=1, Table1_14[[#This Row],[Registered]]&lt;100), "SUSPICIOUS_PERFECTION", "NORMAL")))</f>
        <v>ABSENT</v>
      </c>
      <c r="M56" s="7">
        <f>Table1_14[[#This Row],[Registered]]/SUM(Table1_14[Registered])</f>
        <v>0</v>
      </c>
      <c r="N56" t="str">
        <f xml:space="preserve"> IF(OR(Table1_14[[#This Row],[Appearance Rate]]&lt;0, Table1_14[[#This Row],[Appearance Rate]]&gt;1), "FLAG", "OK")</f>
        <v>OK</v>
      </c>
      <c r="O56" t="str">
        <f xml:space="preserve"> IF(Table1_14[[#This Row],[Appeared]]&gt;Table1_14[[#This Row],[Registered]], "FLAG", "OK")</f>
        <v>OK</v>
      </c>
      <c r="P56" t="str">
        <f xml:space="preserve"> IF(OR(ISBLANK(Table1_14[[#This Row],[Registered]]), ISBLANK(Table1_14[[#This Row],[Appeared]]), Table1_14[[#This Row],[Registered]]=0, Table1_14[[#This Row],[Appeared]]=0), "FLAG", "OK")</f>
        <v>FLAG</v>
      </c>
    </row>
    <row r="57" spans="1:16"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c r="L57" t="str">
        <f>IF(Table1_14[[#This Row],[Registered]]=0, "ABSENT", IF(Table1_14[[#This Row],[Appearance Rate]]&lt;0.98, "LOW_RATE", IF(AND(Table1_14[[#This Row],[Appearance Rate]]=1, Table1_14[[#This Row],[Registered]]&lt;100), "SUSPICIOUS_PERFECTION", "NORMAL")))</f>
        <v>NORMAL</v>
      </c>
      <c r="M57" s="7">
        <f>Table1_14[[#This Row],[Registered]]/SUM(Table1_14[Registered])</f>
        <v>1.4367358739853644E-2</v>
      </c>
      <c r="N57" t="str">
        <f xml:space="preserve"> IF(OR(Table1_14[[#This Row],[Appearance Rate]]&lt;0, Table1_14[[#This Row],[Appearance Rate]]&gt;1), "FLAG", "OK")</f>
        <v>OK</v>
      </c>
      <c r="O57" t="str">
        <f xml:space="preserve"> IF(Table1_14[[#This Row],[Appeared]]&gt;Table1_14[[#This Row],[Registered]], "FLAG", "OK")</f>
        <v>OK</v>
      </c>
      <c r="P57" t="str">
        <f xml:space="preserve"> IF(OR(ISBLANK(Table1_14[[#This Row],[Registered]]), ISBLANK(Table1_14[[#This Row],[Appeared]]), Table1_14[[#This Row],[Registered]]=0, Table1_14[[#This Row],[Appeared]]=0), "FLAG", "OK")</f>
        <v>OK</v>
      </c>
    </row>
    <row r="58" spans="1:16"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c r="L58" t="str">
        <f>IF(Table1_14[[#This Row],[Registered]]=0, "ABSENT", IF(Table1_14[[#This Row],[Appearance Rate]]&lt;0.98, "LOW_RATE", IF(AND(Table1_14[[#This Row],[Appearance Rate]]=1, Table1_14[[#This Row],[Registered]]&lt;100), "SUSPICIOUS_PERFECTION", "NORMAL")))</f>
        <v>NORMAL</v>
      </c>
      <c r="M58" s="7">
        <f>Table1_14[[#This Row],[Registered]]/SUM(Table1_14[Registered])</f>
        <v>7.0891572729541008E-5</v>
      </c>
      <c r="N58" t="str">
        <f xml:space="preserve"> IF(OR(Table1_14[[#This Row],[Appearance Rate]]&lt;0, Table1_14[[#This Row],[Appearance Rate]]&gt;1), "FLAG", "OK")</f>
        <v>OK</v>
      </c>
      <c r="O58" t="str">
        <f xml:space="preserve"> IF(Table1_14[[#This Row],[Appeared]]&gt;Table1_14[[#This Row],[Registered]], "FLAG", "OK")</f>
        <v>OK</v>
      </c>
      <c r="P58" t="str">
        <f xml:space="preserve"> IF(OR(ISBLANK(Table1_14[[#This Row],[Registered]]), ISBLANK(Table1_14[[#This Row],[Appeared]]), Table1_14[[#This Row],[Registered]]=0, Table1_14[[#This Row],[Appeared]]=0), "FLAG", "OK")</f>
        <v>OK</v>
      </c>
    </row>
    <row r="59" spans="1:16"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c r="L59" t="str">
        <f>IF(Table1_14[[#This Row],[Registered]]=0, "ABSENT", IF(Table1_14[[#This Row],[Appearance Rate]]&lt;0.98, "LOW_RATE", IF(AND(Table1_14[[#This Row],[Appearance Rate]]=1, Table1_14[[#This Row],[Registered]]&lt;100), "SUSPICIOUS_PERFECTION", "NORMAL")))</f>
        <v>NORMAL</v>
      </c>
      <c r="M59" s="7">
        <f>Table1_14[[#This Row],[Registered]]/SUM(Table1_14[Registered])</f>
        <v>1.4434080220069681E-2</v>
      </c>
      <c r="N59" t="str">
        <f xml:space="preserve"> IF(OR(Table1_14[[#This Row],[Appearance Rate]]&lt;0, Table1_14[[#This Row],[Appearance Rate]]&gt;1), "FLAG", "OK")</f>
        <v>OK</v>
      </c>
      <c r="O59" t="str">
        <f xml:space="preserve"> IF(Table1_14[[#This Row],[Appeared]]&gt;Table1_14[[#This Row],[Registered]], "FLAG", "OK")</f>
        <v>OK</v>
      </c>
      <c r="P59" t="str">
        <f xml:space="preserve"> IF(OR(ISBLANK(Table1_14[[#This Row],[Registered]]), ISBLANK(Table1_14[[#This Row],[Appeared]]), Table1_14[[#This Row],[Registered]]=0, Table1_14[[#This Row],[Appeared]]=0), "FLAG", "OK")</f>
        <v>OK</v>
      </c>
    </row>
    <row r="60" spans="1:16"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c r="L60" t="str">
        <f>IF(Table1_14[[#This Row],[Registered]]=0, "ABSENT", IF(Table1_14[[#This Row],[Appearance Rate]]&lt;0.98, "LOW_RATE", IF(AND(Table1_14[[#This Row],[Appearance Rate]]=1, Table1_14[[#This Row],[Registered]]&lt;100), "SUSPICIOUS_PERFECTION", "NORMAL")))</f>
        <v>NORMAL</v>
      </c>
      <c r="M60" s="7">
        <f>Table1_14[[#This Row],[Registered]]/SUM(Table1_14[Registered])</f>
        <v>3.1525899402078234E-3</v>
      </c>
      <c r="N60" t="str">
        <f xml:space="preserve"> IF(OR(Table1_14[[#This Row],[Appearance Rate]]&lt;0, Table1_14[[#This Row],[Appearance Rate]]&gt;1), "FLAG", "OK")</f>
        <v>OK</v>
      </c>
      <c r="O60" t="str">
        <f xml:space="preserve"> IF(Table1_14[[#This Row],[Appeared]]&gt;Table1_14[[#This Row],[Registered]], "FLAG", "OK")</f>
        <v>OK</v>
      </c>
      <c r="P60" t="str">
        <f xml:space="preserve"> IF(OR(ISBLANK(Table1_14[[#This Row],[Registered]]), ISBLANK(Table1_14[[#This Row],[Appeared]]), Table1_14[[#This Row],[Registered]]=0, Table1_14[[#This Row],[Appeared]]=0), "FLAG", "OK")</f>
        <v>OK</v>
      </c>
    </row>
    <row r="61" spans="1:16"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c r="L61" t="str">
        <f>IF(Table1_14[[#This Row],[Registered]]=0, "ABSENT", IF(Table1_14[[#This Row],[Appearance Rate]]&lt;0.98, "LOW_RATE", IF(AND(Table1_14[[#This Row],[Appearance Rate]]=1, Table1_14[[#This Row],[Registered]]&lt;100), "SUSPICIOUS_PERFECTION", "NORMAL")))</f>
        <v>NORMAL</v>
      </c>
      <c r="M61" s="7">
        <f>Table1_14[[#This Row],[Registered]]/SUM(Table1_14[Registered])</f>
        <v>4.2194386082455241E-3</v>
      </c>
      <c r="N61" t="str">
        <f xml:space="preserve"> IF(OR(Table1_14[[#This Row],[Appearance Rate]]&lt;0, Table1_14[[#This Row],[Appearance Rate]]&gt;1), "FLAG", "OK")</f>
        <v>OK</v>
      </c>
      <c r="O61" t="str">
        <f xml:space="preserve"> IF(Table1_14[[#This Row],[Appeared]]&gt;Table1_14[[#This Row],[Registered]], "FLAG", "OK")</f>
        <v>OK</v>
      </c>
      <c r="P61" t="str">
        <f xml:space="preserve"> IF(OR(ISBLANK(Table1_14[[#This Row],[Registered]]), ISBLANK(Table1_14[[#This Row],[Appeared]]), Table1_14[[#This Row],[Registered]]=0, Table1_14[[#This Row],[Appeared]]=0), "FLAG", "OK")</f>
        <v>OK</v>
      </c>
    </row>
    <row r="62" spans="1:16"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c r="L62" t="str">
        <f>IF(Table1_14[[#This Row],[Registered]]=0, "ABSENT", IF(Table1_14[[#This Row],[Appearance Rate]]&lt;0.98, "LOW_RATE", IF(AND(Table1_14[[#This Row],[Appearance Rate]]=1, Table1_14[[#This Row],[Registered]]&lt;100), "SUSPICIOUS_PERFECTION", "NORMAL")))</f>
        <v>ABSENT</v>
      </c>
      <c r="M62" s="7">
        <f>Table1_14[[#This Row],[Registered]]/SUM(Table1_14[Registered])</f>
        <v>0</v>
      </c>
      <c r="N62" t="str">
        <f xml:space="preserve"> IF(OR(Table1_14[[#This Row],[Appearance Rate]]&lt;0, Table1_14[[#This Row],[Appearance Rate]]&gt;1), "FLAG", "OK")</f>
        <v>OK</v>
      </c>
      <c r="O62" t="str">
        <f xml:space="preserve"> IF(Table1_14[[#This Row],[Appeared]]&gt;Table1_14[[#This Row],[Registered]], "FLAG", "OK")</f>
        <v>OK</v>
      </c>
      <c r="P62" t="str">
        <f xml:space="preserve"> IF(OR(ISBLANK(Table1_14[[#This Row],[Registered]]), ISBLANK(Table1_14[[#This Row],[Appeared]]), Table1_14[[#This Row],[Registered]]=0, Table1_14[[#This Row],[Appeared]]=0), "FLAG", "OK")</f>
        <v>FLAG</v>
      </c>
    </row>
    <row r="63" spans="1:16"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c r="L63" t="str">
        <f>IF(Table1_14[[#This Row],[Registered]]=0, "ABSENT", IF(Table1_14[[#This Row],[Appearance Rate]]&lt;0.98, "LOW_RATE", IF(AND(Table1_14[[#This Row],[Appearance Rate]]=1, Table1_14[[#This Row],[Registered]]&lt;100), "SUSPICIOUS_PERFECTION", "NORMAL")))</f>
        <v>LOW_RATE</v>
      </c>
      <c r="M63" s="7">
        <f>Table1_14[[#This Row],[Registered]]/SUM(Table1_14[Registered])</f>
        <v>1.9321428645894509E-4</v>
      </c>
      <c r="N63" t="str">
        <f xml:space="preserve"> IF(OR(Table1_14[[#This Row],[Appearance Rate]]&lt;0, Table1_14[[#This Row],[Appearance Rate]]&gt;1), "FLAG", "OK")</f>
        <v>OK</v>
      </c>
      <c r="O63" t="str">
        <f xml:space="preserve"> IF(Table1_14[[#This Row],[Appeared]]&gt;Table1_14[[#This Row],[Registered]], "FLAG", "OK")</f>
        <v>OK</v>
      </c>
      <c r="P63" t="str">
        <f xml:space="preserve"> IF(OR(ISBLANK(Table1_14[[#This Row],[Registered]]), ISBLANK(Table1_14[[#This Row],[Appeared]]), Table1_14[[#This Row],[Registered]]=0, Table1_14[[#This Row],[Appeared]]=0), "FLAG", "OK")</f>
        <v>OK</v>
      </c>
    </row>
    <row r="64" spans="1:16"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c r="L64" t="str">
        <f>IF(Table1_14[[#This Row],[Registered]]=0, "ABSENT", IF(Table1_14[[#This Row],[Appearance Rate]]&lt;0.98, "LOW_RATE", IF(AND(Table1_14[[#This Row],[Appearance Rate]]=1, Table1_14[[#This Row],[Registered]]&lt;100), "SUSPICIOUS_PERFECTION", "NORMAL")))</f>
        <v>NORMAL</v>
      </c>
      <c r="M64" s="7">
        <f>Table1_14[[#This Row],[Registered]]/SUM(Table1_14[Registered])</f>
        <v>6.4010920082262029E-4</v>
      </c>
      <c r="N64" t="str">
        <f xml:space="preserve"> IF(OR(Table1_14[[#This Row],[Appearance Rate]]&lt;0, Table1_14[[#This Row],[Appearance Rate]]&gt;1), "FLAG", "OK")</f>
        <v>OK</v>
      </c>
      <c r="O64" t="str">
        <f xml:space="preserve"> IF(Table1_14[[#This Row],[Appeared]]&gt;Table1_14[[#This Row],[Registered]], "FLAG", "OK")</f>
        <v>OK</v>
      </c>
      <c r="P64" t="str">
        <f xml:space="preserve"> IF(OR(ISBLANK(Table1_14[[#This Row],[Registered]]), ISBLANK(Table1_14[[#This Row],[Appeared]]), Table1_14[[#This Row],[Registered]]=0, Table1_14[[#This Row],[Appeared]]=0), "FLAG", "OK")</f>
        <v>OK</v>
      </c>
    </row>
    <row r="65" spans="1:16"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c r="L65" t="str">
        <f>IF(Table1_14[[#This Row],[Registered]]=0, "ABSENT", IF(Table1_14[[#This Row],[Appearance Rate]]&lt;0.98, "LOW_RATE", IF(AND(Table1_14[[#This Row],[Appearance Rate]]=1, Table1_14[[#This Row],[Registered]]&lt;100), "SUSPICIOUS_PERFECTION", "NORMAL")))</f>
        <v>NORMAL</v>
      </c>
      <c r="M65" s="7">
        <f>Table1_14[[#This Row],[Registered]]/SUM(Table1_14[Registered])</f>
        <v>6.9979712499921812E-2</v>
      </c>
      <c r="N65" t="str">
        <f xml:space="preserve"> IF(OR(Table1_14[[#This Row],[Appearance Rate]]&lt;0, Table1_14[[#This Row],[Appearance Rate]]&gt;1), "FLAG", "OK")</f>
        <v>OK</v>
      </c>
      <c r="O65" t="str">
        <f xml:space="preserve"> IF(Table1_14[[#This Row],[Appeared]]&gt;Table1_14[[#This Row],[Registered]], "FLAG", "OK")</f>
        <v>OK</v>
      </c>
      <c r="P65" t="str">
        <f xml:space="preserve"> IF(OR(ISBLANK(Table1_14[[#This Row],[Registered]]), ISBLANK(Table1_14[[#This Row],[Appeared]]), Table1_14[[#This Row],[Registered]]=0, Table1_14[[#This Row],[Appeared]]=0), "FLAG", "OK")</f>
        <v>OK</v>
      </c>
    </row>
    <row r="66" spans="1:16"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c r="L66" t="str">
        <f>IF(Table1_14[[#This Row],[Registered]]=0, "ABSENT", IF(Table1_14[[#This Row],[Appearance Rate]]&lt;0.98, "LOW_RATE", IF(AND(Table1_14[[#This Row],[Appearance Rate]]=1, Table1_14[[#This Row],[Registered]]&lt;100), "SUSPICIOUS_PERFECTION", "NORMAL")))</f>
        <v>NORMAL</v>
      </c>
      <c r="M66" s="7">
        <f>Table1_14[[#This Row],[Registered]]/SUM(Table1_14[Registered])</f>
        <v>7.4297148282234638E-4</v>
      </c>
      <c r="N66" t="str">
        <f xml:space="preserve"> IF(OR(Table1_14[[#This Row],[Appearance Rate]]&lt;0, Table1_14[[#This Row],[Appearance Rate]]&gt;1), "FLAG", "OK")</f>
        <v>OK</v>
      </c>
      <c r="O66" t="str">
        <f xml:space="preserve"> IF(Table1_14[[#This Row],[Appeared]]&gt;Table1_14[[#This Row],[Registered]], "FLAG", "OK")</f>
        <v>OK</v>
      </c>
      <c r="P66" t="str">
        <f xml:space="preserve"> IF(OR(ISBLANK(Table1_14[[#This Row],[Registered]]), ISBLANK(Table1_14[[#This Row],[Appeared]]), Table1_14[[#This Row],[Registered]]=0, Table1_14[[#This Row],[Appeared]]=0), "FLAG", "OK")</f>
        <v>OK</v>
      </c>
    </row>
    <row r="67" spans="1:16"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c r="L67" t="str">
        <f>IF(Table1_14[[#This Row],[Registered]]=0, "ABSENT", IF(Table1_14[[#This Row],[Appearance Rate]]&lt;0.98, "LOW_RATE", IF(AND(Table1_14[[#This Row],[Appearance Rate]]=1, Table1_14[[#This Row],[Registered]]&lt;100), "SUSPICIOUS_PERFECTION", "NORMAL")))</f>
        <v>NORMAL</v>
      </c>
      <c r="M67" s="7">
        <f>Table1_14[[#This Row],[Registered]]/SUM(Table1_14[Registered])</f>
        <v>3.1136690767484677E-3</v>
      </c>
      <c r="N67" t="str">
        <f xml:space="preserve"> IF(OR(Table1_14[[#This Row],[Appearance Rate]]&lt;0, Table1_14[[#This Row],[Appearance Rate]]&gt;1), "FLAG", "OK")</f>
        <v>OK</v>
      </c>
      <c r="O67" t="str">
        <f xml:space="preserve"> IF(Table1_14[[#This Row],[Appeared]]&gt;Table1_14[[#This Row],[Registered]], "FLAG", "OK")</f>
        <v>OK</v>
      </c>
      <c r="P67" t="str">
        <f xml:space="preserve"> IF(OR(ISBLANK(Table1_14[[#This Row],[Registered]]), ISBLANK(Table1_14[[#This Row],[Appeared]]), Table1_14[[#This Row],[Registered]]=0, Table1_14[[#This Row],[Appeared]]=0), "FLAG", "OK")</f>
        <v>OK</v>
      </c>
    </row>
    <row r="68" spans="1:16"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c r="L68" t="str">
        <f>IF(Table1_14[[#This Row],[Registered]]=0, "ABSENT", IF(Table1_14[[#This Row],[Appearance Rate]]&lt;0.98, "LOW_RATE", IF(AND(Table1_14[[#This Row],[Appearance Rate]]=1, Table1_14[[#This Row],[Registered]]&lt;100), "SUSPICIOUS_PERFECTION", "NORMAL")))</f>
        <v>SUSPICIOUS_PERFECTION</v>
      </c>
      <c r="M68" s="7">
        <f>Table1_14[[#This Row],[Registered]]/SUM(Table1_14[Registered])</f>
        <v>2.6410585918848608E-5</v>
      </c>
      <c r="N68" t="str">
        <f xml:space="preserve"> IF(OR(Table1_14[[#This Row],[Appearance Rate]]&lt;0, Table1_14[[#This Row],[Appearance Rate]]&gt;1), "FLAG", "OK")</f>
        <v>OK</v>
      </c>
      <c r="O68" t="str">
        <f xml:space="preserve"> IF(Table1_14[[#This Row],[Appeared]]&gt;Table1_14[[#This Row],[Registered]], "FLAG", "OK")</f>
        <v>OK</v>
      </c>
      <c r="P68" t="str">
        <f xml:space="preserve"> IF(OR(ISBLANK(Table1_14[[#This Row],[Registered]]), ISBLANK(Table1_14[[#This Row],[Appeared]]), Table1_14[[#This Row],[Registered]]=0, Table1_14[[#This Row],[Appeared]]=0), "FLAG", "OK")</f>
        <v>OK</v>
      </c>
    </row>
    <row r="69" spans="1:16"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c r="L69" t="str">
        <f>IF(Table1_14[[#This Row],[Registered]]=0, "ABSENT", IF(Table1_14[[#This Row],[Appearance Rate]]&lt;0.98, "LOW_RATE", IF(AND(Table1_14[[#This Row],[Appearance Rate]]=1, Table1_14[[#This Row],[Registered]]&lt;100), "SUSPICIOUS_PERFECTION", "NORMAL")))</f>
        <v>NORMAL</v>
      </c>
      <c r="M69" s="7">
        <f>Table1_14[[#This Row],[Registered]]/SUM(Table1_14[Registered])</f>
        <v>2.4812050455339353E-4</v>
      </c>
      <c r="N69" t="str">
        <f xml:space="preserve"> IF(OR(Table1_14[[#This Row],[Appearance Rate]]&lt;0, Table1_14[[#This Row],[Appearance Rate]]&gt;1), "FLAG", "OK")</f>
        <v>OK</v>
      </c>
      <c r="O69" t="str">
        <f xml:space="preserve"> IF(Table1_14[[#This Row],[Appeared]]&gt;Table1_14[[#This Row],[Registered]], "FLAG", "OK")</f>
        <v>OK</v>
      </c>
      <c r="P69" t="str">
        <f xml:space="preserve"> IF(OR(ISBLANK(Table1_14[[#This Row],[Registered]]), ISBLANK(Table1_14[[#This Row],[Appeared]]), Table1_14[[#This Row],[Registered]]=0, Table1_14[[#This Row],[Appeared]]=0), "FLAG", "OK")</f>
        <v>OK</v>
      </c>
    </row>
    <row r="70" spans="1:16"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c r="L70" t="str">
        <f>IF(Table1_14[[#This Row],[Registered]]=0, "ABSENT", IF(Table1_14[[#This Row],[Appearance Rate]]&lt;0.98, "LOW_RATE", IF(AND(Table1_14[[#This Row],[Appearance Rate]]=1, Table1_14[[#This Row],[Registered]]&lt;100), "SUSPICIOUS_PERFECTION", "NORMAL")))</f>
        <v>ABSENT</v>
      </c>
      <c r="M70" s="7">
        <f>Table1_14[[#This Row],[Registered]]/SUM(Table1_14[Registered])</f>
        <v>0</v>
      </c>
      <c r="N70" t="str">
        <f xml:space="preserve"> IF(OR(Table1_14[[#This Row],[Appearance Rate]]&lt;0, Table1_14[[#This Row],[Appearance Rate]]&gt;1), "FLAG", "OK")</f>
        <v>OK</v>
      </c>
      <c r="O70" t="str">
        <f xml:space="preserve"> IF(Table1_14[[#This Row],[Appeared]]&gt;Table1_14[[#This Row],[Registered]], "FLAG", "OK")</f>
        <v>OK</v>
      </c>
      <c r="P70" t="str">
        <f xml:space="preserve"> IF(OR(ISBLANK(Table1_14[[#This Row],[Registered]]), ISBLANK(Table1_14[[#This Row],[Appeared]]), Table1_14[[#This Row],[Registered]]=0, Table1_14[[#This Row],[Appeared]]=0), "FLAG", "OK")</f>
        <v>FLAG</v>
      </c>
    </row>
    <row r="71" spans="1:16"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c r="L71" t="str">
        <f>IF(Table1_14[[#This Row],[Registered]]=0, "ABSENT", IF(Table1_14[[#This Row],[Appearance Rate]]&lt;0.98, "LOW_RATE", IF(AND(Table1_14[[#This Row],[Appearance Rate]]=1, Table1_14[[#This Row],[Registered]]&lt;100), "SUSPICIOUS_PERFECTION", "NORMAL")))</f>
        <v>NORMAL</v>
      </c>
      <c r="M71" s="7">
        <f>Table1_14[[#This Row],[Registered]]/SUM(Table1_14[Registered])</f>
        <v>8.248095483998312E-2</v>
      </c>
      <c r="N71" t="str">
        <f xml:space="preserve"> IF(OR(Table1_14[[#This Row],[Appearance Rate]]&lt;0, Table1_14[[#This Row],[Appearance Rate]]&gt;1), "FLAG", "OK")</f>
        <v>OK</v>
      </c>
      <c r="O71" t="str">
        <f xml:space="preserve"> IF(Table1_14[[#This Row],[Appeared]]&gt;Table1_14[[#This Row],[Registered]], "FLAG", "OK")</f>
        <v>OK</v>
      </c>
      <c r="P71" t="str">
        <f xml:space="preserve"> IF(OR(ISBLANK(Table1_14[[#This Row],[Registered]]), ISBLANK(Table1_14[[#This Row],[Appeared]]), Table1_14[[#This Row],[Registered]]=0, Table1_14[[#This Row],[Appeared]]=0), "FLAG", "OK")</f>
        <v>OK</v>
      </c>
    </row>
    <row r="72" spans="1:16"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c r="L72" t="str">
        <f>IF(Table1_14[[#This Row],[Registered]]=0, "ABSENT", IF(Table1_14[[#This Row],[Appearance Rate]]&lt;0.98, "LOW_RATE", IF(AND(Table1_14[[#This Row],[Appearance Rate]]=1, Table1_14[[#This Row],[Registered]]&lt;100), "SUSPICIOUS_PERFECTION", "NORMAL")))</f>
        <v>NORMAL</v>
      </c>
      <c r="M72" s="7">
        <f>Table1_14[[#This Row],[Registered]]/SUM(Table1_14[Registered])</f>
        <v>1.5505793996039802E-3</v>
      </c>
      <c r="N72" t="str">
        <f xml:space="preserve"> IF(OR(Table1_14[[#This Row],[Appearance Rate]]&lt;0, Table1_14[[#This Row],[Appearance Rate]]&gt;1), "FLAG", "OK")</f>
        <v>OK</v>
      </c>
      <c r="O72" t="str">
        <f xml:space="preserve"> IF(Table1_14[[#This Row],[Appeared]]&gt;Table1_14[[#This Row],[Registered]], "FLAG", "OK")</f>
        <v>OK</v>
      </c>
      <c r="P72" t="str">
        <f xml:space="preserve"> IF(OR(ISBLANK(Table1_14[[#This Row],[Registered]]), ISBLANK(Table1_14[[#This Row],[Appeared]]), Table1_14[[#This Row],[Registered]]=0, Table1_14[[#This Row],[Appeared]]=0), "FLAG", "OK")</f>
        <v>OK</v>
      </c>
    </row>
    <row r="73" spans="1:16"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c r="L73" t="str">
        <f>IF(Table1_14[[#This Row],[Registered]]=0, "ABSENT", IF(Table1_14[[#This Row],[Appearance Rate]]&lt;0.98, "LOW_RATE", IF(AND(Table1_14[[#This Row],[Appearance Rate]]=1, Table1_14[[#This Row],[Registered]]&lt;100), "SUSPICIOUS_PERFECTION", "NORMAL")))</f>
        <v>NORMAL</v>
      </c>
      <c r="M73" s="7">
        <f>Table1_14[[#This Row],[Registered]]/SUM(Table1_14[Registered])</f>
        <v>2.5124807393852033E-3</v>
      </c>
      <c r="N73" t="str">
        <f xml:space="preserve"> IF(OR(Table1_14[[#This Row],[Appearance Rate]]&lt;0, Table1_14[[#This Row],[Appearance Rate]]&gt;1), "FLAG", "OK")</f>
        <v>OK</v>
      </c>
      <c r="O73" t="str">
        <f xml:space="preserve"> IF(Table1_14[[#This Row],[Appeared]]&gt;Table1_14[[#This Row],[Registered]], "FLAG", "OK")</f>
        <v>OK</v>
      </c>
      <c r="P73" t="str">
        <f xml:space="preserve"> IF(OR(ISBLANK(Table1_14[[#This Row],[Registered]]), ISBLANK(Table1_14[[#This Row],[Appeared]]), Table1_14[[#This Row],[Registered]]=0, Table1_14[[#This Row],[Appeared]]=0), "FLAG", "OK")</f>
        <v>OK</v>
      </c>
    </row>
    <row r="74" spans="1:16"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c r="L74" t="str">
        <f>IF(Table1_14[[#This Row],[Registered]]=0, "ABSENT", IF(Table1_14[[#This Row],[Appearance Rate]]&lt;0.98, "LOW_RATE", IF(AND(Table1_14[[#This Row],[Appearance Rate]]=1, Table1_14[[#This Row],[Registered]]&lt;100), "SUSPICIOUS_PERFECTION", "NORMAL")))</f>
        <v>ABSENT</v>
      </c>
      <c r="M74" s="7">
        <f>Table1_14[[#This Row],[Registered]]/SUM(Table1_14[Registered])</f>
        <v>0</v>
      </c>
      <c r="N74" t="str">
        <f xml:space="preserve"> IF(OR(Table1_14[[#This Row],[Appearance Rate]]&lt;0, Table1_14[[#This Row],[Appearance Rate]]&gt;1), "FLAG", "OK")</f>
        <v>OK</v>
      </c>
      <c r="O74" t="str">
        <f xml:space="preserve"> IF(Table1_14[[#This Row],[Appeared]]&gt;Table1_14[[#This Row],[Registered]], "FLAG", "OK")</f>
        <v>OK</v>
      </c>
      <c r="P74" t="str">
        <f xml:space="preserve"> IF(OR(ISBLANK(Table1_14[[#This Row],[Registered]]), ISBLANK(Table1_14[[#This Row],[Appeared]]), Table1_14[[#This Row],[Registered]]=0, Table1_14[[#This Row],[Appeared]]=0), "FLAG", "OK")</f>
        <v>FLAG</v>
      </c>
    </row>
    <row r="75" spans="1:16"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c r="L75" t="str">
        <f>IF(Table1_14[[#This Row],[Registered]]=0, "ABSENT", IF(Table1_14[[#This Row],[Appearance Rate]]&lt;0.98, "LOW_RATE", IF(AND(Table1_14[[#This Row],[Appearance Rate]]=1, Table1_14[[#This Row],[Registered]]&lt;100), "SUSPICIOUS_PERFECTION", "NORMAL")))</f>
        <v>NORMAL</v>
      </c>
      <c r="M75" s="7">
        <f>Table1_14[[#This Row],[Registered]]/SUM(Table1_14[Registered])</f>
        <v>5.8381295189033768E-5</v>
      </c>
      <c r="N75" t="str">
        <f xml:space="preserve"> IF(OR(Table1_14[[#This Row],[Appearance Rate]]&lt;0, Table1_14[[#This Row],[Appearance Rate]]&gt;1), "FLAG", "OK")</f>
        <v>OK</v>
      </c>
      <c r="O75" t="str">
        <f xml:space="preserve"> IF(Table1_14[[#This Row],[Appeared]]&gt;Table1_14[[#This Row],[Registered]], "FLAG", "OK")</f>
        <v>OK</v>
      </c>
      <c r="P75" t="str">
        <f xml:space="preserve"> IF(OR(ISBLANK(Table1_14[[#This Row],[Registered]]), ISBLANK(Table1_14[[#This Row],[Appeared]]), Table1_14[[#This Row],[Registered]]=0, Table1_14[[#This Row],[Appeared]]=0), "FLAG", "OK")</f>
        <v>OK</v>
      </c>
    </row>
    <row r="76" spans="1:16"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c r="L76" t="str">
        <f>IF(Table1_14[[#This Row],[Registered]]=0, "ABSENT", IF(Table1_14[[#This Row],[Appearance Rate]]&lt;0.98, "LOW_RATE", IF(AND(Table1_14[[#This Row],[Appearance Rate]]=1, Table1_14[[#This Row],[Registered]]&lt;100), "SUSPICIOUS_PERFECTION", "NORMAL")))</f>
        <v>ABSENT</v>
      </c>
      <c r="M76" s="7">
        <f>Table1_14[[#This Row],[Registered]]/SUM(Table1_14[Registered])</f>
        <v>0</v>
      </c>
      <c r="N76" t="str">
        <f xml:space="preserve"> IF(OR(Table1_14[[#This Row],[Appearance Rate]]&lt;0, Table1_14[[#This Row],[Appearance Rate]]&gt;1), "FLAG", "OK")</f>
        <v>OK</v>
      </c>
      <c r="O76" t="str">
        <f xml:space="preserve"> IF(Table1_14[[#This Row],[Appeared]]&gt;Table1_14[[#This Row],[Registered]], "FLAG", "OK")</f>
        <v>OK</v>
      </c>
      <c r="P76" t="str">
        <f xml:space="preserve"> IF(OR(ISBLANK(Table1_14[[#This Row],[Registered]]), ISBLANK(Table1_14[[#This Row],[Appeared]]), Table1_14[[#This Row],[Registered]]=0, Table1_14[[#This Row],[Appeared]]=0), "FLAG", "OK")</f>
        <v>FLAG</v>
      </c>
    </row>
    <row r="77" spans="1:16"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c r="L77" t="str">
        <f>IF(Table1_14[[#This Row],[Registered]]=0, "ABSENT", IF(Table1_14[[#This Row],[Appearance Rate]]&lt;0.98, "LOW_RATE", IF(AND(Table1_14[[#This Row],[Appearance Rate]]=1, Table1_14[[#This Row],[Registered]]&lt;100), "SUSPICIOUS_PERFECTION", "NORMAL")))</f>
        <v>NORMAL</v>
      </c>
      <c r="M77" s="7">
        <f>Table1_14[[#This Row],[Registered]]/SUM(Table1_14[Registered])</f>
        <v>5.887892622897839E-2</v>
      </c>
      <c r="N77" t="str">
        <f xml:space="preserve"> IF(OR(Table1_14[[#This Row],[Appearance Rate]]&lt;0, Table1_14[[#This Row],[Appearance Rate]]&gt;1), "FLAG", "OK")</f>
        <v>OK</v>
      </c>
      <c r="O77" t="str">
        <f xml:space="preserve"> IF(Table1_14[[#This Row],[Appeared]]&gt;Table1_14[[#This Row],[Registered]], "FLAG", "OK")</f>
        <v>OK</v>
      </c>
      <c r="P77" t="str">
        <f xml:space="preserve"> IF(OR(ISBLANK(Table1_14[[#This Row],[Registered]]), ISBLANK(Table1_14[[#This Row],[Appeared]]), Table1_14[[#This Row],[Registered]]=0, Table1_14[[#This Row],[Appeared]]=0), "FLAG", "OK")</f>
        <v>OK</v>
      </c>
    </row>
    <row r="78" spans="1:16"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c r="L78" t="str">
        <f>IF(Table1_14[[#This Row],[Registered]]=0, "ABSENT", IF(Table1_14[[#This Row],[Appearance Rate]]&lt;0.98, "LOW_RATE", IF(AND(Table1_14[[#This Row],[Appearance Rate]]=1, Table1_14[[#This Row],[Registered]]&lt;100), "SUSPICIOUS_PERFECTION", "NORMAL")))</f>
        <v>NORMAL</v>
      </c>
      <c r="M78" s="7">
        <f>Table1_14[[#This Row],[Registered]]/SUM(Table1_14[Registered])</f>
        <v>2.581287265857993E-3</v>
      </c>
      <c r="N78" t="str">
        <f xml:space="preserve"> IF(OR(Table1_14[[#This Row],[Appearance Rate]]&lt;0, Table1_14[[#This Row],[Appearance Rate]]&gt;1), "FLAG", "OK")</f>
        <v>OK</v>
      </c>
      <c r="O78" t="str">
        <f xml:space="preserve"> IF(Table1_14[[#This Row],[Appeared]]&gt;Table1_14[[#This Row],[Registered]], "FLAG", "OK")</f>
        <v>OK</v>
      </c>
      <c r="P78" t="str">
        <f xml:space="preserve"> IF(OR(ISBLANK(Table1_14[[#This Row],[Registered]]), ISBLANK(Table1_14[[#This Row],[Appeared]]), Table1_14[[#This Row],[Registered]]=0, Table1_14[[#This Row],[Appeared]]=0), "FLAG", "OK")</f>
        <v>OK</v>
      </c>
    </row>
    <row r="79" spans="1:16"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c r="L79" t="str">
        <f>IF(Table1_14[[#This Row],[Registered]]=0, "ABSENT", IF(Table1_14[[#This Row],[Appearance Rate]]&lt;0.98, "LOW_RATE", IF(AND(Table1_14[[#This Row],[Appearance Rate]]=1, Table1_14[[#This Row],[Registered]]&lt;100), "SUSPICIOUS_PERFECTION", "NORMAL")))</f>
        <v>NORMAL</v>
      </c>
      <c r="M79" s="7">
        <f>Table1_14[[#This Row],[Registered]]/SUM(Table1_14[Registered])</f>
        <v>3.7593384009224243E-3</v>
      </c>
      <c r="N79" t="str">
        <f xml:space="preserve"> IF(OR(Table1_14[[#This Row],[Appearance Rate]]&lt;0, Table1_14[[#This Row],[Appearance Rate]]&gt;1), "FLAG", "OK")</f>
        <v>OK</v>
      </c>
      <c r="O79" t="str">
        <f xml:space="preserve"> IF(Table1_14[[#This Row],[Appeared]]&gt;Table1_14[[#This Row],[Registered]], "FLAG", "OK")</f>
        <v>OK</v>
      </c>
      <c r="P79" t="str">
        <f xml:space="preserve"> IF(OR(ISBLANK(Table1_14[[#This Row],[Registered]]), ISBLANK(Table1_14[[#This Row],[Appeared]]), Table1_14[[#This Row],[Registered]]=0, Table1_14[[#This Row],[Appeared]]=0), "FLAG", "OK")</f>
        <v>OK</v>
      </c>
    </row>
    <row r="80" spans="1:16"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c r="L80" t="str">
        <f>IF(Table1_14[[#This Row],[Registered]]=0, "ABSENT", IF(Table1_14[[#This Row],[Appearance Rate]]&lt;0.98, "LOW_RATE", IF(AND(Table1_14[[#This Row],[Appearance Rate]]=1, Table1_14[[#This Row],[Registered]]&lt;100), "SUSPICIOUS_PERFECTION", "NORMAL")))</f>
        <v>ABSENT</v>
      </c>
      <c r="M80" s="7">
        <f>Table1_14[[#This Row],[Registered]]/SUM(Table1_14[Registered])</f>
        <v>0</v>
      </c>
      <c r="N80" t="str">
        <f xml:space="preserve"> IF(OR(Table1_14[[#This Row],[Appearance Rate]]&lt;0, Table1_14[[#This Row],[Appearance Rate]]&gt;1), "FLAG", "OK")</f>
        <v>OK</v>
      </c>
      <c r="O80" t="str">
        <f xml:space="preserve"> IF(Table1_14[[#This Row],[Appeared]]&gt;Table1_14[[#This Row],[Registered]], "FLAG", "OK")</f>
        <v>OK</v>
      </c>
      <c r="P80" t="str">
        <f xml:space="preserve"> IF(OR(ISBLANK(Table1_14[[#This Row],[Registered]]), ISBLANK(Table1_14[[#This Row],[Appeared]]), Table1_14[[#This Row],[Registered]]=0, Table1_14[[#This Row],[Appeared]]=0), "FLAG", "OK")</f>
        <v>FLAG</v>
      </c>
    </row>
    <row r="81" spans="1:16"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c r="L81" t="str">
        <f>IF(Table1_14[[#This Row],[Registered]]=0, "ABSENT", IF(Table1_14[[#This Row],[Appearance Rate]]&lt;0.98, "LOW_RATE", IF(AND(Table1_14[[#This Row],[Appearance Rate]]=1, Table1_14[[#This Row],[Registered]]&lt;100), "SUSPICIOUS_PERFECTION", "NORMAL")))</f>
        <v>LOW_RATE</v>
      </c>
      <c r="M81" s="7">
        <f>Table1_14[[#This Row],[Registered]]/SUM(Table1_14[Registered])</f>
        <v>9.2854059967320372E-4</v>
      </c>
      <c r="N81" t="str">
        <f xml:space="preserve"> IF(OR(Table1_14[[#This Row],[Appearance Rate]]&lt;0, Table1_14[[#This Row],[Appearance Rate]]&gt;1), "FLAG", "OK")</f>
        <v>OK</v>
      </c>
      <c r="O81" t="str">
        <f xml:space="preserve"> IF(Table1_14[[#This Row],[Appeared]]&gt;Table1_14[[#This Row],[Registered]], "FLAG", "OK")</f>
        <v>OK</v>
      </c>
      <c r="P81" t="str">
        <f xml:space="preserve"> IF(OR(ISBLANK(Table1_14[[#This Row],[Registered]]), ISBLANK(Table1_14[[#This Row],[Appeared]]), Table1_14[[#This Row],[Registered]]=0, Table1_14[[#This Row],[Appeared]]=0), "FLAG", "OK")</f>
        <v>OK</v>
      </c>
    </row>
    <row r="82" spans="1:16"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c r="L82" t="str">
        <f>IF(Table1_14[[#This Row],[Registered]]=0, "ABSENT", IF(Table1_14[[#This Row],[Appearance Rate]]&lt;0.98, "LOW_RATE", IF(AND(Table1_14[[#This Row],[Appearance Rate]]=1, Table1_14[[#This Row],[Registered]]&lt;100), "SUSPICIOUS_PERFECTION", "NORMAL")))</f>
        <v>ABSENT</v>
      </c>
      <c r="M82" s="7">
        <f>Table1_14[[#This Row],[Registered]]/SUM(Table1_14[Registered])</f>
        <v>0</v>
      </c>
      <c r="N82" t="str">
        <f xml:space="preserve"> IF(OR(Table1_14[[#This Row],[Appearance Rate]]&lt;0, Table1_14[[#This Row],[Appearance Rate]]&gt;1), "FLAG", "OK")</f>
        <v>OK</v>
      </c>
      <c r="O82" t="str">
        <f xml:space="preserve"> IF(Table1_14[[#This Row],[Appeared]]&gt;Table1_14[[#This Row],[Registered]], "FLAG", "OK")</f>
        <v>OK</v>
      </c>
      <c r="P82" t="str">
        <f xml:space="preserve"> IF(OR(ISBLANK(Table1_14[[#This Row],[Registered]]), ISBLANK(Table1_14[[#This Row],[Appeared]]), Table1_14[[#This Row],[Registered]]=0, Table1_14[[#This Row],[Appeared]]=0), "FLAG", "OK")</f>
        <v>FLAG</v>
      </c>
    </row>
    <row r="83" spans="1:16"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c r="L83" t="str">
        <f>IF(Table1_14[[#This Row],[Registered]]=0, "ABSENT", IF(Table1_14[[#This Row],[Appearance Rate]]&lt;0.98, "LOW_RATE", IF(AND(Table1_14[[#This Row],[Appearance Rate]]=1, Table1_14[[#This Row],[Registered]]&lt;100), "SUSPICIOUS_PERFECTION", "NORMAL")))</f>
        <v>NORMAL</v>
      </c>
      <c r="M83" s="7">
        <f>Table1_14[[#This Row],[Registered]]/SUM(Table1_14[Registered])</f>
        <v>9.1553686118526545E-2</v>
      </c>
      <c r="N83" t="str">
        <f xml:space="preserve"> IF(OR(Table1_14[[#This Row],[Appearance Rate]]&lt;0, Table1_14[[#This Row],[Appearance Rate]]&gt;1), "FLAG", "OK")</f>
        <v>OK</v>
      </c>
      <c r="O83" t="str">
        <f xml:space="preserve"> IF(Table1_14[[#This Row],[Appeared]]&gt;Table1_14[[#This Row],[Registered]], "FLAG", "OK")</f>
        <v>OK</v>
      </c>
      <c r="P83" t="str">
        <f xml:space="preserve"> IF(OR(ISBLANK(Table1_14[[#This Row],[Registered]]), ISBLANK(Table1_14[[#This Row],[Appeared]]), Table1_14[[#This Row],[Registered]]=0, Table1_14[[#This Row],[Appeared]]=0), "FLAG", "OK")</f>
        <v>OK</v>
      </c>
    </row>
    <row r="84" spans="1:16"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c r="L84" t="str">
        <f>IF(Table1_14[[#This Row],[Registered]]=0, "ABSENT", IF(Table1_14[[#This Row],[Appearance Rate]]&lt;0.98, "LOW_RATE", IF(AND(Table1_14[[#This Row],[Appearance Rate]]=1, Table1_14[[#This Row],[Registered]]&lt;100), "SUSPICIOUS_PERFECTION", "NORMAL")))</f>
        <v>NORMAL</v>
      </c>
      <c r="M84" s="7">
        <f>Table1_14[[#This Row],[Registered]]/SUM(Table1_14[Registered])</f>
        <v>2.2129290938319468E-3</v>
      </c>
      <c r="N84" t="str">
        <f xml:space="preserve"> IF(OR(Table1_14[[#This Row],[Appearance Rate]]&lt;0, Table1_14[[#This Row],[Appearance Rate]]&gt;1), "FLAG", "OK")</f>
        <v>OK</v>
      </c>
      <c r="O84" t="str">
        <f xml:space="preserve"> IF(Table1_14[[#This Row],[Appeared]]&gt;Table1_14[[#This Row],[Registered]], "FLAG", "OK")</f>
        <v>OK</v>
      </c>
      <c r="P84" t="str">
        <f xml:space="preserve"> IF(OR(ISBLANK(Table1_14[[#This Row],[Registered]]), ISBLANK(Table1_14[[#This Row],[Appeared]]), Table1_14[[#This Row],[Registered]]=0, Table1_14[[#This Row],[Appeared]]=0), "FLAG", "OK")</f>
        <v>OK</v>
      </c>
    </row>
    <row r="85" spans="1:16"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c r="L85" t="str">
        <f>IF(Table1_14[[#This Row],[Registered]]=0, "ABSENT", IF(Table1_14[[#This Row],[Appearance Rate]]&lt;0.98, "LOW_RATE", IF(AND(Table1_14[[#This Row],[Appearance Rate]]=1, Table1_14[[#This Row],[Registered]]&lt;100), "SUSPICIOUS_PERFECTION", "NORMAL")))</f>
        <v>NORMAL</v>
      </c>
      <c r="M85" s="7">
        <f>Table1_14[[#This Row],[Registered]]/SUM(Table1_14[Registered])</f>
        <v>6.0327338362001562E-3</v>
      </c>
      <c r="N85" t="str">
        <f xml:space="preserve"> IF(OR(Table1_14[[#This Row],[Appearance Rate]]&lt;0, Table1_14[[#This Row],[Appearance Rate]]&gt;1), "FLAG", "OK")</f>
        <v>OK</v>
      </c>
      <c r="O85" t="str">
        <f xml:space="preserve"> IF(Table1_14[[#This Row],[Appeared]]&gt;Table1_14[[#This Row],[Registered]], "FLAG", "OK")</f>
        <v>OK</v>
      </c>
      <c r="P85" t="str">
        <f xml:space="preserve"> IF(OR(ISBLANK(Table1_14[[#This Row],[Registered]]), ISBLANK(Table1_14[[#This Row],[Appeared]]), Table1_14[[#This Row],[Registered]]=0, Table1_14[[#This Row],[Appeared]]=0), "FLAG", "OK")</f>
        <v>OK</v>
      </c>
    </row>
    <row r="86" spans="1:16"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c r="L86" t="str">
        <f>IF(Table1_14[[#This Row],[Registered]]=0, "ABSENT", IF(Table1_14[[#This Row],[Appearance Rate]]&lt;0.98, "LOW_RATE", IF(AND(Table1_14[[#This Row],[Appearance Rate]]=1, Table1_14[[#This Row],[Registered]]&lt;100), "SUSPICIOUS_PERFECTION", "NORMAL")))</f>
        <v>ABSENT</v>
      </c>
      <c r="M86" s="7">
        <f>Table1_14[[#This Row],[Registered]]/SUM(Table1_14[Registered])</f>
        <v>0</v>
      </c>
      <c r="N86" t="str">
        <f xml:space="preserve"> IF(OR(Table1_14[[#This Row],[Appearance Rate]]&lt;0, Table1_14[[#This Row],[Appearance Rate]]&gt;1), "FLAG", "OK")</f>
        <v>OK</v>
      </c>
      <c r="O86" t="str">
        <f xml:space="preserve"> IF(Table1_14[[#This Row],[Appeared]]&gt;Table1_14[[#This Row],[Registered]], "FLAG", "OK")</f>
        <v>OK</v>
      </c>
      <c r="P86" t="str">
        <f xml:space="preserve"> IF(OR(ISBLANK(Table1_14[[#This Row],[Registered]]), ISBLANK(Table1_14[[#This Row],[Appeared]]), Table1_14[[#This Row],[Registered]]=0, Table1_14[[#This Row],[Appeared]]=0), "FLAG", "OK")</f>
        <v>FLAG</v>
      </c>
    </row>
    <row r="87" spans="1:16"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c r="L87" t="str">
        <f>IF(Table1_14[[#This Row],[Registered]]=0, "ABSENT", IF(Table1_14[[#This Row],[Appearance Rate]]&lt;0.98, "LOW_RATE", IF(AND(Table1_14[[#This Row],[Appearance Rate]]=1, Table1_14[[#This Row],[Registered]]&lt;100), "SUSPICIOUS_PERFECTION", "NORMAL")))</f>
        <v>NORMAL</v>
      </c>
      <c r="M87" s="7">
        <f>Table1_14[[#This Row],[Registered]]/SUM(Table1_14[Registered])</f>
        <v>1.0668486680377005E-3</v>
      </c>
      <c r="N87" t="str">
        <f xml:space="preserve"> IF(OR(Table1_14[[#This Row],[Appearance Rate]]&lt;0, Table1_14[[#This Row],[Appearance Rate]]&gt;1), "FLAG", "OK")</f>
        <v>OK</v>
      </c>
      <c r="O87" t="str">
        <f xml:space="preserve"> IF(Table1_14[[#This Row],[Appeared]]&gt;Table1_14[[#This Row],[Registered]], "FLAG", "OK")</f>
        <v>OK</v>
      </c>
      <c r="P87" t="str">
        <f xml:space="preserve"> IF(OR(ISBLANK(Table1_14[[#This Row],[Registered]]), ISBLANK(Table1_14[[#This Row],[Appeared]]), Table1_14[[#This Row],[Registered]]=0, Table1_14[[#This Row],[Appeared]]=0), "FLAG", "OK")</f>
        <v>OK</v>
      </c>
    </row>
    <row r="88" spans="1:16"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c r="L88" t="str">
        <f>IF(Table1_14[[#This Row],[Registered]]=0, "ABSENT", IF(Table1_14[[#This Row],[Appearance Rate]]&lt;0.98, "LOW_RATE", IF(AND(Table1_14[[#This Row],[Appearance Rate]]=1, Table1_14[[#This Row],[Registered]]&lt;100), "SUSPICIOUS_PERFECTION", "NORMAL")))</f>
        <v>ABSENT</v>
      </c>
      <c r="M88" s="7">
        <f>Table1_14[[#This Row],[Registered]]/SUM(Table1_14[Registered])</f>
        <v>0</v>
      </c>
      <c r="N88" t="str">
        <f xml:space="preserve"> IF(OR(Table1_14[[#This Row],[Appearance Rate]]&lt;0, Table1_14[[#This Row],[Appearance Rate]]&gt;1), "FLAG", "OK")</f>
        <v>OK</v>
      </c>
      <c r="O88" t="str">
        <f xml:space="preserve"> IF(Table1_14[[#This Row],[Appeared]]&gt;Table1_14[[#This Row],[Registered]], "FLAG", "OK")</f>
        <v>OK</v>
      </c>
      <c r="P88" t="str">
        <f xml:space="preserve"> IF(OR(ISBLANK(Table1_14[[#This Row],[Registered]]), ISBLANK(Table1_14[[#This Row],[Appeared]]), Table1_14[[#This Row],[Registered]]=0, Table1_14[[#This Row],[Appeared]]=0), "FLAG", "OK")</f>
        <v>FLAG</v>
      </c>
    </row>
    <row r="89" spans="1:16"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c r="L89" t="str">
        <f>IF(Table1_14[[#This Row],[Registered]]=0, "ABSENT", IF(Table1_14[[#This Row],[Appearance Rate]]&lt;0.98, "LOW_RATE", IF(AND(Table1_14[[#This Row],[Appearance Rate]]=1, Table1_14[[#This Row],[Registered]]&lt;100), "SUSPICIOUS_PERFECTION", "NORMAL")))</f>
        <v>NORMAL</v>
      </c>
      <c r="M89" s="7">
        <f>Table1_14[[#This Row],[Registered]]/SUM(Table1_14[Registered])</f>
        <v>1.5847046566728081E-2</v>
      </c>
      <c r="N89" t="str">
        <f xml:space="preserve"> IF(OR(Table1_14[[#This Row],[Appearance Rate]]&lt;0, Table1_14[[#This Row],[Appearance Rate]]&gt;1), "FLAG", "OK")</f>
        <v>OK</v>
      </c>
      <c r="O89" t="str">
        <f xml:space="preserve"> IF(Table1_14[[#This Row],[Appeared]]&gt;Table1_14[[#This Row],[Registered]], "FLAG", "OK")</f>
        <v>OK</v>
      </c>
      <c r="P89" t="str">
        <f xml:space="preserve"> IF(OR(ISBLANK(Table1_14[[#This Row],[Registered]]), ISBLANK(Table1_14[[#This Row],[Appeared]]), Table1_14[[#This Row],[Registered]]=0, Table1_14[[#This Row],[Appeared]]=0), "FLAG", "OK")</f>
        <v>OK</v>
      </c>
    </row>
    <row r="90" spans="1:16"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c r="L90" t="str">
        <f>IF(Table1_14[[#This Row],[Registered]]=0, "ABSENT", IF(Table1_14[[#This Row],[Appearance Rate]]&lt;0.98, "LOW_RATE", IF(AND(Table1_14[[#This Row],[Appearance Rate]]=1, Table1_14[[#This Row],[Registered]]&lt;100), "SUSPICIOUS_PERFECTION", "NORMAL")))</f>
        <v>NORMAL</v>
      </c>
      <c r="M90" s="7">
        <f>Table1_14[[#This Row],[Registered]]/SUM(Table1_14[Registered])</f>
        <v>1.1627607958482559E-3</v>
      </c>
      <c r="N90" t="str">
        <f xml:space="preserve"> IF(OR(Table1_14[[#This Row],[Appearance Rate]]&lt;0, Table1_14[[#This Row],[Appearance Rate]]&gt;1), "FLAG", "OK")</f>
        <v>OK</v>
      </c>
      <c r="O90" t="str">
        <f xml:space="preserve"> IF(Table1_14[[#This Row],[Appeared]]&gt;Table1_14[[#This Row],[Registered]], "FLAG", "OK")</f>
        <v>OK</v>
      </c>
      <c r="P90" t="str">
        <f xml:space="preserve"> IF(OR(ISBLANK(Table1_14[[#This Row],[Registered]]), ISBLANK(Table1_14[[#This Row],[Appeared]]), Table1_14[[#This Row],[Registered]]=0, Table1_14[[#This Row],[Appeared]]=0), "FLAG", "OK")</f>
        <v>OK</v>
      </c>
    </row>
    <row r="91" spans="1:16"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c r="L91" t="str">
        <f>IF(Table1_14[[#This Row],[Registered]]=0, "ABSENT", IF(Table1_14[[#This Row],[Appearance Rate]]&lt;0.98, "LOW_RATE", IF(AND(Table1_14[[#This Row],[Appearance Rate]]=1, Table1_14[[#This Row],[Registered]]&lt;100), "SUSPICIOUS_PERFECTION", "NORMAL")))</f>
        <v>NORMAL</v>
      </c>
      <c r="M91" s="7">
        <f>Table1_14[[#This Row],[Registered]]/SUM(Table1_14[Registered])</f>
        <v>3.3770799205180366E-3</v>
      </c>
      <c r="N91" t="str">
        <f xml:space="preserve"> IF(OR(Table1_14[[#This Row],[Appearance Rate]]&lt;0, Table1_14[[#This Row],[Appearance Rate]]&gt;1), "FLAG", "OK")</f>
        <v>OK</v>
      </c>
      <c r="O91" t="str">
        <f xml:space="preserve"> IF(Table1_14[[#This Row],[Appeared]]&gt;Table1_14[[#This Row],[Registered]], "FLAG", "OK")</f>
        <v>OK</v>
      </c>
      <c r="P91" t="str">
        <f xml:space="preserve"> IF(OR(ISBLANK(Table1_14[[#This Row],[Registered]]), ISBLANK(Table1_14[[#This Row],[Appeared]]), Table1_14[[#This Row],[Registered]]=0, Table1_14[[#This Row],[Appeared]]=0), "FLAG", "OK")</f>
        <v>OK</v>
      </c>
    </row>
    <row r="92" spans="1:16"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c r="L92" t="str">
        <f>IF(Table1_14[[#This Row],[Registered]]=0, "ABSENT", IF(Table1_14[[#This Row],[Appearance Rate]]&lt;0.98, "LOW_RATE", IF(AND(Table1_14[[#This Row],[Appearance Rate]]=1, Table1_14[[#This Row],[Registered]]&lt;100), "SUSPICIOUS_PERFECTION", "NORMAL")))</f>
        <v>ABSENT</v>
      </c>
      <c r="M92" s="7">
        <f>Table1_14[[#This Row],[Registered]]/SUM(Table1_14[Registered])</f>
        <v>0</v>
      </c>
      <c r="N92" t="str">
        <f xml:space="preserve"> IF(OR(Table1_14[[#This Row],[Appearance Rate]]&lt;0, Table1_14[[#This Row],[Appearance Rate]]&gt;1), "FLAG", "OK")</f>
        <v>OK</v>
      </c>
      <c r="O92" t="str">
        <f xml:space="preserve"> IF(Table1_14[[#This Row],[Appeared]]&gt;Table1_14[[#This Row],[Registered]], "FLAG", "OK")</f>
        <v>OK</v>
      </c>
      <c r="P92" t="str">
        <f xml:space="preserve"> IF(OR(ISBLANK(Table1_14[[#This Row],[Registered]]), ISBLANK(Table1_14[[#This Row],[Appeared]]), Table1_14[[#This Row],[Registered]]=0, Table1_14[[#This Row],[Appeared]]=0), "FLAG", "OK")</f>
        <v>FLAG</v>
      </c>
    </row>
    <row r="93" spans="1:16"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c r="L93" t="str">
        <f>IF(Table1_14[[#This Row],[Registered]]=0, "ABSENT", IF(Table1_14[[#This Row],[Appearance Rate]]&lt;0.98, "LOW_RATE", IF(AND(Table1_14[[#This Row],[Appearance Rate]]=1, Table1_14[[#This Row],[Registered]]&lt;100), "SUSPICIOUS_PERFECTION", "NORMAL")))</f>
        <v>SUSPICIOUS_PERFECTION</v>
      </c>
      <c r="M93" s="7">
        <f>Table1_14[[#This Row],[Registered]]/SUM(Table1_14[Registered])</f>
        <v>5.6991264351199632E-5</v>
      </c>
      <c r="N93" t="str">
        <f xml:space="preserve"> IF(OR(Table1_14[[#This Row],[Appearance Rate]]&lt;0, Table1_14[[#This Row],[Appearance Rate]]&gt;1), "FLAG", "OK")</f>
        <v>OK</v>
      </c>
      <c r="O93" t="str">
        <f xml:space="preserve"> IF(Table1_14[[#This Row],[Appeared]]&gt;Table1_14[[#This Row],[Registered]], "FLAG", "OK")</f>
        <v>OK</v>
      </c>
      <c r="P93" t="str">
        <f xml:space="preserve"> IF(OR(ISBLANK(Table1_14[[#This Row],[Registered]]), ISBLANK(Table1_14[[#This Row],[Appeared]]), Table1_14[[#This Row],[Registered]]=0, Table1_14[[#This Row],[Appeared]]=0), "FLAG", "OK")</f>
        <v>OK</v>
      </c>
    </row>
    <row r="94" spans="1:16"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c r="L94" t="str">
        <f>IF(Table1_14[[#This Row],[Registered]]=0, "ABSENT", IF(Table1_14[[#This Row],[Appearance Rate]]&lt;0.98, "LOW_RATE", IF(AND(Table1_14[[#This Row],[Appearance Rate]]=1, Table1_14[[#This Row],[Registered]]&lt;100), "SUSPICIOUS_PERFECTION", "NORMAL")))</f>
        <v>ABSENT</v>
      </c>
      <c r="M94" s="7">
        <f>Table1_14[[#This Row],[Registered]]/SUM(Table1_14[Registered])</f>
        <v>0</v>
      </c>
      <c r="N94" t="str">
        <f xml:space="preserve"> IF(OR(Table1_14[[#This Row],[Appearance Rate]]&lt;0, Table1_14[[#This Row],[Appearance Rate]]&gt;1), "FLAG", "OK")</f>
        <v>OK</v>
      </c>
      <c r="O94" t="str">
        <f xml:space="preserve"> IF(Table1_14[[#This Row],[Appeared]]&gt;Table1_14[[#This Row],[Registered]], "FLAG", "OK")</f>
        <v>OK</v>
      </c>
      <c r="P94" t="str">
        <f xml:space="preserve"> IF(OR(ISBLANK(Table1_14[[#This Row],[Registered]]), ISBLANK(Table1_14[[#This Row],[Appeared]]), Table1_14[[#This Row],[Registered]]=0, Table1_14[[#This Row],[Appeared]]=0), "FLAG", "OK")</f>
        <v>FLAG</v>
      </c>
    </row>
    <row r="95" spans="1:16"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c r="L95" t="str">
        <f>IF(Table1_14[[#This Row],[Registered]]=0, "ABSENT", IF(Table1_14[[#This Row],[Appearance Rate]]&lt;0.98, "LOW_RATE", IF(AND(Table1_14[[#This Row],[Appearance Rate]]=1, Table1_14[[#This Row],[Registered]]&lt;100), "SUSPICIOUS_PERFECTION", "NORMAL")))</f>
        <v>NORMAL</v>
      </c>
      <c r="M95" s="7">
        <f>Table1_14[[#This Row],[Registered]]/SUM(Table1_14[Registered])</f>
        <v>2.32830165337218E-2</v>
      </c>
      <c r="N95" t="str">
        <f xml:space="preserve"> IF(OR(Table1_14[[#This Row],[Appearance Rate]]&lt;0, Table1_14[[#This Row],[Appearance Rate]]&gt;1), "FLAG", "OK")</f>
        <v>OK</v>
      </c>
      <c r="O95" t="str">
        <f xml:space="preserve"> IF(Table1_14[[#This Row],[Appeared]]&gt;Table1_14[[#This Row],[Registered]], "FLAG", "OK")</f>
        <v>OK</v>
      </c>
      <c r="P95" t="str">
        <f xml:space="preserve"> IF(OR(ISBLANK(Table1_14[[#This Row],[Registered]]), ISBLANK(Table1_14[[#This Row],[Appeared]]), Table1_14[[#This Row],[Registered]]=0, Table1_14[[#This Row],[Appeared]]=0), "FLAG", "OK")</f>
        <v>OK</v>
      </c>
    </row>
    <row r="96" spans="1:16"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c r="L96" t="str">
        <f>IF(Table1_14[[#This Row],[Registered]]=0, "ABSENT", IF(Table1_14[[#This Row],[Appearance Rate]]&lt;0.98, "LOW_RATE", IF(AND(Table1_14[[#This Row],[Appearance Rate]]=1, Table1_14[[#This Row],[Registered]]&lt;100), "SUSPICIOUS_PERFECTION", "NORMAL")))</f>
        <v>NORMAL</v>
      </c>
      <c r="M96" s="7">
        <f>Table1_14[[#This Row],[Registered]]/SUM(Table1_14[Registered])</f>
        <v>6.7625000260630784E-4</v>
      </c>
      <c r="N96" t="str">
        <f xml:space="preserve"> IF(OR(Table1_14[[#This Row],[Appearance Rate]]&lt;0, Table1_14[[#This Row],[Appearance Rate]]&gt;1), "FLAG", "OK")</f>
        <v>OK</v>
      </c>
      <c r="O96" t="str">
        <f xml:space="preserve"> IF(Table1_14[[#This Row],[Appeared]]&gt;Table1_14[[#This Row],[Registered]], "FLAG", "OK")</f>
        <v>OK</v>
      </c>
      <c r="P96" t="str">
        <f xml:space="preserve"> IF(OR(ISBLANK(Table1_14[[#This Row],[Registered]]), ISBLANK(Table1_14[[#This Row],[Appeared]]), Table1_14[[#This Row],[Registered]]=0, Table1_14[[#This Row],[Appeared]]=0), "FLAG", "OK")</f>
        <v>OK</v>
      </c>
    </row>
    <row r="97" spans="1:16"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c r="L97" t="str">
        <f>IF(Table1_14[[#This Row],[Registered]]=0, "ABSENT", IF(Table1_14[[#This Row],[Appearance Rate]]&lt;0.98, "LOW_RATE", IF(AND(Table1_14[[#This Row],[Appearance Rate]]=1, Table1_14[[#This Row],[Registered]]&lt;100), "SUSPICIOUS_PERFECTION", "NORMAL")))</f>
        <v>NORMAL</v>
      </c>
      <c r="M97" s="7">
        <f>Table1_14[[#This Row],[Registered]]/SUM(Table1_14[Registered])</f>
        <v>2.5479265257499738E-3</v>
      </c>
      <c r="N97" t="str">
        <f xml:space="preserve"> IF(OR(Table1_14[[#This Row],[Appearance Rate]]&lt;0, Table1_14[[#This Row],[Appearance Rate]]&gt;1), "FLAG", "OK")</f>
        <v>OK</v>
      </c>
      <c r="O97" t="str">
        <f xml:space="preserve"> IF(Table1_14[[#This Row],[Appeared]]&gt;Table1_14[[#This Row],[Registered]], "FLAG", "OK")</f>
        <v>OK</v>
      </c>
      <c r="P97" t="str">
        <f xml:space="preserve"> IF(OR(ISBLANK(Table1_14[[#This Row],[Registered]]), ISBLANK(Table1_14[[#This Row],[Appeared]]), Table1_14[[#This Row],[Registered]]=0, Table1_14[[#This Row],[Appeared]]=0), "FLAG", "OK")</f>
        <v>OK</v>
      </c>
    </row>
    <row r="98" spans="1:16" x14ac:dyDescent="0.3">
      <c r="M98" s="7">
        <f xml:space="preserve"> SUM(Table1_14[Coverage Share])</f>
        <v>0.99999999999999978</v>
      </c>
    </row>
  </sheetData>
  <phoneticPr fontId="18" type="noConversion"/>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5FE24-4DCC-4510-88E2-34A35A92FA14}">
  <dimension ref="A3:C9"/>
  <sheetViews>
    <sheetView zoomScale="88" workbookViewId="0">
      <selection activeCell="C6" sqref="C6"/>
    </sheetView>
  </sheetViews>
  <sheetFormatPr defaultRowHeight="14.4" x14ac:dyDescent="0.3"/>
  <cols>
    <col min="1" max="1" width="12.88671875" bestFit="1" customWidth="1"/>
    <col min="2" max="2" width="24.33203125" bestFit="1" customWidth="1"/>
    <col min="3" max="3" width="25" bestFit="1" customWidth="1"/>
  </cols>
  <sheetData>
    <row r="3" spans="1:3" x14ac:dyDescent="0.3">
      <c r="A3" s="12" t="s">
        <v>29</v>
      </c>
      <c r="B3" s="12" t="s">
        <v>68</v>
      </c>
      <c r="C3" s="13" t="s">
        <v>71</v>
      </c>
    </row>
    <row r="4" spans="1:3" x14ac:dyDescent="0.3">
      <c r="A4" s="14" t="s">
        <v>4</v>
      </c>
      <c r="B4" s="15">
        <v>8.0140564981311131E-3</v>
      </c>
      <c r="C4" s="15">
        <v>1.9417475728155331E-2</v>
      </c>
    </row>
    <row r="5" spans="1:3" x14ac:dyDescent="0.3">
      <c r="A5" s="14" t="s">
        <v>5</v>
      </c>
      <c r="B5" s="15">
        <v>1.2089637108015959E-2</v>
      </c>
      <c r="C5" s="15">
        <v>4.7904191616766512E-2</v>
      </c>
    </row>
    <row r="6" spans="1:3" x14ac:dyDescent="0.3">
      <c r="A6" s="14" t="s">
        <v>6</v>
      </c>
      <c r="B6" s="15">
        <v>3.7526405686020619E-3</v>
      </c>
      <c r="C6" s="15">
        <v>9.8039215686274161E-3</v>
      </c>
    </row>
    <row r="7" spans="1:3" x14ac:dyDescent="0.3">
      <c r="A7" s="14" t="s">
        <v>7</v>
      </c>
      <c r="B7" s="15">
        <v>2.9169464951935668E-3</v>
      </c>
      <c r="C7" s="15">
        <v>9.9945802344320045E-3</v>
      </c>
    </row>
    <row r="8" spans="1:3" x14ac:dyDescent="0.3">
      <c r="A8" s="14" t="s">
        <v>8</v>
      </c>
      <c r="B8" s="15">
        <v>3.9583342764695738E-3</v>
      </c>
      <c r="C8" s="15">
        <v>1.2125220458553798E-2</v>
      </c>
    </row>
    <row r="9" spans="1:3" x14ac:dyDescent="0.3">
      <c r="A9" s="14" t="s">
        <v>9</v>
      </c>
      <c r="B9" s="15">
        <v>9.2514702364829347E-4</v>
      </c>
      <c r="C9" s="15">
        <v>3.9532202273101502E-3</v>
      </c>
    </row>
  </sheetData>
  <dataConsolidate/>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2B927-7CCF-43BF-88A0-70031DC8DA25}">
  <dimension ref="A1:B94"/>
  <sheetViews>
    <sheetView zoomScale="65" workbookViewId="0">
      <selection activeCell="I6" sqref="I6"/>
    </sheetView>
  </sheetViews>
  <sheetFormatPr defaultRowHeight="14.4" x14ac:dyDescent="0.3"/>
  <cols>
    <col min="1" max="1" width="16.109375" bestFit="1" customWidth="1"/>
    <col min="2" max="2" width="16" bestFit="1" customWidth="1"/>
  </cols>
  <sheetData>
    <row r="1" spans="1:2" x14ac:dyDescent="0.3">
      <c r="A1" s="1" t="s">
        <v>39</v>
      </c>
      <c r="B1" t="s">
        <v>40</v>
      </c>
    </row>
    <row r="3" spans="1:2" x14ac:dyDescent="0.3">
      <c r="A3" s="1" t="s">
        <v>36</v>
      </c>
      <c r="B3" t="s">
        <v>38</v>
      </c>
    </row>
    <row r="4" spans="1:2" x14ac:dyDescent="0.3">
      <c r="A4" s="2" t="s">
        <v>26</v>
      </c>
      <c r="B4" s="17">
        <v>22</v>
      </c>
    </row>
    <row r="5" spans="1:2" x14ac:dyDescent="0.3">
      <c r="A5" s="3" t="s">
        <v>4</v>
      </c>
      <c r="B5" s="17">
        <v>164</v>
      </c>
    </row>
    <row r="6" spans="1:2" x14ac:dyDescent="0.3">
      <c r="A6" s="3" t="s">
        <v>5</v>
      </c>
      <c r="B6" s="17">
        <v>1555</v>
      </c>
    </row>
    <row r="7" spans="1:2" x14ac:dyDescent="0.3">
      <c r="A7" s="3" t="s">
        <v>6</v>
      </c>
      <c r="B7" s="17">
        <v>22</v>
      </c>
    </row>
    <row r="8" spans="1:2" x14ac:dyDescent="0.3">
      <c r="A8" s="3" t="s">
        <v>7</v>
      </c>
      <c r="B8" s="17">
        <v>62473</v>
      </c>
    </row>
    <row r="9" spans="1:2" x14ac:dyDescent="0.3">
      <c r="A9" s="3" t="s">
        <v>8</v>
      </c>
      <c r="B9" s="17">
        <v>1120</v>
      </c>
    </row>
    <row r="10" spans="1:2" x14ac:dyDescent="0.3">
      <c r="A10" s="3" t="s">
        <v>9</v>
      </c>
      <c r="B10" s="17">
        <v>4312</v>
      </c>
    </row>
    <row r="11" spans="1:2" x14ac:dyDescent="0.3">
      <c r="A11" s="2" t="s">
        <v>18</v>
      </c>
      <c r="B11" s="17">
        <v>38</v>
      </c>
    </row>
    <row r="12" spans="1:2" x14ac:dyDescent="0.3">
      <c r="A12" s="3" t="s">
        <v>4</v>
      </c>
      <c r="B12" s="17">
        <v>38</v>
      </c>
    </row>
    <row r="13" spans="1:2" x14ac:dyDescent="0.3">
      <c r="A13" s="3" t="s">
        <v>5</v>
      </c>
      <c r="B13" s="17">
        <v>357</v>
      </c>
    </row>
    <row r="14" spans="1:2" x14ac:dyDescent="0.3">
      <c r="A14" s="3" t="s">
        <v>7</v>
      </c>
      <c r="B14" s="17">
        <v>118675</v>
      </c>
    </row>
    <row r="15" spans="1:2" x14ac:dyDescent="0.3">
      <c r="A15" s="3" t="s">
        <v>8</v>
      </c>
      <c r="B15" s="17">
        <v>2231</v>
      </c>
    </row>
    <row r="16" spans="1:2" x14ac:dyDescent="0.3">
      <c r="A16" s="3" t="s">
        <v>9</v>
      </c>
      <c r="B16" s="17">
        <v>3615</v>
      </c>
    </row>
    <row r="17" spans="1:2" x14ac:dyDescent="0.3">
      <c r="A17" s="2" t="s">
        <v>14</v>
      </c>
      <c r="B17" s="17">
        <v>55</v>
      </c>
    </row>
    <row r="18" spans="1:2" x14ac:dyDescent="0.3">
      <c r="A18" s="3" t="s">
        <v>5</v>
      </c>
      <c r="B18" s="17">
        <v>13060</v>
      </c>
    </row>
    <row r="19" spans="1:2" x14ac:dyDescent="0.3">
      <c r="A19" s="3" t="s">
        <v>6</v>
      </c>
      <c r="B19" s="17">
        <v>55</v>
      </c>
    </row>
    <row r="20" spans="1:2" x14ac:dyDescent="0.3">
      <c r="A20" s="3" t="s">
        <v>7</v>
      </c>
      <c r="B20" s="17">
        <v>89637</v>
      </c>
    </row>
    <row r="21" spans="1:2" x14ac:dyDescent="0.3">
      <c r="A21" s="3" t="s">
        <v>8</v>
      </c>
      <c r="B21" s="17">
        <v>2549</v>
      </c>
    </row>
    <row r="22" spans="1:2" x14ac:dyDescent="0.3">
      <c r="A22" s="3" t="s">
        <v>9</v>
      </c>
      <c r="B22" s="17">
        <v>5861</v>
      </c>
    </row>
    <row r="23" spans="1:2" x14ac:dyDescent="0.3">
      <c r="A23" s="2" t="s">
        <v>27</v>
      </c>
      <c r="B23" s="17">
        <v>65</v>
      </c>
    </row>
    <row r="24" spans="1:2" x14ac:dyDescent="0.3">
      <c r="A24" s="3" t="s">
        <v>5</v>
      </c>
      <c r="B24" s="17">
        <v>69504</v>
      </c>
    </row>
    <row r="25" spans="1:2" x14ac:dyDescent="0.3">
      <c r="A25" s="3" t="s">
        <v>6</v>
      </c>
      <c r="B25" s="17">
        <v>7775</v>
      </c>
    </row>
    <row r="26" spans="1:2" x14ac:dyDescent="0.3">
      <c r="A26" s="3" t="s">
        <v>7</v>
      </c>
      <c r="B26" s="17">
        <v>40461</v>
      </c>
    </row>
    <row r="27" spans="1:2" x14ac:dyDescent="0.3">
      <c r="A27" s="3" t="s">
        <v>8</v>
      </c>
      <c r="B27" s="17">
        <v>65</v>
      </c>
    </row>
    <row r="28" spans="1:2" x14ac:dyDescent="0.3">
      <c r="A28" s="3" t="s">
        <v>9</v>
      </c>
      <c r="B28" s="17">
        <v>2872</v>
      </c>
    </row>
    <row r="29" spans="1:2" x14ac:dyDescent="0.3">
      <c r="A29" s="2" t="s">
        <v>19</v>
      </c>
      <c r="B29" s="17">
        <v>70</v>
      </c>
    </row>
    <row r="30" spans="1:2" x14ac:dyDescent="0.3">
      <c r="A30" s="3" t="s">
        <v>4</v>
      </c>
      <c r="B30" s="17">
        <v>93</v>
      </c>
    </row>
    <row r="31" spans="1:2" x14ac:dyDescent="0.3">
      <c r="A31" s="3" t="s">
        <v>5</v>
      </c>
      <c r="B31" s="17">
        <v>70</v>
      </c>
    </row>
    <row r="32" spans="1:2" x14ac:dyDescent="0.3">
      <c r="A32" s="3" t="s">
        <v>7</v>
      </c>
      <c r="B32" s="17">
        <v>12262</v>
      </c>
    </row>
    <row r="33" spans="1:2" x14ac:dyDescent="0.3">
      <c r="A33" s="3" t="s">
        <v>8</v>
      </c>
      <c r="B33" s="17">
        <v>1901</v>
      </c>
    </row>
    <row r="34" spans="1:2" x14ac:dyDescent="0.3">
      <c r="A34" s="3" t="s">
        <v>9</v>
      </c>
      <c r="B34" s="17">
        <v>2363</v>
      </c>
    </row>
    <row r="35" spans="1:2" x14ac:dyDescent="0.3">
      <c r="A35" s="2" t="s">
        <v>15</v>
      </c>
      <c r="B35" s="17">
        <v>81</v>
      </c>
    </row>
    <row r="36" spans="1:2" x14ac:dyDescent="0.3">
      <c r="A36" s="3" t="s">
        <v>5</v>
      </c>
      <c r="B36" s="17">
        <v>100216</v>
      </c>
    </row>
    <row r="37" spans="1:2" x14ac:dyDescent="0.3">
      <c r="A37" s="3" t="s">
        <v>6</v>
      </c>
      <c r="B37" s="17">
        <v>6420</v>
      </c>
    </row>
    <row r="38" spans="1:2" x14ac:dyDescent="0.3">
      <c r="A38" s="3" t="s">
        <v>7</v>
      </c>
      <c r="B38" s="17">
        <v>64953</v>
      </c>
    </row>
    <row r="39" spans="1:2" x14ac:dyDescent="0.3">
      <c r="A39" s="3" t="s">
        <v>8</v>
      </c>
      <c r="B39" s="17">
        <v>81</v>
      </c>
    </row>
    <row r="40" spans="1:2" x14ac:dyDescent="0.3">
      <c r="A40" s="3" t="s">
        <v>9</v>
      </c>
      <c r="B40" s="17">
        <v>6669</v>
      </c>
    </row>
    <row r="41" spans="1:2" x14ac:dyDescent="0.3">
      <c r="A41" s="2" t="s">
        <v>25</v>
      </c>
      <c r="B41" s="17">
        <v>82</v>
      </c>
    </row>
    <row r="42" spans="1:2" x14ac:dyDescent="0.3">
      <c r="A42" s="3" t="s">
        <v>5</v>
      </c>
      <c r="B42" s="17">
        <v>82</v>
      </c>
    </row>
    <row r="43" spans="1:2" x14ac:dyDescent="0.3">
      <c r="A43" s="3" t="s">
        <v>7</v>
      </c>
      <c r="B43" s="17">
        <v>33500</v>
      </c>
    </row>
    <row r="44" spans="1:2" x14ac:dyDescent="0.3">
      <c r="A44" s="3" t="s">
        <v>8</v>
      </c>
      <c r="B44" s="17">
        <v>973</v>
      </c>
    </row>
    <row r="45" spans="1:2" x14ac:dyDescent="0.3">
      <c r="A45" s="3" t="s">
        <v>9</v>
      </c>
      <c r="B45" s="17">
        <v>3666</v>
      </c>
    </row>
    <row r="46" spans="1:2" x14ac:dyDescent="0.3">
      <c r="A46" s="2" t="s">
        <v>23</v>
      </c>
      <c r="B46" s="17">
        <v>84</v>
      </c>
    </row>
    <row r="47" spans="1:2" x14ac:dyDescent="0.3">
      <c r="A47" s="3" t="s">
        <v>5</v>
      </c>
      <c r="B47" s="17">
        <v>84</v>
      </c>
    </row>
    <row r="48" spans="1:2" x14ac:dyDescent="0.3">
      <c r="A48" s="3" t="s">
        <v>7</v>
      </c>
      <c r="B48" s="17">
        <v>84716</v>
      </c>
    </row>
    <row r="49" spans="1:2" x14ac:dyDescent="0.3">
      <c r="A49" s="3" t="s">
        <v>8</v>
      </c>
      <c r="B49" s="17">
        <v>3714</v>
      </c>
    </row>
    <row r="50" spans="1:2" x14ac:dyDescent="0.3">
      <c r="A50" s="3" t="s">
        <v>9</v>
      </c>
      <c r="B50" s="17">
        <v>5409</v>
      </c>
    </row>
    <row r="51" spans="1:2" x14ac:dyDescent="0.3">
      <c r="A51" s="2" t="s">
        <v>17</v>
      </c>
      <c r="B51" s="17">
        <v>102</v>
      </c>
    </row>
    <row r="52" spans="1:2" x14ac:dyDescent="0.3">
      <c r="A52" s="3" t="s">
        <v>5</v>
      </c>
      <c r="B52" s="17">
        <v>20672</v>
      </c>
    </row>
    <row r="53" spans="1:2" x14ac:dyDescent="0.3">
      <c r="A53" s="3" t="s">
        <v>6</v>
      </c>
      <c r="B53" s="17">
        <v>102</v>
      </c>
    </row>
    <row r="54" spans="1:2" x14ac:dyDescent="0.3">
      <c r="A54" s="3" t="s">
        <v>7</v>
      </c>
      <c r="B54" s="17">
        <v>20768</v>
      </c>
    </row>
    <row r="55" spans="1:2" x14ac:dyDescent="0.3">
      <c r="A55" s="3" t="s">
        <v>8</v>
      </c>
      <c r="B55" s="17">
        <v>4536</v>
      </c>
    </row>
    <row r="56" spans="1:2" x14ac:dyDescent="0.3">
      <c r="A56" s="3" t="s">
        <v>9</v>
      </c>
      <c r="B56" s="17">
        <v>6071</v>
      </c>
    </row>
    <row r="57" spans="1:2" x14ac:dyDescent="0.3">
      <c r="A57" s="2" t="s">
        <v>13</v>
      </c>
      <c r="B57" s="17">
        <v>103</v>
      </c>
    </row>
    <row r="58" spans="1:2" x14ac:dyDescent="0.3">
      <c r="A58" s="3" t="s">
        <v>4</v>
      </c>
      <c r="B58" s="17">
        <v>103</v>
      </c>
    </row>
    <row r="59" spans="1:2" x14ac:dyDescent="0.3">
      <c r="A59" s="3" t="s">
        <v>5</v>
      </c>
      <c r="B59" s="17">
        <v>7746</v>
      </c>
    </row>
    <row r="60" spans="1:2" x14ac:dyDescent="0.3">
      <c r="A60" s="3" t="s">
        <v>7</v>
      </c>
      <c r="B60" s="17">
        <v>69835</v>
      </c>
    </row>
    <row r="61" spans="1:2" x14ac:dyDescent="0.3">
      <c r="A61" s="3" t="s">
        <v>8</v>
      </c>
      <c r="B61" s="17">
        <v>3823</v>
      </c>
    </row>
    <row r="62" spans="1:2" x14ac:dyDescent="0.3">
      <c r="A62" s="3" t="s">
        <v>9</v>
      </c>
      <c r="B62" s="17">
        <v>11465</v>
      </c>
    </row>
    <row r="63" spans="1:2" x14ac:dyDescent="0.3">
      <c r="A63" s="2" t="s">
        <v>22</v>
      </c>
      <c r="B63" s="17">
        <v>278</v>
      </c>
    </row>
    <row r="64" spans="1:2" x14ac:dyDescent="0.3">
      <c r="A64" s="3" t="s">
        <v>5</v>
      </c>
      <c r="B64" s="17">
        <v>278</v>
      </c>
    </row>
    <row r="65" spans="1:2" x14ac:dyDescent="0.3">
      <c r="A65" s="3" t="s">
        <v>6</v>
      </c>
      <c r="B65" s="17">
        <v>921</v>
      </c>
    </row>
    <row r="66" spans="1:2" x14ac:dyDescent="0.3">
      <c r="A66" s="3" t="s">
        <v>7</v>
      </c>
      <c r="B66" s="17">
        <v>100688</v>
      </c>
    </row>
    <row r="67" spans="1:2" x14ac:dyDescent="0.3">
      <c r="A67" s="3" t="s">
        <v>8</v>
      </c>
      <c r="B67" s="17">
        <v>1069</v>
      </c>
    </row>
    <row r="68" spans="1:2" x14ac:dyDescent="0.3">
      <c r="A68" s="3" t="s">
        <v>9</v>
      </c>
      <c r="B68" s="17">
        <v>4480</v>
      </c>
    </row>
    <row r="69" spans="1:2" x14ac:dyDescent="0.3">
      <c r="A69" s="2" t="s">
        <v>24</v>
      </c>
      <c r="B69" s="17">
        <v>1336</v>
      </c>
    </row>
    <row r="70" spans="1:2" x14ac:dyDescent="0.3">
      <c r="A70" s="3" t="s">
        <v>5</v>
      </c>
      <c r="B70" s="17">
        <v>1336</v>
      </c>
    </row>
    <row r="71" spans="1:2" x14ac:dyDescent="0.3">
      <c r="A71" s="3" t="s">
        <v>7</v>
      </c>
      <c r="B71" s="17">
        <v>131729</v>
      </c>
    </row>
    <row r="72" spans="1:2" x14ac:dyDescent="0.3">
      <c r="A72" s="3" t="s">
        <v>8</v>
      </c>
      <c r="B72" s="17">
        <v>3184</v>
      </c>
    </row>
    <row r="73" spans="1:2" x14ac:dyDescent="0.3">
      <c r="A73" s="3" t="s">
        <v>9</v>
      </c>
      <c r="B73" s="17">
        <v>8680</v>
      </c>
    </row>
    <row r="74" spans="1:2" x14ac:dyDescent="0.3">
      <c r="A74" s="2" t="s">
        <v>16</v>
      </c>
      <c r="B74" s="17">
        <v>1535</v>
      </c>
    </row>
    <row r="75" spans="1:2" x14ac:dyDescent="0.3">
      <c r="A75" s="3" t="s">
        <v>5</v>
      </c>
      <c r="B75" s="17">
        <v>1535</v>
      </c>
    </row>
    <row r="76" spans="1:2" x14ac:dyDescent="0.3">
      <c r="A76" s="3" t="s">
        <v>7</v>
      </c>
      <c r="B76" s="17">
        <v>22801</v>
      </c>
    </row>
    <row r="77" spans="1:2" x14ac:dyDescent="0.3">
      <c r="A77" s="3" t="s">
        <v>8</v>
      </c>
      <c r="B77" s="17">
        <v>1673</v>
      </c>
    </row>
    <row r="78" spans="1:2" x14ac:dyDescent="0.3">
      <c r="A78" s="3" t="s">
        <v>9</v>
      </c>
      <c r="B78" s="17">
        <v>4859</v>
      </c>
    </row>
    <row r="79" spans="1:2" x14ac:dyDescent="0.3">
      <c r="A79" s="2" t="s">
        <v>21</v>
      </c>
      <c r="B79" s="17">
        <v>1646</v>
      </c>
    </row>
    <row r="80" spans="1:2" x14ac:dyDescent="0.3">
      <c r="A80" s="3" t="s">
        <v>5</v>
      </c>
      <c r="B80" s="17">
        <v>3565</v>
      </c>
    </row>
    <row r="81" spans="1:2" x14ac:dyDescent="0.3">
      <c r="A81" s="3" t="s">
        <v>7</v>
      </c>
      <c r="B81" s="17">
        <v>67799</v>
      </c>
    </row>
    <row r="82" spans="1:2" x14ac:dyDescent="0.3">
      <c r="A82" s="3" t="s">
        <v>8</v>
      </c>
      <c r="B82" s="17">
        <v>1646</v>
      </c>
    </row>
    <row r="83" spans="1:2" x14ac:dyDescent="0.3">
      <c r="A83" s="3" t="s">
        <v>9</v>
      </c>
      <c r="B83" s="17">
        <v>6713</v>
      </c>
    </row>
    <row r="84" spans="1:2" x14ac:dyDescent="0.3">
      <c r="A84" s="2" t="s">
        <v>20</v>
      </c>
      <c r="B84" s="17">
        <v>3180</v>
      </c>
    </row>
    <row r="85" spans="1:2" x14ac:dyDescent="0.3">
      <c r="A85" s="3" t="s">
        <v>5</v>
      </c>
      <c r="B85" s="17">
        <v>3180</v>
      </c>
    </row>
    <row r="86" spans="1:2" x14ac:dyDescent="0.3">
      <c r="A86" s="3" t="s">
        <v>7</v>
      </c>
      <c r="B86" s="17">
        <v>60352</v>
      </c>
    </row>
    <row r="87" spans="1:2" x14ac:dyDescent="0.3">
      <c r="A87" s="3" t="s">
        <v>8</v>
      </c>
      <c r="B87" s="17">
        <v>3640</v>
      </c>
    </row>
    <row r="88" spans="1:2" x14ac:dyDescent="0.3">
      <c r="A88" s="3" t="s">
        <v>9</v>
      </c>
      <c r="B88" s="17">
        <v>7807</v>
      </c>
    </row>
    <row r="89" spans="1:2" x14ac:dyDescent="0.3">
      <c r="A89" s="2" t="s">
        <v>10</v>
      </c>
      <c r="B89" s="17">
        <v>3741</v>
      </c>
    </row>
    <row r="90" spans="1:2" x14ac:dyDescent="0.3">
      <c r="A90" s="3" t="s">
        <v>5</v>
      </c>
      <c r="B90" s="17">
        <v>4533</v>
      </c>
    </row>
    <row r="91" spans="1:2" x14ac:dyDescent="0.3">
      <c r="A91" s="3" t="s">
        <v>7</v>
      </c>
      <c r="B91" s="17">
        <v>86178</v>
      </c>
    </row>
    <row r="92" spans="1:2" x14ac:dyDescent="0.3">
      <c r="A92" s="3" t="s">
        <v>8</v>
      </c>
      <c r="B92" s="17">
        <v>3741</v>
      </c>
    </row>
    <row r="93" spans="1:2" x14ac:dyDescent="0.3">
      <c r="A93" s="3" t="s">
        <v>9</v>
      </c>
      <c r="B93" s="17">
        <v>7736</v>
      </c>
    </row>
    <row r="94" spans="1:2" x14ac:dyDescent="0.3">
      <c r="A94" s="2" t="s">
        <v>37</v>
      </c>
      <c r="B94" s="17">
        <v>22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1:B7"/>
  <sheetViews>
    <sheetView workbookViewId="0">
      <selection activeCell="A17" sqref="A17"/>
    </sheetView>
  </sheetViews>
  <sheetFormatPr defaultRowHeight="14.4" x14ac:dyDescent="0.3"/>
  <cols>
    <col min="1" max="1" width="21.88671875" bestFit="1" customWidth="1"/>
  </cols>
  <sheetData>
    <row r="1" spans="1:2" x14ac:dyDescent="0.3">
      <c r="A1" s="4" t="s">
        <v>41</v>
      </c>
      <c r="B1" s="5">
        <f>_xlfn.MINIFS(fact_table!E:E,fact_table!E:E, "&gt;0")</f>
        <v>22</v>
      </c>
    </row>
    <row r="2" spans="1:2" x14ac:dyDescent="0.3">
      <c r="A2" s="4" t="s">
        <v>42</v>
      </c>
      <c r="B2" s="5" cm="1">
        <f t="array" ref="B2">_xlfn.PERCENTILE.INC(_xlfn._xlws.FILTER(fact_table!E:E, fact_table!E:E&gt;0), 0.25)</f>
        <v>1385.75</v>
      </c>
    </row>
    <row r="3" spans="1:2" x14ac:dyDescent="0.3">
      <c r="A3" s="4" t="s">
        <v>43</v>
      </c>
      <c r="B3" s="5" cm="1">
        <f t="array" ref="B3">MEDIAN(_xlfn._xlws.FILTER(fact_table!E:E, fact_table!E:E&gt;0))</f>
        <v>4067.5</v>
      </c>
    </row>
    <row r="4" spans="1:2" x14ac:dyDescent="0.3">
      <c r="A4" s="4" t="s">
        <v>44</v>
      </c>
      <c r="B4" s="5">
        <f>COUNTIFS(fact_table!E:E, "&lt;30", fact_table!E:E, "&gt;0")</f>
        <v>1</v>
      </c>
    </row>
    <row r="5" spans="1:2" x14ac:dyDescent="0.3">
      <c r="A5" s="4" t="s">
        <v>45</v>
      </c>
      <c r="B5" s="5">
        <f>COUNTIFS(fact_table!E:E, "&lt;50", fact_table!E:E, "&gt;0")</f>
        <v>2</v>
      </c>
    </row>
    <row r="6" spans="1:2" x14ac:dyDescent="0.3">
      <c r="A6" s="4" t="s">
        <v>46</v>
      </c>
      <c r="B6" s="5">
        <f>COUNTIFS(fact_table!E:E, "&lt;100", fact_table!E:E, "&gt;0")</f>
        <v>9</v>
      </c>
    </row>
    <row r="7" spans="1:2" x14ac:dyDescent="0.3">
      <c r="A7" s="4" t="s">
        <v>47</v>
      </c>
      <c r="B7" s="5">
        <f>COUNTIFS(fact_table!E:E, "&lt;1000", fact_table!E:E, "&gt;0")</f>
        <v>16</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7DEB-B6BA-4CFD-B918-8D3548B37350}">
  <dimension ref="A1:B16"/>
  <sheetViews>
    <sheetView workbookViewId="0">
      <selection activeCell="D21" sqref="D21"/>
    </sheetView>
  </sheetViews>
  <sheetFormatPr defaultRowHeight="14.4" x14ac:dyDescent="0.3"/>
  <cols>
    <col min="1" max="1" width="19.6640625" bestFit="1" customWidth="1"/>
  </cols>
  <sheetData>
    <row r="1" spans="1:2" x14ac:dyDescent="0.3">
      <c r="A1" s="5" t="s">
        <v>49</v>
      </c>
      <c r="B1" s="6">
        <f>_xlfn.MINIFS(Table1_14[Appearance Rate], Table1_14[Registered], "&gt;0")</f>
        <v>0.95209580838323349</v>
      </c>
    </row>
    <row r="2" spans="1:2" x14ac:dyDescent="0.3">
      <c r="A2" s="5" t="s">
        <v>50</v>
      </c>
      <c r="B2" s="6" cm="1">
        <f t="array" ref="B2">_xlfn.PERCENTILE.INC(_xlfn._xlws.FILTER(Table1_14[Appearance Rate], Table1_14[Registered]&gt;0), 0.25)</f>
        <v>0.99344724122732919</v>
      </c>
    </row>
    <row r="3" spans="1:2" x14ac:dyDescent="0.3">
      <c r="A3" s="5" t="s">
        <v>51</v>
      </c>
      <c r="B3" s="6" cm="1">
        <f t="array" ref="B3">MEDIAN(_xlfn._xlws.FILTER(Table1_14[Appearance Rate], Table1_14[Registered]&gt;0))</f>
        <v>0.99700623733004901</v>
      </c>
    </row>
    <row r="4" spans="1:2" x14ac:dyDescent="0.3">
      <c r="A4" s="5" t="s">
        <v>52</v>
      </c>
      <c r="B4" s="6">
        <f>COUNTIFS(Table1_14[Appearance Rate], "&lt;0.90")</f>
        <v>0</v>
      </c>
    </row>
    <row r="5" spans="1:2" x14ac:dyDescent="0.3">
      <c r="A5" s="5" t="s">
        <v>53</v>
      </c>
      <c r="B5" s="6">
        <f>COUNTIFS(Table1_14[Appearance Rate], "&lt;0.95")</f>
        <v>0</v>
      </c>
    </row>
    <row r="6" spans="1:2" x14ac:dyDescent="0.3">
      <c r="A6" s="5" t="s">
        <v>64</v>
      </c>
      <c r="B6" s="6">
        <f>COUNTIFS(Table1_14[Appearance Rate], "&lt;0.96")</f>
        <v>1</v>
      </c>
    </row>
    <row r="7" spans="1:2" x14ac:dyDescent="0.3">
      <c r="A7" s="5" t="s">
        <v>54</v>
      </c>
      <c r="B7" s="6">
        <f>COUNTIFS(Table1_14[Appearance Rate], "&lt;0.98")</f>
        <v>2</v>
      </c>
    </row>
    <row r="8" spans="1:2" x14ac:dyDescent="0.3">
      <c r="A8" s="5" t="s">
        <v>56</v>
      </c>
      <c r="B8" s="6">
        <f>COUNTIFS(Table1_14[Appearance Rate], "&lt;0.985")</f>
        <v>3</v>
      </c>
    </row>
    <row r="9" spans="1:2" x14ac:dyDescent="0.3">
      <c r="A9" s="5" t="s">
        <v>57</v>
      </c>
      <c r="B9" s="6">
        <f>COUNTIFS(Table1_14[Appearance Rate], "&lt;0.986")</f>
        <v>3</v>
      </c>
    </row>
    <row r="10" spans="1:2" x14ac:dyDescent="0.3">
      <c r="A10" s="5" t="s">
        <v>58</v>
      </c>
      <c r="B10" s="6">
        <f>COUNTIFS(Table1_14[Appearance Rate], "&lt;0.987")</f>
        <v>4</v>
      </c>
    </row>
    <row r="11" spans="1:2" x14ac:dyDescent="0.3">
      <c r="A11" s="5" t="s">
        <v>59</v>
      </c>
      <c r="B11" s="6">
        <f>COUNTIFS(Table1_14[Appearance Rate], "&lt;0.988")</f>
        <v>7</v>
      </c>
    </row>
    <row r="12" spans="1:2" x14ac:dyDescent="0.3">
      <c r="A12" s="5" t="s">
        <v>60</v>
      </c>
      <c r="B12" s="6">
        <f>COUNTIFS(Table1_14[Appearance Rate], "&lt;0.989")</f>
        <v>9</v>
      </c>
    </row>
    <row r="13" spans="1:2" x14ac:dyDescent="0.3">
      <c r="A13" s="5" t="s">
        <v>55</v>
      </c>
      <c r="B13" s="6">
        <f>COUNTIFS(Table1_14[Appearance Rate], "&lt;0.99")</f>
        <v>11</v>
      </c>
    </row>
    <row r="14" spans="1:2" x14ac:dyDescent="0.3">
      <c r="A14" s="5" t="s">
        <v>62</v>
      </c>
      <c r="B14" s="6">
        <f>COUNTBLANK(Table1_14[Appearance Rate])</f>
        <v>22</v>
      </c>
    </row>
    <row r="15" spans="1:2" x14ac:dyDescent="0.3">
      <c r="A15" s="5" t="s">
        <v>63</v>
      </c>
      <c r="B15" s="6">
        <f>COUNT(Table1_14[Appearance Rate])</f>
        <v>74</v>
      </c>
    </row>
    <row r="16" spans="1:2" x14ac:dyDescent="0.3">
      <c r="A16" s="5" t="s">
        <v>61</v>
      </c>
      <c r="B16" s="6">
        <f xml:space="preserve"> B14 + B15</f>
        <v>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B7921-FF2E-4EC2-8014-E0BCA98005AF}">
  <dimension ref="A1:E10"/>
  <sheetViews>
    <sheetView zoomScale="83" workbookViewId="0">
      <selection activeCell="D21" sqref="D21"/>
    </sheetView>
  </sheetViews>
  <sheetFormatPr defaultRowHeight="14.4" x14ac:dyDescent="0.3"/>
  <cols>
    <col min="1" max="1" width="13.109375" bestFit="1" customWidth="1"/>
    <col min="2" max="2" width="26.44140625" bestFit="1" customWidth="1"/>
    <col min="3" max="3" width="19.109375" bestFit="1" customWidth="1"/>
    <col min="4" max="4" width="18.88671875" bestFit="1" customWidth="1"/>
    <col min="5" max="5" width="25.21875" bestFit="1" customWidth="1"/>
  </cols>
  <sheetData>
    <row r="1" spans="1:5" x14ac:dyDescent="0.3">
      <c r="A1" s="9" t="s">
        <v>67</v>
      </c>
    </row>
    <row r="3" spans="1:5" x14ac:dyDescent="0.3">
      <c r="A3" s="1" t="s">
        <v>36</v>
      </c>
      <c r="B3" t="s">
        <v>68</v>
      </c>
      <c r="C3" t="s">
        <v>69</v>
      </c>
      <c r="D3" t="s">
        <v>70</v>
      </c>
      <c r="E3" s="8" t="s">
        <v>71</v>
      </c>
    </row>
    <row r="4" spans="1:5" x14ac:dyDescent="0.3">
      <c r="A4" s="2" t="s">
        <v>4</v>
      </c>
      <c r="B4" s="10">
        <v>8.0140564981311131E-3</v>
      </c>
      <c r="C4" s="10">
        <v>1</v>
      </c>
      <c r="D4" s="10">
        <v>0.98058252427184467</v>
      </c>
      <c r="E4" s="10" cm="1">
        <f t="array" ref="E4:E10">C4:C10-D4:D10</f>
        <v>1.9417475728155331E-2</v>
      </c>
    </row>
    <row r="5" spans="1:5" x14ac:dyDescent="0.3">
      <c r="A5" s="2" t="s">
        <v>5</v>
      </c>
      <c r="B5" s="10">
        <v>1.2089637108015959E-2</v>
      </c>
      <c r="C5" s="10">
        <v>1</v>
      </c>
      <c r="D5" s="10">
        <v>0.95209580838323349</v>
      </c>
      <c r="E5" s="10">
        <v>4.7904191616766512E-2</v>
      </c>
    </row>
    <row r="6" spans="1:5" x14ac:dyDescent="0.3">
      <c r="A6" s="2" t="s">
        <v>6</v>
      </c>
      <c r="B6" s="10">
        <v>3.7526405686020619E-3</v>
      </c>
      <c r="C6" s="10">
        <v>1</v>
      </c>
      <c r="D6" s="10">
        <v>0.99019607843137258</v>
      </c>
      <c r="E6" s="10">
        <v>9.8039215686274161E-3</v>
      </c>
    </row>
    <row r="7" spans="1:5" x14ac:dyDescent="0.3">
      <c r="A7" s="2" t="s">
        <v>7</v>
      </c>
      <c r="B7" s="10">
        <v>2.9169464951935668E-3</v>
      </c>
      <c r="C7" s="10">
        <v>0.99886567164179108</v>
      </c>
      <c r="D7" s="10">
        <v>0.98887109140735907</v>
      </c>
      <c r="E7" s="10">
        <v>9.9945802344320045E-3</v>
      </c>
    </row>
    <row r="8" spans="1:5" x14ac:dyDescent="0.3">
      <c r="A8" s="2" t="s">
        <v>8</v>
      </c>
      <c r="B8" s="10">
        <v>3.9583342764695738E-3</v>
      </c>
      <c r="C8" s="10">
        <v>1</v>
      </c>
      <c r="D8" s="10">
        <v>0.9878747795414462</v>
      </c>
      <c r="E8" s="10">
        <v>1.2125220458553798E-2</v>
      </c>
    </row>
    <row r="9" spans="1:5" x14ac:dyDescent="0.3">
      <c r="A9" s="2" t="s">
        <v>9</v>
      </c>
      <c r="B9" s="10">
        <v>9.2514702364829347E-4</v>
      </c>
      <c r="C9" s="10">
        <v>1</v>
      </c>
      <c r="D9" s="10">
        <v>0.99604677977268985</v>
      </c>
      <c r="E9" s="10">
        <v>3.9532202273101502E-3</v>
      </c>
    </row>
    <row r="10" spans="1:5" x14ac:dyDescent="0.3">
      <c r="A10" s="2" t="s">
        <v>37</v>
      </c>
      <c r="B10" s="10">
        <v>6.732933429234012E-3</v>
      </c>
      <c r="C10" s="10">
        <v>1</v>
      </c>
      <c r="D10" s="10">
        <v>0.95209580838323349</v>
      </c>
      <c r="E10" s="11">
        <v>4.7904191616766512E-2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4A53C-C901-4DA9-9ACE-3DA8EC1CC0B6}">
  <dimension ref="A1:Z5"/>
  <sheetViews>
    <sheetView showGridLines="0" tabSelected="1" zoomScale="41" zoomScaleNormal="59" zoomScaleSheetLayoutView="56" zoomScalePageLayoutView="51" workbookViewId="0">
      <selection activeCell="W9" sqref="W9"/>
    </sheetView>
  </sheetViews>
  <sheetFormatPr defaultRowHeight="14.4" x14ac:dyDescent="0.3"/>
  <sheetData>
    <row r="1" spans="1:26" ht="14.4" customHeight="1" x14ac:dyDescent="0.9">
      <c r="A1" s="18" t="s">
        <v>87</v>
      </c>
      <c r="B1" s="19"/>
      <c r="C1" s="19"/>
      <c r="D1" s="19"/>
      <c r="E1" s="19"/>
      <c r="F1" s="19"/>
      <c r="G1" s="19"/>
      <c r="H1" s="19"/>
      <c r="I1" s="19"/>
      <c r="J1" s="19"/>
      <c r="K1" s="19"/>
      <c r="L1" s="19"/>
      <c r="M1" s="19"/>
      <c r="N1" s="19"/>
      <c r="O1" s="19"/>
      <c r="P1" s="19"/>
      <c r="Q1" s="19"/>
      <c r="R1" s="19"/>
      <c r="S1" s="19"/>
      <c r="T1" s="19"/>
      <c r="U1" s="16"/>
      <c r="V1" s="16"/>
      <c r="W1" s="16"/>
      <c r="X1" s="16"/>
      <c r="Y1" s="16"/>
      <c r="Z1" s="16"/>
    </row>
    <row r="2" spans="1:26" ht="14.4" customHeight="1" x14ac:dyDescent="0.9">
      <c r="A2" s="19"/>
      <c r="B2" s="19"/>
      <c r="C2" s="19"/>
      <c r="D2" s="19"/>
      <c r="E2" s="19"/>
      <c r="F2" s="19"/>
      <c r="G2" s="19"/>
      <c r="H2" s="19"/>
      <c r="I2" s="19"/>
      <c r="J2" s="19"/>
      <c r="K2" s="19"/>
      <c r="L2" s="19"/>
      <c r="M2" s="19"/>
      <c r="N2" s="19"/>
      <c r="O2" s="19"/>
      <c r="P2" s="19"/>
      <c r="Q2" s="19"/>
      <c r="R2" s="19"/>
      <c r="S2" s="19"/>
      <c r="T2" s="19"/>
      <c r="U2" s="16"/>
      <c r="V2" s="16"/>
      <c r="W2" s="16"/>
      <c r="X2" s="16"/>
      <c r="Y2" s="16"/>
      <c r="Z2" s="16"/>
    </row>
    <row r="3" spans="1:26" ht="14.4" customHeight="1" x14ac:dyDescent="0.9">
      <c r="A3" s="19"/>
      <c r="B3" s="19"/>
      <c r="C3" s="19"/>
      <c r="D3" s="19"/>
      <c r="E3" s="19"/>
      <c r="F3" s="19"/>
      <c r="G3" s="19"/>
      <c r="H3" s="19"/>
      <c r="I3" s="19"/>
      <c r="J3" s="19"/>
      <c r="K3" s="19"/>
      <c r="L3" s="19"/>
      <c r="M3" s="19"/>
      <c r="N3" s="19"/>
      <c r="O3" s="19"/>
      <c r="P3" s="19"/>
      <c r="Q3" s="19"/>
      <c r="R3" s="19"/>
      <c r="S3" s="19"/>
      <c r="T3" s="19"/>
      <c r="U3" s="16"/>
      <c r="V3" s="16"/>
      <c r="W3" s="16"/>
      <c r="X3" s="16"/>
      <c r="Y3" s="16"/>
      <c r="Z3" s="16"/>
    </row>
    <row r="4" spans="1:26" ht="14.4" customHeight="1" x14ac:dyDescent="0.9">
      <c r="A4" s="19"/>
      <c r="B4" s="19"/>
      <c r="C4" s="19"/>
      <c r="D4" s="19"/>
      <c r="E4" s="19"/>
      <c r="F4" s="19"/>
      <c r="G4" s="19"/>
      <c r="H4" s="19"/>
      <c r="I4" s="19"/>
      <c r="J4" s="19"/>
      <c r="K4" s="19"/>
      <c r="L4" s="19"/>
      <c r="M4" s="19"/>
      <c r="N4" s="19"/>
      <c r="O4" s="19"/>
      <c r="P4" s="19"/>
      <c r="Q4" s="19"/>
      <c r="R4" s="19"/>
      <c r="S4" s="19"/>
      <c r="T4" s="19"/>
      <c r="U4" s="16"/>
      <c r="V4" s="16"/>
      <c r="W4" s="16"/>
      <c r="X4" s="16"/>
      <c r="Y4" s="16"/>
      <c r="Z4" s="16"/>
    </row>
    <row r="5" spans="1:26" ht="14.4" customHeight="1" x14ac:dyDescent="0.9">
      <c r="A5" s="19"/>
      <c r="B5" s="19"/>
      <c r="C5" s="19"/>
      <c r="D5" s="19"/>
      <c r="E5" s="19"/>
      <c r="F5" s="19"/>
      <c r="G5" s="19"/>
      <c r="H5" s="19"/>
      <c r="I5" s="19"/>
      <c r="J5" s="19"/>
      <c r="K5" s="19"/>
      <c r="L5" s="19"/>
      <c r="M5" s="19"/>
      <c r="N5" s="19"/>
      <c r="O5" s="19"/>
      <c r="P5" s="19"/>
      <c r="Q5" s="19"/>
      <c r="R5" s="19"/>
      <c r="S5" s="19"/>
      <c r="T5" s="19"/>
      <c r="U5" s="16"/>
      <c r="V5" s="16"/>
      <c r="W5" s="16"/>
      <c r="X5" s="16"/>
      <c r="Y5" s="16"/>
      <c r="Z5" s="16"/>
    </row>
  </sheetData>
  <mergeCells count="1">
    <mergeCell ref="A1:T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4CD72021-4F7A-4D54-859A-40DC5420DAC9}">
  <ds:schemaRefs>
    <ds:schemaRef ds:uri="http://schemas.microsoft.com/DataMashup"/>
  </ds:schemaRefs>
</ds:datastoreItem>
</file>

<file path=customXml/itemProps2.xml><?xml version="1.0" encoding="utf-8"?>
<ds:datastoreItem xmlns:ds="http://schemas.openxmlformats.org/officeDocument/2006/customXml" ds:itemID="{D908E097-AE88-4A3C-9687-BC7920A54A41}">
  <ds:schemaRefs/>
</ds:datastoreItem>
</file>

<file path=customXml/itemProps3.xml><?xml version="1.0" encoding="utf-8"?>
<ds:datastoreItem xmlns:ds="http://schemas.openxmlformats.org/officeDocument/2006/customXml" ds:itemID="{514613B9-11F9-4451-AC09-4C816A20C006}">
  <ds:schemaRefs/>
</ds:datastoreItem>
</file>

<file path=customXml/itemProps4.xml><?xml version="1.0" encoding="utf-8"?>
<ds:datastoreItem xmlns:ds="http://schemas.openxmlformats.org/officeDocument/2006/customXml" ds:itemID="{B81D9DB1-4D4D-47EA-A796-867A97BD76A2}">
  <ds:schemaRefs/>
</ds:datastoreItem>
</file>

<file path=customXml/itemProps5.xml><?xml version="1.0" encoding="utf-8"?>
<ds:datastoreItem xmlns:ds="http://schemas.openxmlformats.org/officeDocument/2006/customXml" ds:itemID="{7F65BF0C-2B38-45DD-865A-6B924C127090}">
  <ds:schemaRefs/>
</ds:datastoreItem>
</file>

<file path=customXml/itemProps6.xml><?xml version="1.0" encoding="utf-8"?>
<ds:datastoreItem xmlns:ds="http://schemas.openxmlformats.org/officeDocument/2006/customXml" ds:itemID="{778D6B0A-4194-478A-BB49-5191BC3DA1F3}">
  <ds:schemaRefs/>
</ds:datastoreItem>
</file>

<file path=customXml/itemProps7.xml><?xml version="1.0" encoding="utf-8"?>
<ds:datastoreItem xmlns:ds="http://schemas.openxmlformats.org/officeDocument/2006/customXml" ds:itemID="{CF13E07E-49BB-4BED-A89C-EF068C509A8D}">
  <ds:schemaRefs/>
</ds:datastoreItem>
</file>

<file path=customXml/itemProps8.xml><?xml version="1.0" encoding="utf-8"?>
<ds:datastoreItem xmlns:ds="http://schemas.openxmlformats.org/officeDocument/2006/customXml" ds:itemID="{F72B7BCF-EF39-43DA-8860-5E2FF10DF530}">
  <ds:schemaRefs/>
</ds:datastoreItem>
</file>

<file path=customXml/itemProps9.xml><?xml version="1.0" encoding="utf-8"?>
<ds:datastoreItem xmlns:ds="http://schemas.openxmlformats.org/officeDocument/2006/customXml" ds:itemID="{6CECD4B8-176E-4971-9B6E-038CA8F27B07}">
  <ds:schemaRefs/>
</ds:datastoreItem>
</file>

<file path=customXml/itemProps10.xml><?xml version="1.0" encoding="utf-8"?>
<ds:datastoreItem xmlns:ds="http://schemas.openxmlformats.org/officeDocument/2006/customXml" ds:itemID="{71576288-D9F0-44AD-8401-71592E779ECA}">
  <ds:schemaRefs/>
</ds:datastoreItem>
</file>

<file path=customXml/itemProps11.xml><?xml version="1.0" encoding="utf-8"?>
<ds:datastoreItem xmlns:ds="http://schemas.openxmlformats.org/officeDocument/2006/customXml" ds:itemID="{368C91B3-83B6-4267-A8F9-2FC047F07B8F}">
  <ds:schemaRefs/>
</ds:datastoreItem>
</file>

<file path=customXml/itemProps12.xml><?xml version="1.0" encoding="utf-8"?>
<ds:datastoreItem xmlns:ds="http://schemas.openxmlformats.org/officeDocument/2006/customXml" ds:itemID="{EDDED8ED-1170-4B94-9F61-0FE85B5AB07D}">
  <ds:schemaRefs/>
</ds:datastoreItem>
</file>

<file path=customXml/itemProps13.xml><?xml version="1.0" encoding="utf-8"?>
<ds:datastoreItem xmlns:ds="http://schemas.openxmlformats.org/officeDocument/2006/customXml" ds:itemID="{226DDBBE-996F-4D30-A9D0-64B628E75B38}">
  <ds:schemaRefs/>
</ds:datastoreItem>
</file>

<file path=customXml/itemProps14.xml><?xml version="1.0" encoding="utf-8"?>
<ds:datastoreItem xmlns:ds="http://schemas.openxmlformats.org/officeDocument/2006/customXml" ds:itemID="{D2FE7346-97B3-4083-8940-3D14C9C842E9}">
  <ds:schemaRefs/>
</ds:datastoreItem>
</file>

<file path=customXml/itemProps15.xml><?xml version="1.0" encoding="utf-8"?>
<ds:datastoreItem xmlns:ds="http://schemas.openxmlformats.org/officeDocument/2006/customXml" ds:itemID="{27A2D2DD-2B16-45BF-8030-2FDD6208C39A}">
  <ds:schemaRefs/>
</ds:datastoreItem>
</file>

<file path=customXml/itemProps16.xml><?xml version="1.0" encoding="utf-8"?>
<ds:datastoreItem xmlns:ds="http://schemas.openxmlformats.org/officeDocument/2006/customXml" ds:itemID="{DA4BDDC4-E7E9-48F1-8583-884B8D00CF79}">
  <ds:schemaRefs/>
</ds:datastoreItem>
</file>

<file path=customXml/itemProps17.xml><?xml version="1.0" encoding="utf-8"?>
<ds:datastoreItem xmlns:ds="http://schemas.openxmlformats.org/officeDocument/2006/customXml" ds:itemID="{9114671C-E870-493A-80A8-5460E16B33A0}">
  <ds:schemaRefs/>
</ds:datastoreItem>
</file>

<file path=customXml/itemProps18.xml><?xml version="1.0" encoding="utf-8"?>
<ds:datastoreItem xmlns:ds="http://schemas.openxmlformats.org/officeDocument/2006/customXml" ds:itemID="{E64704B1-D20C-4F34-8E32-9417D305C83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class12-2022 dataset</vt:lpstr>
      <vt:lpstr>class 12-2022 table</vt:lpstr>
      <vt:lpstr>class12-2022 result</vt:lpstr>
      <vt:lpstr>pivot_integrity_summary</vt:lpstr>
      <vt:lpstr>pivot_baseflag_summary</vt:lpstr>
      <vt:lpstr>pivot_anomaly_summary</vt:lpstr>
      <vt:lpstr>fact_table</vt:lpstr>
      <vt:lpstr>Charts_volatility</vt:lpstr>
      <vt:lpstr>minbase_pivot</vt:lpstr>
      <vt:lpstr>profiling_baseflag</vt:lpstr>
      <vt:lpstr>profiling_anomalyflag</vt:lpstr>
      <vt:lpstr>profiling_volatility_schooltype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2025-12-03T13:40:29Z</dcterms:modified>
</cp:coreProperties>
</file>