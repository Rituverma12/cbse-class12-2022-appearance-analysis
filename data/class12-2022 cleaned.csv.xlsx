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CER\cbse-class12-2022-appearance-analysis\data\"/>
    </mc:Choice>
  </mc:AlternateContent>
  <xr:revisionPtr revIDLastSave="0" documentId="13_ncr:1_{3DE6CE5A-F6C7-41A0-AD21-D59ECCB89DF2}" xr6:coauthVersionLast="47" xr6:coauthVersionMax="47" xr10:uidLastSave="{00000000-0000-0000-0000-000000000000}"/>
  <bookViews>
    <workbookView xWindow="11424" yWindow="0" windowWidth="11712" windowHeight="12336" tabRatio="1000" firstSheet="7" activeTab="8" xr2:uid="{352D25E5-EE06-4DDB-99E1-3948CD812789}"/>
  </bookViews>
  <sheets>
    <sheet name="class12-2022 dataset" sheetId="1" r:id="rId1"/>
    <sheet name="class 12-2022 table" sheetId="2" r:id="rId2"/>
    <sheet name="class12-2022 result" sheetId="3" r:id="rId3"/>
    <sheet name="fact_table" sheetId="4" r:id="rId4"/>
    <sheet name="minbase_pivot" sheetId="10" r:id="rId5"/>
    <sheet name="profiling_baseflag" sheetId="11" r:id="rId6"/>
    <sheet name="profiling_anomalyflag" sheetId="12" r:id="rId7"/>
    <sheet name="profiling_volatility_schooltype" sheetId="13" r:id="rId8"/>
    <sheet name="Charts_volatility" sheetId="15" r:id="rId9"/>
  </sheets>
  <definedNames>
    <definedName name="ExternalData_1" localSheetId="2" hidden="1">'class12-2022 result'!$A$1:$I$97</definedName>
    <definedName name="ExternalData_1" localSheetId="3" hidden="1">fact_table!$A$1:$I$97</definedName>
    <definedName name="Slicer_School_Type">#N/A</definedName>
  </definedNames>
  <calcPr calcId="191029"/>
  <pivotCaches>
    <pivotCache cacheId="2" r:id="rId10"/>
  </pivotCaches>
  <extLs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3" l="1" a="1"/>
  <c r="E4" i="13" s="1"/>
  <c r="M2" i="4"/>
  <c r="M98" i="4" s="1"/>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L2"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B15" i="12"/>
  <c r="B14" i="12"/>
  <c r="B6" i="12"/>
  <c r="B13" i="12"/>
  <c r="B12" i="12"/>
  <c r="B11" i="12"/>
  <c r="B10" i="12"/>
  <c r="B9" i="12"/>
  <c r="B8" i="12"/>
  <c r="B7" i="12"/>
  <c r="B5" i="12"/>
  <c r="B4" i="12"/>
  <c r="B3" i="12" a="1"/>
  <c r="B3" i="12" s="1"/>
  <c r="B2" i="12" a="1"/>
  <c r="B2" i="12" s="1"/>
  <c r="B1" i="12"/>
  <c r="K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B7" i="11"/>
  <c r="B5" i="11"/>
  <c r="B4" i="11"/>
  <c r="B6" i="11"/>
  <c r="B3" i="11" a="1"/>
  <c r="B3" i="11" s="1"/>
  <c r="B2" i="11" a="1"/>
  <c r="B2" i="11" s="1"/>
  <c r="B1" i="11"/>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B16" i="1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A36741-777C-4054-ABCB-522B390D1128}"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299D9350-1C35-4389-9E8A-F98AC90FE754}"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<sst xmlns="http://schemas.openxmlformats.org/spreadsheetml/2006/main" count="680" uniqueCount="72">
  <si>
    <t>Class</t>
  </si>
  <si>
    <t>Year</t>
  </si>
  <si>
    <t xml:space="preserve">Type </t>
  </si>
  <si>
    <t>Status</t>
  </si>
  <si>
    <t>CTSA</t>
  </si>
  <si>
    <t>GOVT</t>
  </si>
  <si>
    <t>GOVT AIDED</t>
  </si>
  <si>
    <t>INDEPENDENT</t>
  </si>
  <si>
    <t>JNV</t>
  </si>
  <si>
    <t>KV</t>
  </si>
  <si>
    <t>Ajmer</t>
  </si>
  <si>
    <t>Regd.</t>
  </si>
  <si>
    <t>Appd.</t>
  </si>
  <si>
    <t>Bhubaneswar</t>
  </si>
  <si>
    <t>Chandigarh</t>
  </si>
  <si>
    <t>Delhi East</t>
  </si>
  <si>
    <t>Pune</t>
  </si>
  <si>
    <t>Guwahati</t>
  </si>
  <si>
    <t>Panchkula</t>
  </si>
  <si>
    <t>Bengaluru</t>
  </si>
  <si>
    <t>Bhopal</t>
  </si>
  <si>
    <t>Chennai</t>
  </si>
  <si>
    <t>Noida</t>
  </si>
  <si>
    <t>Patna</t>
  </si>
  <si>
    <t>Prayagraj</t>
  </si>
  <si>
    <t>Trivandrum</t>
  </si>
  <si>
    <t>Dehradun</t>
  </si>
  <si>
    <t>Delhi West</t>
  </si>
  <si>
    <t>Region</t>
  </si>
  <si>
    <t>School Type</t>
  </si>
  <si>
    <t>Registered</t>
  </si>
  <si>
    <t>Appeared</t>
  </si>
  <si>
    <t>Appearance Rate</t>
  </si>
  <si>
    <t>No-show Rate</t>
  </si>
  <si>
    <t>Absence Flag</t>
  </si>
  <si>
    <t>ABSENT</t>
  </si>
  <si>
    <t>Row Labels</t>
  </si>
  <si>
    <t>Grand Total</t>
  </si>
  <si>
    <t>Min of Registered</t>
  </si>
  <si>
    <t>Base Status</t>
  </si>
  <si>
    <t>NON_ZERO</t>
  </si>
  <si>
    <t>Smallest non-zero base</t>
  </si>
  <si>
    <t>25th percentile (non-zero)</t>
  </si>
  <si>
    <t>Median (non-zero)</t>
  </si>
  <si>
    <t>Count below 30</t>
  </si>
  <si>
    <t>Count below 50</t>
  </si>
  <si>
    <t>Count below 100</t>
  </si>
  <si>
    <t>Count below 1000</t>
  </si>
  <si>
    <t>Base Flag</t>
  </si>
  <si>
    <t>Smallest non-zero rate:</t>
  </si>
  <si>
    <t>25th percentile:</t>
  </si>
  <si>
    <t xml:space="preserve">Median: </t>
  </si>
  <si>
    <t>Count below 90%:</t>
  </si>
  <si>
    <t>Count below 95%:</t>
  </si>
  <si>
    <t>Count below 98%:</t>
  </si>
  <si>
    <t>Count below 99%:</t>
  </si>
  <si>
    <t>Count below 98.5%:</t>
  </si>
  <si>
    <t>Count below 98.6%:</t>
  </si>
  <si>
    <t>Count below 98.7%:</t>
  </si>
  <si>
    <t>Count below 98.8%:</t>
  </si>
  <si>
    <t>Count below 98.9%:</t>
  </si>
  <si>
    <t xml:space="preserve">Total Counts: </t>
  </si>
  <si>
    <t>Blank fields:</t>
  </si>
  <si>
    <t>Non-empty rows:</t>
  </si>
  <si>
    <t>Count below 96%:</t>
  </si>
  <si>
    <t>Anomaly Flag</t>
  </si>
  <si>
    <t>Coverage Share</t>
  </si>
  <si>
    <t>volatility_pivot</t>
  </si>
  <si>
    <t>Volatility_StdDev_SchoolType</t>
  </si>
  <si>
    <t>Max_AppearanceRate</t>
  </si>
  <si>
    <t>Min_AppearanceRate</t>
  </si>
  <si>
    <t>Volatility_Range_SchoolType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</si>
</sst>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0.0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theme="4" tint="0.79998168889431442"/>
      </patternFill>
    </fill>
    <fill>
      <patternFill patternType="solid">
        <fgColor theme="6" tint="0.59999389629810485"/>
        <bgColor indexed="64"/>
      </patternFill>
    </fill>
    <fill>
      <patternFill patternType="solid">
        <fgColor theme="0"/>
        <bgColor theme="4" tint="0.79998168889431442"/>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33" borderId="0" xfId="0" applyFill="1"/>
    <xf numFmtId="0" fontId="0" fillId="34" borderId="0" xfId="0" applyFill="1"/>
    <xf numFmtId="0" fontId="0" fillId="35" borderId="0" xfId="0" applyFill="1"/>
    <xf numFmtId="0" fontId="0" fillId="0" borderId="0" xfId="0" applyNumberFormat="1"/>
    <xf numFmtId="10" fontId="0" fillId="0" borderId="0" xfId="0" applyNumberFormat="1"/>
    <xf numFmtId="0" fontId="16" fillId="36" borderId="10" xfId="0" applyFont="1" applyFill="1" applyBorder="1"/>
    <xf numFmtId="0" fontId="0" fillId="37" borderId="0" xfId="0" applyFill="1"/>
    <xf numFmtId="166" fontId="0" fillId="0" borderId="0" xfId="0" applyNumberFormat="1"/>
    <xf numFmtId="166" fontId="16" fillId="36" borderId="10" xfId="0" applyNumberFormat="1" applyFont="1" applyFill="1" applyBorder="1"/>
    <xf numFmtId="0" fontId="16" fillId="0" borderId="11" xfId="0" applyFont="1" applyBorder="1"/>
    <xf numFmtId="0" fontId="16" fillId="38" borderId="11" xfId="0" applyFont="1" applyFill="1" applyBorder="1"/>
    <xf numFmtId="0" fontId="0" fillId="0" borderId="11" xfId="0" applyBorder="1" applyAlignment="1">
      <alignment horizontal="left"/>
    </xf>
    <xf numFmtId="166" fontId="0" fillId="0" borderId="11"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7">
    <dxf>
      <numFmt numFmtId="166" formatCode="0.0000"/>
    </dxf>
    <dxf>
      <numFmt numFmtId="166" formatCode="0.0000"/>
    </dxf>
    <dxf>
      <numFmt numFmtId="166" formatCode="0.0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E4EF-4386-B978-25BFF3C57E88}"/>
            </c:ext>
          </c:extLst>
        </c:ser>
        <c:ser>
          <c:idx val="1"/>
          <c:order val="1"/>
          <c:tx>
            <c:strRef>
              <c:f>Charts_volatility!$C$3</c:f>
              <c:strCache>
                <c:ptCount val="1"/>
                <c:pt idx="0">
                  <c:v>Volatility_Range_SchoolType</c:v>
                </c:pt>
              </c:strCache>
            </c:strRef>
          </c:tx>
          <c:spPr>
            <a:solidFill>
              <a:schemeClr val="accent2"/>
            </a:solidFill>
            <a:ln>
              <a:noFill/>
            </a:ln>
            <a:effectLst/>
          </c:spPr>
          <c:invertIfNegative val="0"/>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extLst>
            <c:ext xmlns:c16="http://schemas.microsoft.com/office/drawing/2014/chart" uri="{C3380CC4-5D6E-409C-BE32-E72D297353CC}">
              <c16:uniqueId val="{00000001-E4EF-4386-B978-25BFF3C57E88}"/>
            </c:ext>
          </c:extLst>
        </c:ser>
        <c:dLbls>
          <c:showLegendKey val="0"/>
          <c:showVal val="0"/>
          <c:showCatName val="0"/>
          <c:showSerName val="0"/>
          <c:showPercent val="0"/>
          <c:showBubbleSize val="0"/>
        </c:dLbls>
        <c:gapWidth val="219"/>
        <c:overlap val="-27"/>
        <c:axId val="517579296"/>
        <c:axId val="517576896"/>
      </c:barChart>
      <c:catAx>
        <c:axId val="51757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6896"/>
        <c:crosses val="autoZero"/>
        <c:auto val="1"/>
        <c:lblAlgn val="ctr"/>
        <c:lblOffset val="100"/>
        <c:noMultiLvlLbl val="0"/>
      </c:catAx>
      <c:valAx>
        <c:axId val="517576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Volatility</a:t>
                </a:r>
                <a:r>
                  <a:rPr lang="en-IN" baseline="0"/>
                  <a:t> (StdDev vs Range)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92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Volatility</a:t>
            </a:r>
            <a:r>
              <a:rPr lang="en-IN" baseline="0"/>
              <a:t> Index by School Type (Dual Axis)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104469376959893"/>
          <c:y val="0.12830793440172397"/>
          <c:w val="0.73791061246080214"/>
          <c:h val="0.59561703176136072"/>
        </c:manualLayout>
      </c:layout>
      <c:barChart>
        <c:barDir val="col"/>
        <c:grouping val="clustered"/>
        <c:varyColors val="0"/>
        <c:ser>
          <c:idx val="0"/>
          <c:order val="0"/>
          <c:tx>
            <c:strRef>
              <c:f>Charts_volatility!$B$3</c:f>
              <c:strCache>
                <c:ptCount val="1"/>
                <c:pt idx="0">
                  <c:v>Volatility_StdDev_SchoolType</c:v>
                </c:pt>
              </c:strCache>
            </c:strRef>
          </c:tx>
          <c:spPr>
            <a:solidFill>
              <a:schemeClr val="accent1"/>
            </a:solidFill>
            <a:ln>
              <a:noFill/>
            </a:ln>
            <a:effectLst/>
          </c:spPr>
          <c:invertIfNegative val="0"/>
          <c:dLbls>
            <c:dLbl>
              <c:idx val="0"/>
              <c:layout>
                <c:manualLayout>
                  <c:x val="-1.9670126366789911E-17"/>
                  <c:y val="-3.8566679967616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8CB-49B0-9EEF-CE01B3687069}"/>
                </c:ext>
              </c:extLst>
            </c:dLbl>
            <c:dLbl>
              <c:idx val="1"/>
              <c:layout>
                <c:manualLayout>
                  <c:x val="-4.9354705390763892E-2"/>
                  <c:y val="3.85666799676161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8CB-49B0-9EEF-CE01B3687069}"/>
                </c:ext>
              </c:extLst>
            </c:dLbl>
            <c:dLbl>
              <c:idx val="2"/>
              <c:layout>
                <c:manualLayout>
                  <c:x val="1.7166854048961355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8CB-49B0-9EEF-CE01B3687069}"/>
                </c:ext>
              </c:extLst>
            </c:dLbl>
            <c:dLbl>
              <c:idx val="3"/>
              <c:layout>
                <c:manualLayout>
                  <c:x val="-1.5020997292841185E-2"/>
                  <c:y val="-1.92833399838081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CB-49B0-9EEF-CE01B3687069}"/>
                </c:ext>
              </c:extLst>
            </c:dLbl>
            <c:dLbl>
              <c:idx val="4"/>
              <c:layout>
                <c:manualLayout>
                  <c:x val="-3.6575533898608091E-2"/>
                  <c:y val="-7.2355363487498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8CB-49B0-9EEF-CE01B3687069}"/>
                </c:ext>
              </c:extLst>
            </c:dLbl>
            <c:dLbl>
              <c:idx val="5"/>
              <c:layout>
                <c:manualLayout>
                  <c:x val="-5.5735729959429124E-2"/>
                  <c:y val="-6.09449178067512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Charts_volatility!$B$4:$B$9</c:f>
              <c:numCache>
                <c:formatCode>0.0000</c:formatCode>
                <c:ptCount val="6"/>
                <c:pt idx="0">
                  <c:v>8.0140564981311131E-3</c:v>
                </c:pt>
                <c:pt idx="1">
                  <c:v>1.2089637108015959E-2</c:v>
                </c:pt>
                <c:pt idx="2">
                  <c:v>3.7526405686020619E-3</c:v>
                </c:pt>
                <c:pt idx="3">
                  <c:v>2.9169464951935668E-3</c:v>
                </c:pt>
                <c:pt idx="4">
                  <c:v>3.9583342764695738E-3</c:v>
                </c:pt>
                <c:pt idx="5">
                  <c:v>9.2514702364829347E-4</c:v>
                </c:pt>
              </c:numCache>
            </c:numRef>
          </c:val>
          <c:extLst>
            <c:ext xmlns:c16="http://schemas.microsoft.com/office/drawing/2014/chart" uri="{C3380CC4-5D6E-409C-BE32-E72D297353CC}">
              <c16:uniqueId val="{00000000-78CB-49B0-9EEF-CE01B3687069}"/>
            </c:ext>
          </c:extLst>
        </c:ser>
        <c:dLbls>
          <c:showLegendKey val="0"/>
          <c:showVal val="1"/>
          <c:showCatName val="0"/>
          <c:showSerName val="0"/>
          <c:showPercent val="0"/>
          <c:showBubbleSize val="0"/>
        </c:dLbls>
        <c:gapWidth val="219"/>
        <c:overlap val="-27"/>
        <c:axId val="517568736"/>
        <c:axId val="517565856"/>
      </c:barChart>
      <c:lineChart>
        <c:grouping val="standard"/>
        <c:varyColors val="0"/>
        <c:ser>
          <c:idx val="1"/>
          <c:order val="1"/>
          <c:tx>
            <c:strRef>
              <c:f>Charts_volatility!$C$3</c:f>
              <c:strCache>
                <c:ptCount val="1"/>
                <c:pt idx="0">
                  <c:v>Volatility_Range_SchoolType</c:v>
                </c:pt>
              </c:strCache>
            </c:strRef>
          </c:tx>
          <c:spPr>
            <a:ln w="28575" cap="rnd">
              <a:solidFill>
                <a:schemeClr val="accent2"/>
              </a:solidFill>
              <a:round/>
            </a:ln>
            <a:effectLst/>
          </c:spPr>
          <c:marker>
            <c:symbol val="none"/>
          </c:marker>
          <c:dLbls>
            <c:dLbl>
              <c:idx val="0"/>
              <c:layout>
                <c:manualLayout>
                  <c:x val="2.1458567561201694E-2"/>
                  <c:y val="5.01366839579009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CB-49B0-9EEF-CE01B3687069}"/>
                </c:ext>
              </c:extLst>
            </c:dLbl>
            <c:dLbl>
              <c:idx val="1"/>
              <c:layout>
                <c:manualLayout>
                  <c:x val="3.2187851341802458E-2"/>
                  <c:y val="4.24233479643777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CB-49B0-9EEF-CE01B3687069}"/>
                </c:ext>
              </c:extLst>
            </c:dLbl>
            <c:dLbl>
              <c:idx val="2"/>
              <c:layout>
                <c:manualLayout>
                  <c:x val="1.5020997292841185E-2"/>
                  <c:y val="5.78500199514242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8CB-49B0-9EEF-CE01B3687069}"/>
                </c:ext>
              </c:extLst>
            </c:dLbl>
            <c:dLbl>
              <c:idx val="3"/>
              <c:layout>
                <c:manualLayout>
                  <c:x val="1.2909011964214593E-2"/>
                  <c:y val="4.56981243078938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CB-49B0-9EEF-CE01B3687069}"/>
                </c:ext>
              </c:extLst>
            </c:dLbl>
            <c:dLbl>
              <c:idx val="4"/>
              <c:layout>
                <c:manualLayout>
                  <c:x val="1.9369145148116496E-2"/>
                  <c:y val="-8.79760631497498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CB-49B0-9EEF-CE01B3687069}"/>
                </c:ext>
              </c:extLst>
            </c:dLbl>
            <c:dLbl>
              <c:idx val="5"/>
              <c:layout>
                <c:manualLayout>
                  <c:x val="-8.5714309818422339E-3"/>
                  <c:y val="-0.116096723658423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8CB-49B0-9EEF-CE01B3687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Charts_volatility!$A$4:$A$9</c:f>
              <c:strCache>
                <c:ptCount val="6"/>
                <c:pt idx="0">
                  <c:v>CTSA</c:v>
                </c:pt>
                <c:pt idx="1">
                  <c:v>GOVT</c:v>
                </c:pt>
                <c:pt idx="2">
                  <c:v>GOVT AIDED</c:v>
                </c:pt>
                <c:pt idx="3">
                  <c:v>INDEPENDENT</c:v>
                </c:pt>
                <c:pt idx="4">
                  <c:v>JNV</c:v>
                </c:pt>
                <c:pt idx="5">
                  <c:v>KV</c:v>
                </c:pt>
              </c:strCache>
            </c:strRef>
          </c:cat>
          <c:val>
            <c:numRef>
              <c:f>Charts_volatility!$C$4:$C$9</c:f>
              <c:numCache>
                <c:formatCode>0.0000</c:formatCode>
                <c:ptCount val="6"/>
                <c:pt idx="0">
                  <c:v>1.9417475728155331E-2</c:v>
                </c:pt>
                <c:pt idx="1">
                  <c:v>4.7904191616766512E-2</c:v>
                </c:pt>
                <c:pt idx="2">
                  <c:v>9.8039215686274161E-3</c:v>
                </c:pt>
                <c:pt idx="3">
                  <c:v>9.9945802344320045E-3</c:v>
                </c:pt>
                <c:pt idx="4">
                  <c:v>1.2125220458553798E-2</c:v>
                </c:pt>
                <c:pt idx="5">
                  <c:v>3.9532202273101502E-3</c:v>
                </c:pt>
              </c:numCache>
            </c:numRef>
          </c:val>
          <c:smooth val="0"/>
          <c:extLst>
            <c:ext xmlns:c16="http://schemas.microsoft.com/office/drawing/2014/chart" uri="{C3380CC4-5D6E-409C-BE32-E72D297353CC}">
              <c16:uniqueId val="{00000001-78CB-49B0-9EEF-CE01B3687069}"/>
            </c:ext>
          </c:extLst>
        </c:ser>
        <c:dLbls>
          <c:showLegendKey val="0"/>
          <c:showVal val="1"/>
          <c:showCatName val="0"/>
          <c:showSerName val="0"/>
          <c:showPercent val="0"/>
          <c:showBubbleSize val="0"/>
        </c:dLbls>
        <c:marker val="1"/>
        <c:smooth val="0"/>
        <c:axId val="517575936"/>
        <c:axId val="517567776"/>
      </c:lineChart>
      <c:catAx>
        <c:axId val="517568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School</a:t>
                </a:r>
                <a:r>
                  <a:rPr lang="en-IN" baseline="0"/>
                  <a:t> Type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5856"/>
        <c:crosses val="autoZero"/>
        <c:auto val="1"/>
        <c:lblAlgn val="ctr"/>
        <c:lblOffset val="100"/>
        <c:noMultiLvlLbl val="0"/>
      </c:catAx>
      <c:valAx>
        <c:axId val="51756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StdDev</a:t>
                </a:r>
                <a:r>
                  <a:rPr lang="en-IN" baseline="0"/>
                  <a:t> (behavioral consistency)</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68736"/>
        <c:crosses val="autoZero"/>
        <c:crossBetween val="between"/>
      </c:valAx>
      <c:valAx>
        <c:axId val="51756777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Range</a:t>
                </a:r>
                <a:r>
                  <a:rPr lang="en-IN" baseline="0"/>
                  <a:t> (Extreme spread)</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575936"/>
        <c:crosses val="max"/>
        <c:crossBetween val="between"/>
      </c:valAx>
      <c:catAx>
        <c:axId val="517575936"/>
        <c:scaling>
          <c:orientation val="minMax"/>
        </c:scaling>
        <c:delete val="1"/>
        <c:axPos val="b"/>
        <c:numFmt formatCode="General" sourceLinked="1"/>
        <c:majorTickMark val="out"/>
        <c:minorTickMark val="none"/>
        <c:tickLblPos val="nextTo"/>
        <c:crossAx val="517567776"/>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4</xdr:col>
      <xdr:colOff>7620</xdr:colOff>
      <xdr:row>1</xdr:row>
      <xdr:rowOff>0</xdr:rowOff>
    </xdr:from>
    <xdr:to>
      <xdr:col>7</xdr:col>
      <xdr:colOff>7620</xdr:colOff>
      <xdr:row>15</xdr:row>
      <xdr:rowOff>20955</xdr:rowOff>
    </xdr:to>
    <mc:AlternateContent xmlns:mc="http://schemas.openxmlformats.org/markup-compatibility/2006" xmlns:a14="http://schemas.microsoft.com/office/drawing/2010/main">
      <mc:Choice Requires="a14">
        <xdr:graphicFrame macro="">
          <xdr:nvGraphicFramePr>
            <xdr:cNvPr id="2" name="School Type">
              <a:extLst>
                <a:ext uri="{FF2B5EF4-FFF2-40B4-BE49-F238E27FC236}">
                  <a16:creationId xmlns:a16="http://schemas.microsoft.com/office/drawing/2014/main" id="{967E3060-9343-5E7A-7F1B-1E17F8AB1119}"/>
                </a:ext>
              </a:extLst>
            </xdr:cNvPr>
            <xdr:cNvGraphicFramePr/>
          </xdr:nvGraphicFramePr>
          <xdr:xfrm>
            <a:off x="0" y="0"/>
            <a:ext cx="0" cy="0"/>
          </xdr:xfrm>
          <a:graphic>
            <a:graphicData uri="http://schemas.microsoft.com/office/drawing/2010/slicer">
              <sle:slicer xmlns:sle="http://schemas.microsoft.com/office/drawing/2010/slicer" name="School Type"/>
            </a:graphicData>
          </a:graphic>
        </xdr:graphicFrame>
      </mc:Choice>
      <mc:Fallback xmlns="">
        <xdr:sp macro="" textlink="">
          <xdr:nvSpPr>
            <xdr:cNvPr id="0" name=""/>
            <xdr:cNvSpPr>
              <a:spLocks noTextEdit="1"/>
            </xdr:cNvSpPr>
          </xdr:nvSpPr>
          <xdr:spPr>
            <a:xfrm>
              <a:off x="3215640" y="1828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373380</xdr:colOff>
      <xdr:row>10</xdr:row>
      <xdr:rowOff>41910</xdr:rowOff>
    </xdr:from>
    <xdr:to>
      <xdr:col>5</xdr:col>
      <xdr:colOff>129540</xdr:colOff>
      <xdr:row>28</xdr:row>
      <xdr:rowOff>68580</xdr:rowOff>
    </xdr:to>
    <xdr:graphicFrame macro="">
      <xdr:nvGraphicFramePr>
        <xdr:cNvPr id="2" name="Chart 1">
          <a:extLst>
            <a:ext uri="{FF2B5EF4-FFF2-40B4-BE49-F238E27FC236}">
              <a16:creationId xmlns:a16="http://schemas.microsoft.com/office/drawing/2014/main" id="{473C206C-1344-C692-CA8B-F0EEC50E7F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423334</xdr:colOff>
      <xdr:row>2</xdr:row>
      <xdr:rowOff>33096</xdr:rowOff>
    </xdr:from>
    <xdr:to>
      <xdr:col>15</xdr:col>
      <xdr:colOff>253999</xdr:colOff>
      <xdr:row>20</xdr:row>
      <xdr:rowOff>46181</xdr:rowOff>
    </xdr:to>
    <xdr:graphicFrame macro="">
      <xdr:nvGraphicFramePr>
        <xdr:cNvPr id="3" name="Chart 2">
          <a:extLst>
            <a:ext uri="{FF2B5EF4-FFF2-40B4-BE49-F238E27FC236}">
              <a16:creationId xmlns:a16="http://schemas.microsoft.com/office/drawing/2014/main" id="{4D4F21E5-F31C-8258-B656-018FCAA4D6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82.758306365744" createdVersion="8" refreshedVersion="8" minRefreshableVersion="3" recordCount="96" xr:uid="{909D199C-A61F-4C6C-BE2E-A101142EDBF1}">
  <cacheSource type="worksheet">
    <worksheetSource name="Table1_14"/>
  </cacheSource>
  <cacheFields count="10">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ount="75">
        <n v="0"/>
        <n v="4533"/>
        <n v="86178"/>
        <n v="3741"/>
        <n v="7736"/>
        <n v="93"/>
        <n v="70"/>
        <n v="12262"/>
        <n v="1901"/>
        <n v="2363"/>
        <n v="3180"/>
        <n v="60352"/>
        <n v="3640"/>
        <n v="7807"/>
        <n v="103"/>
        <n v="7746"/>
        <n v="69835"/>
        <n v="3823"/>
        <n v="11465"/>
        <n v="13060"/>
        <n v="55"/>
        <n v="89637"/>
        <n v="2549"/>
        <n v="5861"/>
        <n v="3565"/>
        <n v="67799"/>
        <n v="1646"/>
        <n v="6713"/>
        <n v="164"/>
        <n v="1555"/>
        <n v="22"/>
        <n v="62473"/>
        <n v="1120"/>
        <n v="4312"/>
        <n v="100216"/>
        <n v="6420"/>
        <n v="64953"/>
        <n v="81"/>
        <n v="6669"/>
        <n v="69504"/>
        <n v="7775"/>
        <n v="40461"/>
        <n v="65"/>
        <n v="2872"/>
        <n v="20672"/>
        <n v="102"/>
        <n v="20768"/>
        <n v="4536"/>
        <n v="6071"/>
        <n v="278"/>
        <n v="921"/>
        <n v="100688"/>
        <n v="1069"/>
        <n v="4480"/>
        <n v="38"/>
        <n v="357"/>
        <n v="118675"/>
        <n v="2231"/>
        <n v="3615"/>
        <n v="84"/>
        <n v="84716"/>
        <n v="3714"/>
        <n v="5409"/>
        <n v="1336"/>
        <n v="131729"/>
        <n v="3184"/>
        <n v="8680"/>
        <n v="1535"/>
        <n v="22801"/>
        <n v="1673"/>
        <n v="4859"/>
        <n v="82"/>
        <n v="33500"/>
        <n v="973"/>
        <n v="3666"/>
      </sharedItems>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ount="2">
        <s v="ABSENT"/>
        <s v="NON_ZERO"/>
      </sharedItems>
    </cacheField>
  </cacheFields>
  <extLst>
    <ext xmlns:x14="http://schemas.microsoft.com/office/spreadsheetml/2009/9/main" uri="{725AE2AE-9491-48be-B2B4-4EB974FC3084}">
      <x14:pivotCacheDefinition pivotCacheId="1192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n v="12"/>
    <n v="2022"/>
    <x v="0"/>
    <x v="0"/>
    <x v="0"/>
    <n v="0"/>
    <m/>
    <m/>
    <s v="ABSENT"/>
    <x v="0"/>
  </r>
  <r>
    <n v="12"/>
    <n v="2022"/>
    <x v="0"/>
    <x v="1"/>
    <x v="1"/>
    <n v="4524"/>
    <n v="0.99801455989410981"/>
    <n v="1.9854401058901905E-3"/>
    <m/>
    <x v="1"/>
  </r>
  <r>
    <n v="12"/>
    <n v="2022"/>
    <x v="0"/>
    <x v="2"/>
    <x v="0"/>
    <n v="0"/>
    <m/>
    <m/>
    <s v="ABSENT"/>
    <x v="0"/>
  </r>
  <r>
    <n v="12"/>
    <n v="2022"/>
    <x v="0"/>
    <x v="3"/>
    <x v="2"/>
    <n v="85839"/>
    <n v="0.99606628141753117"/>
    <n v="3.9337185824688259E-3"/>
    <m/>
    <x v="1"/>
  </r>
  <r>
    <n v="12"/>
    <n v="2022"/>
    <x v="0"/>
    <x v="4"/>
    <x v="3"/>
    <n v="3730"/>
    <n v="0.99705960973001873"/>
    <n v="2.9403902699812745E-3"/>
    <m/>
    <x v="1"/>
  </r>
  <r>
    <n v="12"/>
    <n v="2022"/>
    <x v="0"/>
    <x v="5"/>
    <x v="4"/>
    <n v="7725"/>
    <n v="0.99857807652533614"/>
    <n v="1.4219234746638554E-3"/>
    <m/>
    <x v="1"/>
  </r>
  <r>
    <n v="12"/>
    <n v="2022"/>
    <x v="1"/>
    <x v="0"/>
    <x v="5"/>
    <n v="92"/>
    <n v="0.989247311827957"/>
    <n v="1.0752688172043001E-2"/>
    <m/>
    <x v="1"/>
  </r>
  <r>
    <n v="12"/>
    <n v="2022"/>
    <x v="1"/>
    <x v="1"/>
    <x v="6"/>
    <n v="70"/>
    <n v="1"/>
    <n v="0"/>
    <m/>
    <x v="1"/>
  </r>
  <r>
    <n v="12"/>
    <n v="2022"/>
    <x v="1"/>
    <x v="2"/>
    <x v="0"/>
    <n v="0"/>
    <m/>
    <m/>
    <s v="ABSENT"/>
    <x v="0"/>
  </r>
  <r>
    <n v="12"/>
    <n v="2022"/>
    <x v="1"/>
    <x v="3"/>
    <x v="7"/>
    <n v="12214"/>
    <n v="0.99608546729734138"/>
    <n v="3.9145327026586241E-3"/>
    <m/>
    <x v="1"/>
  </r>
  <r>
    <n v="12"/>
    <n v="2022"/>
    <x v="1"/>
    <x v="4"/>
    <x v="8"/>
    <n v="1894"/>
    <n v="0.99631772751183589"/>
    <n v="3.6822724881641067E-3"/>
    <m/>
    <x v="1"/>
  </r>
  <r>
    <n v="12"/>
    <n v="2022"/>
    <x v="1"/>
    <x v="5"/>
    <x v="9"/>
    <n v="2361"/>
    <n v="0.99915361828184512"/>
    <n v="8.4638171815487606E-4"/>
    <m/>
    <x v="1"/>
  </r>
  <r>
    <n v="12"/>
    <n v="2022"/>
    <x v="2"/>
    <x v="0"/>
    <x v="0"/>
    <n v="0"/>
    <m/>
    <m/>
    <s v="ABSENT"/>
    <x v="0"/>
  </r>
  <r>
    <n v="12"/>
    <n v="2022"/>
    <x v="2"/>
    <x v="1"/>
    <x v="10"/>
    <n v="3138"/>
    <n v="0.98679245283018868"/>
    <n v="1.3207547169811318E-2"/>
    <m/>
    <x v="1"/>
  </r>
  <r>
    <n v="12"/>
    <n v="2022"/>
    <x v="2"/>
    <x v="2"/>
    <x v="0"/>
    <n v="0"/>
    <m/>
    <m/>
    <s v="ABSENT"/>
    <x v="0"/>
  </r>
  <r>
    <n v="12"/>
    <n v="2022"/>
    <x v="2"/>
    <x v="3"/>
    <x v="11"/>
    <n v="60136"/>
    <n v="0.99642099681866381"/>
    <n v="3.5790031813361933E-3"/>
    <m/>
    <x v="1"/>
  </r>
  <r>
    <n v="12"/>
    <n v="2022"/>
    <x v="2"/>
    <x v="4"/>
    <x v="12"/>
    <n v="3629"/>
    <n v="0.99697802197802199"/>
    <n v="3.0219780219780112E-3"/>
    <m/>
    <x v="1"/>
  </r>
  <r>
    <n v="12"/>
    <n v="2022"/>
    <x v="2"/>
    <x v="5"/>
    <x v="13"/>
    <n v="7794"/>
    <n v="0.99833482771871396"/>
    <n v="1.6651722812860426E-3"/>
    <m/>
    <x v="1"/>
  </r>
  <r>
    <n v="12"/>
    <n v="2022"/>
    <x v="3"/>
    <x v="0"/>
    <x v="14"/>
    <n v="101"/>
    <n v="0.98058252427184467"/>
    <n v="1.9417475728155331E-2"/>
    <m/>
    <x v="1"/>
  </r>
  <r>
    <n v="12"/>
    <n v="2022"/>
    <x v="3"/>
    <x v="1"/>
    <x v="15"/>
    <n v="7688"/>
    <n v="0.99251226439452622"/>
    <n v="7.4877356054737776E-3"/>
    <m/>
    <x v="1"/>
  </r>
  <r>
    <n v="12"/>
    <n v="2022"/>
    <x v="3"/>
    <x v="2"/>
    <x v="0"/>
    <n v="0"/>
    <m/>
    <m/>
    <s v="ABSENT"/>
    <x v="0"/>
  </r>
  <r>
    <n v="12"/>
    <n v="2022"/>
    <x v="3"/>
    <x v="3"/>
    <x v="16"/>
    <n v="69506"/>
    <n v="0.99528889525309661"/>
    <n v="4.711104746903394E-3"/>
    <m/>
    <x v="1"/>
  </r>
  <r>
    <n v="12"/>
    <n v="2022"/>
    <x v="3"/>
    <x v="4"/>
    <x v="17"/>
    <n v="3809"/>
    <n v="0.99633795448600571"/>
    <n v="3.6620455139942942E-3"/>
    <m/>
    <x v="1"/>
  </r>
  <r>
    <n v="12"/>
    <n v="2022"/>
    <x v="3"/>
    <x v="5"/>
    <x v="18"/>
    <n v="11431"/>
    <n v="0.99703445268207591"/>
    <n v="2.9655473179240888E-3"/>
    <m/>
    <x v="1"/>
  </r>
  <r>
    <n v="12"/>
    <n v="2022"/>
    <x v="4"/>
    <x v="0"/>
    <x v="0"/>
    <n v="0"/>
    <m/>
    <m/>
    <s v="ABSENT"/>
    <x v="0"/>
  </r>
  <r>
    <n v="12"/>
    <n v="2022"/>
    <x v="4"/>
    <x v="1"/>
    <x v="19"/>
    <n v="13025"/>
    <n v="0.99732006125574268"/>
    <n v="2.6799387442573153E-3"/>
    <m/>
    <x v="1"/>
  </r>
  <r>
    <n v="12"/>
    <n v="2022"/>
    <x v="4"/>
    <x v="2"/>
    <x v="20"/>
    <n v="55"/>
    <n v="1"/>
    <n v="0"/>
    <m/>
    <x v="1"/>
  </r>
  <r>
    <n v="12"/>
    <n v="2022"/>
    <x v="4"/>
    <x v="3"/>
    <x v="21"/>
    <n v="89317"/>
    <n v="0.99643004562847937"/>
    <n v="3.5699543715206339E-3"/>
    <m/>
    <x v="1"/>
  </r>
  <r>
    <n v="12"/>
    <n v="2022"/>
    <x v="4"/>
    <x v="4"/>
    <x v="22"/>
    <n v="2537"/>
    <n v="0.99529227147901134"/>
    <n v="4.7077285209886632E-3"/>
    <m/>
    <x v="1"/>
  </r>
  <r>
    <n v="12"/>
    <n v="2022"/>
    <x v="4"/>
    <x v="5"/>
    <x v="23"/>
    <n v="5844"/>
    <n v="0.99709947108002051"/>
    <n v="2.9005289199794948E-3"/>
    <m/>
    <x v="1"/>
  </r>
  <r>
    <n v="12"/>
    <n v="2022"/>
    <x v="5"/>
    <x v="0"/>
    <x v="0"/>
    <n v="0"/>
    <m/>
    <m/>
    <s v="ABSENT"/>
    <x v="0"/>
  </r>
  <r>
    <n v="12"/>
    <n v="2022"/>
    <x v="5"/>
    <x v="1"/>
    <x v="24"/>
    <n v="3552"/>
    <n v="0.99635343618513328"/>
    <n v="3.6465638148667212E-3"/>
    <m/>
    <x v="1"/>
  </r>
  <r>
    <n v="12"/>
    <n v="2022"/>
    <x v="5"/>
    <x v="2"/>
    <x v="0"/>
    <n v="0"/>
    <m/>
    <m/>
    <s v="ABSENT"/>
    <x v="0"/>
  </r>
  <r>
    <n v="12"/>
    <n v="2022"/>
    <x v="5"/>
    <x v="3"/>
    <x v="25"/>
    <n v="67700"/>
    <n v="0.99853980147199817"/>
    <n v="1.4601985280018326E-3"/>
    <m/>
    <x v="1"/>
  </r>
  <r>
    <n v="12"/>
    <n v="2022"/>
    <x v="5"/>
    <x v="4"/>
    <x v="26"/>
    <n v="1642"/>
    <n v="0.99756986634264888"/>
    <n v="2.430133657351119E-3"/>
    <m/>
    <x v="1"/>
  </r>
  <r>
    <n v="12"/>
    <n v="2022"/>
    <x v="5"/>
    <x v="5"/>
    <x v="27"/>
    <n v="6701"/>
    <n v="0.99821242365559359"/>
    <n v="1.7875763444064052E-3"/>
    <m/>
    <x v="1"/>
  </r>
  <r>
    <n v="12"/>
    <n v="2022"/>
    <x v="6"/>
    <x v="0"/>
    <x v="28"/>
    <n v="162"/>
    <n v="0.98780487804878048"/>
    <n v="1.2195121951219523E-2"/>
    <m/>
    <x v="1"/>
  </r>
  <r>
    <n v="12"/>
    <n v="2022"/>
    <x v="6"/>
    <x v="1"/>
    <x v="29"/>
    <n v="1552"/>
    <n v="0.99807073954983927"/>
    <n v="1.9292604501607302E-3"/>
    <m/>
    <x v="1"/>
  </r>
  <r>
    <n v="12"/>
    <n v="2022"/>
    <x v="6"/>
    <x v="2"/>
    <x v="30"/>
    <n v="22"/>
    <n v="1"/>
    <n v="0"/>
    <m/>
    <x v="1"/>
  </r>
  <r>
    <n v="12"/>
    <n v="2022"/>
    <x v="6"/>
    <x v="3"/>
    <x v="31"/>
    <n v="62094"/>
    <n v="0.99393337921982294"/>
    <n v="6.0666207801770566E-3"/>
    <m/>
    <x v="1"/>
  </r>
  <r>
    <n v="12"/>
    <n v="2022"/>
    <x v="6"/>
    <x v="4"/>
    <x v="32"/>
    <n v="1117"/>
    <n v="0.99732142857142858"/>
    <n v="2.6785714285714191E-3"/>
    <m/>
    <x v="1"/>
  </r>
  <r>
    <n v="12"/>
    <n v="2022"/>
    <x v="6"/>
    <x v="5"/>
    <x v="33"/>
    <n v="4307"/>
    <n v="0.99884044526901672"/>
    <n v="1.159554730983281E-3"/>
    <m/>
    <x v="1"/>
  </r>
  <r>
    <n v="12"/>
    <n v="2022"/>
    <x v="7"/>
    <x v="0"/>
    <x v="0"/>
    <n v="0"/>
    <m/>
    <m/>
    <s v="ABSENT"/>
    <x v="0"/>
  </r>
  <r>
    <n v="12"/>
    <n v="2022"/>
    <x v="7"/>
    <x v="1"/>
    <x v="34"/>
    <n v="99566"/>
    <n v="0.99351400973896387"/>
    <n v="6.4859902610361342E-3"/>
    <m/>
    <x v="1"/>
  </r>
  <r>
    <n v="12"/>
    <n v="2022"/>
    <x v="7"/>
    <x v="2"/>
    <x v="35"/>
    <n v="6393"/>
    <n v="0.99579439252336444"/>
    <n v="4.2056074766355644E-3"/>
    <m/>
    <x v="1"/>
  </r>
  <r>
    <n v="12"/>
    <n v="2022"/>
    <x v="7"/>
    <x v="3"/>
    <x v="36"/>
    <n v="64774"/>
    <n v="0.99724416116268688"/>
    <n v="2.7558388373131182E-3"/>
    <m/>
    <x v="1"/>
  </r>
  <r>
    <n v="12"/>
    <n v="2022"/>
    <x v="7"/>
    <x v="4"/>
    <x v="37"/>
    <n v="81"/>
    <n v="1"/>
    <n v="0"/>
    <m/>
    <x v="1"/>
  </r>
  <r>
    <n v="12"/>
    <n v="2022"/>
    <x v="7"/>
    <x v="5"/>
    <x v="38"/>
    <n v="6661"/>
    <n v="0.99880041985305146"/>
    <n v="1.1995801469485423E-3"/>
    <m/>
    <x v="1"/>
  </r>
  <r>
    <n v="12"/>
    <n v="2022"/>
    <x v="8"/>
    <x v="0"/>
    <x v="0"/>
    <n v="0"/>
    <m/>
    <m/>
    <s v="ABSENT"/>
    <x v="0"/>
  </r>
  <r>
    <n v="12"/>
    <n v="2022"/>
    <x v="8"/>
    <x v="1"/>
    <x v="39"/>
    <n v="69109"/>
    <n v="0.99431687384898715"/>
    <n v="5.6831261510128517E-3"/>
    <m/>
    <x v="1"/>
  </r>
  <r>
    <n v="12"/>
    <n v="2022"/>
    <x v="8"/>
    <x v="2"/>
    <x v="40"/>
    <n v="7743"/>
    <n v="0.99588424437299039"/>
    <n v="4.1157556270096096E-3"/>
    <m/>
    <x v="1"/>
  </r>
  <r>
    <n v="12"/>
    <n v="2022"/>
    <x v="8"/>
    <x v="3"/>
    <x v="41"/>
    <n v="40291"/>
    <n v="0.99579842317293199"/>
    <n v="4.2015768270680098E-3"/>
    <m/>
    <x v="1"/>
  </r>
  <r>
    <n v="12"/>
    <n v="2022"/>
    <x v="8"/>
    <x v="4"/>
    <x v="42"/>
    <n v="65"/>
    <n v="1"/>
    <n v="0"/>
    <m/>
    <x v="1"/>
  </r>
  <r>
    <n v="12"/>
    <n v="2022"/>
    <x v="8"/>
    <x v="5"/>
    <x v="43"/>
    <n v="2872"/>
    <n v="1"/>
    <n v="0"/>
    <m/>
    <x v="1"/>
  </r>
  <r>
    <n v="12"/>
    <n v="2022"/>
    <x v="9"/>
    <x v="0"/>
    <x v="0"/>
    <n v="0"/>
    <m/>
    <m/>
    <s v="ABSENT"/>
    <x v="0"/>
  </r>
  <r>
    <n v="12"/>
    <n v="2022"/>
    <x v="9"/>
    <x v="1"/>
    <x v="44"/>
    <n v="20518"/>
    <n v="0.99255030959752322"/>
    <n v="7.4496904024767829E-3"/>
    <m/>
    <x v="1"/>
  </r>
  <r>
    <n v="12"/>
    <n v="2022"/>
    <x v="9"/>
    <x v="2"/>
    <x v="45"/>
    <n v="101"/>
    <n v="0.99019607843137258"/>
    <n v="9.8039215686274161E-3"/>
    <m/>
    <x v="1"/>
  </r>
  <r>
    <n v="12"/>
    <n v="2022"/>
    <x v="9"/>
    <x v="3"/>
    <x v="46"/>
    <n v="20601"/>
    <n v="0.99195878274268101"/>
    <n v="8.0412172573189888E-3"/>
    <m/>
    <x v="1"/>
  </r>
  <r>
    <n v="12"/>
    <n v="2022"/>
    <x v="9"/>
    <x v="4"/>
    <x v="47"/>
    <n v="4481"/>
    <n v="0.9878747795414462"/>
    <n v="1.2125220458553798E-2"/>
    <m/>
    <x v="1"/>
  </r>
  <r>
    <n v="12"/>
    <n v="2022"/>
    <x v="9"/>
    <x v="5"/>
    <x v="48"/>
    <n v="6047"/>
    <n v="0.99604677977268985"/>
    <n v="3.9532202273101502E-3"/>
    <m/>
    <x v="1"/>
  </r>
  <r>
    <n v="12"/>
    <n v="2022"/>
    <x v="10"/>
    <x v="0"/>
    <x v="0"/>
    <n v="0"/>
    <m/>
    <m/>
    <s v="ABSENT"/>
    <x v="0"/>
  </r>
  <r>
    <n v="12"/>
    <n v="2022"/>
    <x v="10"/>
    <x v="1"/>
    <x v="49"/>
    <n v="272"/>
    <n v="0.97841726618705038"/>
    <n v="2.1582733812949617E-2"/>
    <m/>
    <x v="1"/>
  </r>
  <r>
    <n v="12"/>
    <n v="2022"/>
    <x v="10"/>
    <x v="2"/>
    <x v="50"/>
    <n v="920"/>
    <n v="0.998914223669924"/>
    <n v="1.0857763300760048E-3"/>
    <m/>
    <x v="1"/>
  </r>
  <r>
    <n v="12"/>
    <n v="2022"/>
    <x v="10"/>
    <x v="3"/>
    <x v="51"/>
    <n v="99746"/>
    <n v="0.99064436675671386"/>
    <n v="9.3556332432861433E-3"/>
    <m/>
    <x v="1"/>
  </r>
  <r>
    <n v="12"/>
    <n v="2022"/>
    <x v="10"/>
    <x v="4"/>
    <x v="52"/>
    <n v="1060"/>
    <n v="0.99158091674462112"/>
    <n v="8.4190832553788786E-3"/>
    <m/>
    <x v="1"/>
  </r>
  <r>
    <n v="12"/>
    <n v="2022"/>
    <x v="10"/>
    <x v="5"/>
    <x v="53"/>
    <n v="4471"/>
    <n v="0.99799107142857146"/>
    <n v="2.0089285714285365E-3"/>
    <m/>
    <x v="1"/>
  </r>
  <r>
    <n v="12"/>
    <n v="2022"/>
    <x v="11"/>
    <x v="0"/>
    <x v="54"/>
    <n v="38"/>
    <n v="1"/>
    <n v="0"/>
    <m/>
    <x v="1"/>
  </r>
  <r>
    <n v="12"/>
    <n v="2022"/>
    <x v="11"/>
    <x v="1"/>
    <x v="55"/>
    <n v="357"/>
    <n v="1"/>
    <n v="0"/>
    <m/>
    <x v="1"/>
  </r>
  <r>
    <n v="12"/>
    <n v="2022"/>
    <x v="11"/>
    <x v="2"/>
    <x v="0"/>
    <n v="0"/>
    <m/>
    <m/>
    <s v="ABSENT"/>
    <x v="0"/>
  </r>
  <r>
    <n v="12"/>
    <n v="2022"/>
    <x v="11"/>
    <x v="3"/>
    <x v="56"/>
    <n v="118046"/>
    <n v="0.99469981040657263"/>
    <n v="5.3001895934273735E-3"/>
    <m/>
    <x v="1"/>
  </r>
  <r>
    <n v="12"/>
    <n v="2022"/>
    <x v="11"/>
    <x v="4"/>
    <x v="57"/>
    <n v="2225"/>
    <n v="0.99731062303899598"/>
    <n v="2.6893769610040197E-3"/>
    <m/>
    <x v="1"/>
  </r>
  <r>
    <n v="12"/>
    <n v="2022"/>
    <x v="11"/>
    <x v="5"/>
    <x v="58"/>
    <n v="3607"/>
    <n v="0.99778699861687414"/>
    <n v="2.2130013831258566E-3"/>
    <m/>
    <x v="1"/>
  </r>
  <r>
    <n v="12"/>
    <n v="2022"/>
    <x v="12"/>
    <x v="0"/>
    <x v="0"/>
    <n v="0"/>
    <m/>
    <m/>
    <s v="ABSENT"/>
    <x v="0"/>
  </r>
  <r>
    <n v="12"/>
    <n v="2022"/>
    <x v="12"/>
    <x v="1"/>
    <x v="59"/>
    <n v="83"/>
    <n v="0.98809523809523814"/>
    <n v="1.1904761904761862E-2"/>
    <m/>
    <x v="1"/>
  </r>
  <r>
    <n v="12"/>
    <n v="2022"/>
    <x v="12"/>
    <x v="2"/>
    <x v="0"/>
    <n v="0"/>
    <m/>
    <m/>
    <s v="ABSENT"/>
    <x v="0"/>
  </r>
  <r>
    <n v="12"/>
    <n v="2022"/>
    <x v="12"/>
    <x v="3"/>
    <x v="60"/>
    <n v="83962"/>
    <n v="0.99109967420558098"/>
    <n v="8.9003257944190173E-3"/>
    <m/>
    <x v="1"/>
  </r>
  <r>
    <n v="12"/>
    <n v="2022"/>
    <x v="12"/>
    <x v="4"/>
    <x v="61"/>
    <n v="3669"/>
    <n v="0.98788368336025845"/>
    <n v="1.2116316639741553E-2"/>
    <m/>
    <x v="1"/>
  </r>
  <r>
    <n v="12"/>
    <n v="2022"/>
    <x v="12"/>
    <x v="5"/>
    <x v="62"/>
    <n v="5398"/>
    <n v="0.99796635237567022"/>
    <n v="2.0336476243297819E-3"/>
    <m/>
    <x v="1"/>
  </r>
  <r>
    <n v="12"/>
    <n v="2022"/>
    <x v="13"/>
    <x v="0"/>
    <x v="0"/>
    <n v="0"/>
    <m/>
    <m/>
    <s v="ABSENT"/>
    <x v="0"/>
  </r>
  <r>
    <n v="12"/>
    <n v="2022"/>
    <x v="13"/>
    <x v="1"/>
    <x v="63"/>
    <n v="1272"/>
    <n v="0.95209580838323349"/>
    <n v="4.7904191616766512E-2"/>
    <m/>
    <x v="1"/>
  </r>
  <r>
    <n v="12"/>
    <n v="2022"/>
    <x v="13"/>
    <x v="2"/>
    <x v="0"/>
    <n v="0"/>
    <m/>
    <m/>
    <s v="ABSENT"/>
    <x v="0"/>
  </r>
  <r>
    <n v="12"/>
    <n v="2022"/>
    <x v="13"/>
    <x v="3"/>
    <x v="64"/>
    <n v="130263"/>
    <n v="0.98887109140735907"/>
    <n v="1.1128908592640929E-2"/>
    <m/>
    <x v="1"/>
  </r>
  <r>
    <n v="12"/>
    <n v="2022"/>
    <x v="13"/>
    <x v="4"/>
    <x v="65"/>
    <n v="3152"/>
    <n v="0.98994974874371855"/>
    <n v="1.0050251256281451E-2"/>
    <m/>
    <x v="1"/>
  </r>
  <r>
    <n v="12"/>
    <n v="2022"/>
    <x v="13"/>
    <x v="5"/>
    <x v="66"/>
    <n v="8666"/>
    <n v="0.99838709677419357"/>
    <n v="1.612903225806428E-3"/>
    <m/>
    <x v="1"/>
  </r>
  <r>
    <n v="12"/>
    <n v="2022"/>
    <x v="14"/>
    <x v="0"/>
    <x v="0"/>
    <n v="0"/>
    <m/>
    <m/>
    <s v="ABSENT"/>
    <x v="0"/>
  </r>
  <r>
    <n v="12"/>
    <n v="2022"/>
    <x v="14"/>
    <x v="1"/>
    <x v="67"/>
    <n v="1534"/>
    <n v="0.99934853420195435"/>
    <n v="6.514657980456473E-4"/>
    <m/>
    <x v="1"/>
  </r>
  <r>
    <n v="12"/>
    <n v="2022"/>
    <x v="14"/>
    <x v="2"/>
    <x v="0"/>
    <n v="0"/>
    <m/>
    <m/>
    <s v="ABSENT"/>
    <x v="0"/>
  </r>
  <r>
    <n v="12"/>
    <n v="2022"/>
    <x v="14"/>
    <x v="3"/>
    <x v="68"/>
    <n v="22742"/>
    <n v="0.99741239419323713"/>
    <n v="2.5876058067628716E-3"/>
    <m/>
    <x v="1"/>
  </r>
  <r>
    <n v="12"/>
    <n v="2022"/>
    <x v="14"/>
    <x v="4"/>
    <x v="69"/>
    <n v="1662"/>
    <n v="0.99342498505678423"/>
    <n v="6.5750149432157734E-3"/>
    <m/>
    <x v="1"/>
  </r>
  <r>
    <n v="12"/>
    <n v="2022"/>
    <x v="14"/>
    <x v="5"/>
    <x v="70"/>
    <n v="4849"/>
    <n v="0.99794196336694796"/>
    <n v="2.0580366330520405E-3"/>
    <m/>
    <x v="1"/>
  </r>
  <r>
    <n v="12"/>
    <n v="2022"/>
    <x v="15"/>
    <x v="0"/>
    <x v="0"/>
    <n v="0"/>
    <m/>
    <m/>
    <s v="ABSENT"/>
    <x v="0"/>
  </r>
  <r>
    <n v="12"/>
    <n v="2022"/>
    <x v="15"/>
    <x v="1"/>
    <x v="71"/>
    <n v="82"/>
    <n v="1"/>
    <n v="0"/>
    <m/>
    <x v="1"/>
  </r>
  <r>
    <n v="12"/>
    <n v="2022"/>
    <x v="15"/>
    <x v="2"/>
    <x v="0"/>
    <n v="0"/>
    <m/>
    <m/>
    <s v="ABSENT"/>
    <x v="0"/>
  </r>
  <r>
    <n v="12"/>
    <n v="2022"/>
    <x v="15"/>
    <x v="3"/>
    <x v="72"/>
    <n v="33462"/>
    <n v="0.99886567164179108"/>
    <n v="1.1343283582089247E-3"/>
    <m/>
    <x v="1"/>
  </r>
  <r>
    <n v="12"/>
    <n v="2022"/>
    <x v="15"/>
    <x v="4"/>
    <x v="73"/>
    <n v="972"/>
    <n v="0.99897225077081198"/>
    <n v="1.0277492291880241E-3"/>
    <m/>
    <x v="1"/>
  </r>
  <r>
    <n v="12"/>
    <n v="2022"/>
    <x v="15"/>
    <x v="5"/>
    <x v="74"/>
    <n v="3661"/>
    <n v="0.9986361156573923"/>
    <n v="1.3638843426077019E-3"/>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7A7E3-0BE5-4A95-8905-6E7009CA0303}"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6" firstHeaderRow="1" firstDataRow="1" firstDataCol="1" rowPageCount="1" colPageCount="1"/>
  <pivotFields count="10">
    <pivotField showAll="0"/>
    <pivotField showAll="0"/>
    <pivotField axis="axisRow" showAll="0" sortType="ascending">
      <items count="17">
        <item x="0"/>
        <item x="1"/>
        <item x="2"/>
        <item x="3"/>
        <item x="4"/>
        <item x="5"/>
        <item x="6"/>
        <item x="7"/>
        <item x="8"/>
        <item x="9"/>
        <item x="10"/>
        <item x="11"/>
        <item x="12"/>
        <item x="13"/>
        <item x="14"/>
        <item x="15"/>
        <item t="default"/>
      </items>
      <autoSortScope>
        <pivotArea dataOnly="0" outline="0" fieldPosition="0">
          <references count="1">
            <reference field="4294967294" count="1" selected="0">
              <x v="0"/>
            </reference>
          </references>
        </pivotArea>
      </autoSortScope>
    </pivotField>
    <pivotField axis="axisRow" showAll="0">
      <items count="7">
        <item h="1" x="0"/>
        <item h="1" x="1"/>
        <item h="1" x="2"/>
        <item h="1" x="3"/>
        <item h="1" x="4"/>
        <item x="5"/>
        <item t="default"/>
      </items>
    </pivotField>
    <pivotField dataField="1" showAll="0"/>
    <pivotField showAll="0"/>
    <pivotField showAll="0"/>
    <pivotField showAll="0"/>
    <pivotField showAll="0"/>
    <pivotField axis="axisPage" showAll="0">
      <items count="3">
        <item x="0"/>
        <item x="1"/>
        <item t="default"/>
      </items>
    </pivotField>
  </pivotFields>
  <rowFields count="2">
    <field x="2"/>
    <field x="3"/>
  </rowFields>
  <rowItems count="33">
    <i>
      <x v="1"/>
    </i>
    <i r="1">
      <x v="5"/>
    </i>
    <i>
      <x v="8"/>
    </i>
    <i r="1">
      <x v="5"/>
    </i>
    <i>
      <x v="11"/>
    </i>
    <i r="1">
      <x v="5"/>
    </i>
    <i>
      <x v="15"/>
    </i>
    <i r="1">
      <x v="5"/>
    </i>
    <i>
      <x v="6"/>
    </i>
    <i r="1">
      <x v="5"/>
    </i>
    <i>
      <x v="10"/>
    </i>
    <i r="1">
      <x v="5"/>
    </i>
    <i>
      <x v="14"/>
    </i>
    <i r="1">
      <x v="5"/>
    </i>
    <i>
      <x v="12"/>
    </i>
    <i r="1">
      <x v="5"/>
    </i>
    <i>
      <x v="4"/>
    </i>
    <i r="1">
      <x v="5"/>
    </i>
    <i>
      <x v="9"/>
    </i>
    <i r="1">
      <x v="5"/>
    </i>
    <i>
      <x v="7"/>
    </i>
    <i r="1">
      <x v="5"/>
    </i>
    <i>
      <x v="5"/>
    </i>
    <i r="1">
      <x v="5"/>
    </i>
    <i>
      <x/>
    </i>
    <i r="1">
      <x v="5"/>
    </i>
    <i>
      <x v="2"/>
    </i>
    <i r="1">
      <x v="5"/>
    </i>
    <i>
      <x v="13"/>
    </i>
    <i r="1">
      <x v="5"/>
    </i>
    <i>
      <x v="3"/>
    </i>
    <i r="1">
      <x v="5"/>
    </i>
    <i t="grand">
      <x/>
    </i>
  </rowItems>
  <colItems count="1">
    <i/>
  </colItems>
  <pageFields count="1">
    <pageField fld="9" item="1" hier="-1"/>
  </pageFields>
  <dataFields count="1">
    <dataField name="Min of Registered" fld="4" subtotal="min"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0480BE-F6DB-463D-B32A-EEB1A38A2C65}"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0" firstHeaderRow="0" firstDataRow="1" firstDataCol="1"/>
  <pivotFields count="10">
    <pivotField showAll="0"/>
    <pivotField showAll="0"/>
    <pivotField showAll="0">
      <items count="17">
        <item x="0"/>
        <item x="1"/>
        <item x="2"/>
        <item x="3"/>
        <item x="4"/>
        <item x="5"/>
        <item x="6"/>
        <item x="7"/>
        <item x="8"/>
        <item x="9"/>
        <item x="10"/>
        <item x="11"/>
        <item x="12"/>
        <item x="13"/>
        <item x="14"/>
        <item x="15"/>
        <item t="default"/>
      </items>
    </pivotField>
    <pivotField axis="axisRow" showAll="0">
      <items count="7">
        <item x="0"/>
        <item x="1"/>
        <item x="2"/>
        <item x="3"/>
        <item x="4"/>
        <item x="5"/>
        <item t="default"/>
      </items>
    </pivotField>
    <pivotField showAll="0">
      <items count="76">
        <item x="0"/>
        <item x="30"/>
        <item x="54"/>
        <item x="20"/>
        <item x="42"/>
        <item x="6"/>
        <item x="37"/>
        <item x="71"/>
        <item x="59"/>
        <item x="5"/>
        <item x="45"/>
        <item x="14"/>
        <item x="28"/>
        <item x="49"/>
        <item x="55"/>
        <item x="50"/>
        <item x="73"/>
        <item x="52"/>
        <item x="32"/>
        <item x="63"/>
        <item x="67"/>
        <item x="29"/>
        <item x="26"/>
        <item x="69"/>
        <item x="8"/>
        <item x="57"/>
        <item x="9"/>
        <item x="22"/>
        <item x="43"/>
        <item x="10"/>
        <item x="65"/>
        <item x="24"/>
        <item x="58"/>
        <item x="12"/>
        <item x="74"/>
        <item x="61"/>
        <item x="3"/>
        <item x="17"/>
        <item x="33"/>
        <item x="53"/>
        <item x="1"/>
        <item x="47"/>
        <item x="70"/>
        <item x="62"/>
        <item x="23"/>
        <item x="48"/>
        <item x="35"/>
        <item x="38"/>
        <item x="27"/>
        <item x="4"/>
        <item x="15"/>
        <item x="40"/>
        <item x="13"/>
        <item x="66"/>
        <item x="18"/>
        <item x="7"/>
        <item x="19"/>
        <item x="44"/>
        <item x="46"/>
        <item x="68"/>
        <item x="72"/>
        <item x="41"/>
        <item x="11"/>
        <item x="31"/>
        <item x="36"/>
        <item x="25"/>
        <item x="39"/>
        <item x="16"/>
        <item x="60"/>
        <item x="2"/>
        <item x="21"/>
        <item x="34"/>
        <item x="51"/>
        <item x="56"/>
        <item x="64"/>
        <item t="default"/>
      </items>
    </pivotField>
    <pivotField showAll="0"/>
    <pivotField dataField="1" showAll="0"/>
    <pivotField showAll="0"/>
    <pivotField showAll="0"/>
    <pivotField showAll="0"/>
  </pivotFields>
  <rowFields count="1">
    <field x="3"/>
  </rowFields>
  <rowItems count="7">
    <i>
      <x/>
    </i>
    <i>
      <x v="1"/>
    </i>
    <i>
      <x v="2"/>
    </i>
    <i>
      <x v="3"/>
    </i>
    <i>
      <x v="4"/>
    </i>
    <i>
      <x v="5"/>
    </i>
    <i t="grand">
      <x/>
    </i>
  </rowItems>
  <colFields count="1">
    <field x="-2"/>
  </colFields>
  <colItems count="3">
    <i>
      <x/>
    </i>
    <i i="1">
      <x v="1"/>
    </i>
    <i i="2">
      <x v="2"/>
    </i>
  </colItems>
  <dataFields count="3">
    <dataField name="Volatility_StdDev_SchoolType" fld="6" subtotal="stdDev" baseField="3" baseItem="2" numFmtId="166"/>
    <dataField name="Max_AppearanceRate" fld="6" subtotal="max" baseField="3" baseItem="1" numFmtId="166"/>
    <dataField name="Min_AppearanceRate" fld="6" subtotal="min" baseField="3" baseItem="1" numFmtId="166"/>
  </dataFields>
  <formats count="3">
    <format dxfId="2">
      <pivotArea outline="0" collapsedLevelsAreSubtotals="1" fieldPosition="0">
        <references count="1">
          <reference field="4294967294" count="1" selected="0">
            <x v="0"/>
          </reference>
        </references>
      </pivotArea>
    </format>
    <format dxfId="1">
      <pivotArea outline="0" collapsedLevelsAreSubtotals="1" fieldPosition="0">
        <references count="1">
          <reference field="4294967294" count="1" selected="0">
            <x v="1"/>
          </reference>
        </references>
      </pivotArea>
    </format>
    <format dxfId="0">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161C9F1-F677-4BF0-A88B-EED36F34F601}" autoFormatId="16" applyNumberFormats="0" applyBorderFormats="0" applyFontFormats="0" applyPatternFormats="0" applyAlignmentFormats="0" applyWidthHeightFormats="0">
  <queryTableRefresh nextId="13">
    <queryTableFields count="9">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85F3C769-909C-45BC-80AB-1E9A59B860E1}" autoFormatId="16" applyNumberFormats="0" applyBorderFormats="0" applyFontFormats="0" applyPatternFormats="0" applyAlignmentFormats="0" applyWidthHeightFormats="0">
  <queryTableRefresh nextId="18" unboundColumnsRight="4">
    <queryTableFields count="13">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 id="14" dataBound="0" tableColumnId="11"/>
      <queryTableField id="15" dataBound="0" tableColumnId="10"/>
      <queryTableField id="16" dataBound="0" tableColumnId="12"/>
      <queryTableField id="17" dataBound="0"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 xr10:uid="{E8E6690B-1EE8-43C7-B451-55AAEE87DCC0}" sourceName="School Type">
  <pivotTables>
    <pivotTable tabId="10" name="PivotTable3"/>
  </pivotTables>
  <data>
    <tabular pivotCacheId="1192373820">
      <items count="6">
        <i x="0"/>
        <i x="1"/>
        <i x="2"/>
        <i x="3"/>
        <i x="4"/>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hool Type" xr10:uid="{678F6296-9F35-4FA2-B735-ED32391E5666}" cache="Slicer_School_Type" caption="School Type"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9A95-5D9D-4072-B258-A447BA070627}" name="Table1" displayName="Table1" ref="A1:J33" totalsRowShown="0">
  <autoFilter ref="A1:J33" xr:uid="{7F299A95-5D9D-4072-B258-A447BA070627}"/>
  <tableColumns count="10">
    <tableColumn id="1" xr3:uid="{EB212126-DB94-4AC2-93EE-76D225692D4C}" name="Class"/>
    <tableColumn id="2" xr3:uid="{06635E39-066B-4E32-9666-167EB770887F}" name="Year"/>
    <tableColumn id="3" xr3:uid="{C1D1267C-3F22-42EB-81B7-1C33CE3EB0D0}" name="Type "/>
    <tableColumn id="4" xr3:uid="{55CD64CA-5F23-47F2-8BAA-3849C810560F}" name="Status"/>
    <tableColumn id="5" xr3:uid="{A68BAD8B-E46D-4BBD-B585-6C89B344F4AD}" name="CTSA"/>
    <tableColumn id="6" xr3:uid="{F4005CBB-7F82-4DFC-B304-248D778125E9}" name="GOVT"/>
    <tableColumn id="7" xr3:uid="{3744A720-832B-4112-B13C-8BB978AEDCA0}" name="GOVT AIDED"/>
    <tableColumn id="8" xr3:uid="{C0B7DC51-C9A2-43C7-949B-DD575C096B4B}" name="INDEPENDENT"/>
    <tableColumn id="9" xr3:uid="{ED1F0D25-C9DC-4A98-A767-C60AC3224117}" name="JNV"/>
    <tableColumn id="10" xr3:uid="{98B36F9A-8CD5-4B97-9FCB-454D0596CED3}" name="KV"/>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2841B3-F18C-4C6C-AD3B-6484E5950E39}" name="Table1_1" displayName="Table1_1" ref="A1:I97" tableType="queryTable" totalsRowShown="0">
  <autoFilter ref="A1:I97" xr:uid="{B42841B3-F18C-4C6C-AD3B-6484E5950E39}"/>
  <tableColumns count="9">
    <tableColumn id="1" xr3:uid="{58ADA46E-6321-4DC5-8739-27D5D8497055}" uniqueName="1" name="Class" queryTableFieldId="1"/>
    <tableColumn id="2" xr3:uid="{A933EB17-1DB5-493E-8D2A-B20B2EDF723E}" uniqueName="2" name="Year" queryTableFieldId="2"/>
    <tableColumn id="3" xr3:uid="{580B9B53-B58D-4F2B-8673-928BF9CDB004}" uniqueName="3" name="Region" queryTableFieldId="3" dataDxfId="16"/>
    <tableColumn id="4" xr3:uid="{BD9410F3-AB2A-44EA-B1C3-2FE79993BB2F}" uniqueName="4" name="School Type" queryTableFieldId="4" dataDxfId="15"/>
    <tableColumn id="5" xr3:uid="{E43CDD1B-744A-4DB3-A2B4-030287DBB39D}" uniqueName="5" name="Registered" queryTableFieldId="5"/>
    <tableColumn id="6" xr3:uid="{E00F48A5-E7F0-45B7-9980-5CBAAD0F143C}" uniqueName="6" name="Appeared" queryTableFieldId="6"/>
    <tableColumn id="7" xr3:uid="{B66EBCEF-0178-4959-8FBB-CBA3B5C07E4E}" uniqueName="7" name="Appearance Rate" queryTableFieldId="7"/>
    <tableColumn id="8" xr3:uid="{64CACDC0-5272-4872-A928-B07EA5ABE48F}" uniqueName="8" name="No-show Rate" queryTableFieldId="8"/>
    <tableColumn id="9" xr3:uid="{6229F3BE-84E9-4B38-92F2-D4EB5C48F904}" uniqueName="9" name="Absence Flag"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407F130-0C81-42EC-8BF1-476E80F90E54}" name="Table1_14" displayName="Table1_14" ref="A1:M98" tableType="queryTable" totalsRowCount="1">
  <autoFilter ref="A1:M97" xr:uid="{4407F130-0C81-42EC-8BF1-476E80F90E54}"/>
  <sortState xmlns:xlrd2="http://schemas.microsoft.com/office/spreadsheetml/2017/richdata2" ref="A2:I97">
    <sortCondition ref="C1:C97"/>
  </sortState>
  <tableColumns count="13">
    <tableColumn id="1" xr3:uid="{37F2B79E-41F3-489E-9B95-66FB541A8F3E}" uniqueName="1" name="Class" queryTableFieldId="1"/>
    <tableColumn id="2" xr3:uid="{1D0DEFC2-A240-4F38-9826-11003D3B5442}" uniqueName="2" name="Year" queryTableFieldId="2"/>
    <tableColumn id="3" xr3:uid="{E53CDA88-DE90-4CF1-A2A9-22A826B2800A}" uniqueName="3" name="Region" queryTableFieldId="3" dataDxfId="14" totalsRowDxfId="8"/>
    <tableColumn id="4" xr3:uid="{BDB3ED0B-2D61-43F4-9A35-7DED82483E12}" uniqueName="4" name="School Type" queryTableFieldId="4" dataDxfId="13" totalsRowDxfId="7"/>
    <tableColumn id="5" xr3:uid="{02119A8A-A6A5-4167-97FA-B35277346C17}" uniqueName="5" name="Registered" queryTableFieldId="5"/>
    <tableColumn id="6" xr3:uid="{29C9DCFC-DF60-4276-97E4-3113FA8BDCD0}" uniqueName="6" name="Appeared" queryTableFieldId="6"/>
    <tableColumn id="7" xr3:uid="{5A4F6F6F-85E4-4B04-A1A0-DCA8E4574519}" uniqueName="7" name="Appearance Rate" queryTableFieldId="7"/>
    <tableColumn id="8" xr3:uid="{101DEF23-6252-4034-892C-310C638A82FD}" uniqueName="8" name="No-show Rate" queryTableFieldId="8"/>
    <tableColumn id="9" xr3:uid="{05AC3B30-26C8-45F5-861C-8F4164A80E6B}" uniqueName="9" name="Absence Flag" queryTableFieldId="9"/>
    <tableColumn id="11" xr3:uid="{DFB67E2C-766E-4D4F-AB9D-60F0879D46F2}" uniqueName="11" name="Base Status" queryTableFieldId="14" dataDxfId="12" totalsRowDxfId="6">
      <calculatedColumnFormula>IF(Table1_14[[#This Row],[Registered]] = 0, "ABSENT", "NON_ZERO")</calculatedColumnFormula>
    </tableColumn>
    <tableColumn id="10" xr3:uid="{71F7BF51-686D-4117-9DCA-BC655E435A09}" uniqueName="10" name="Base Flag" queryTableFieldId="15" dataDxfId="11" totalsRowDxfId="5">
      <calculatedColumnFormula>IF(Table1_14[[#This Row],[Registered]] = 0, "ABSENT_BASE", IF(Table1_14[[#This Row],[Registered]]&lt;100, "SMALL_BASE", "VALID_BASE"))</calculatedColumnFormula>
    </tableColumn>
    <tableColumn id="12" xr3:uid="{7303740F-3F9C-4115-93C5-822AF5AE8EFA}" uniqueName="12" name="Anomaly Flag" queryTableFieldId="16" dataDxfId="10" totalsRowDxfId="4">
      <calculatedColumnFormula>IF(Table1_14[[#This Row],[Registered]]=0, "ABSENT", IF(Table1_14[[#This Row],[Appearance Rate]]&lt;0.98, "LOW_RATE", IF(AND(Table1_14[[#This Row],[Appearance Rate]]=1, Table1_14[[#This Row],[Registered]]&lt;100), "SUSPICIOUS_PERFECTION", "NORMAL")))</calculatedColumnFormula>
    </tableColumn>
    <tableColumn id="13" xr3:uid="{95D2E74B-82D7-49D1-A1F1-571A75513AB5}" uniqueName="13" name="Coverage Share" totalsRowFunction="custom" queryTableFieldId="17" dataDxfId="9" totalsRowDxfId="3">
      <calculatedColumnFormula>Table1_14[[#This Row],[Registered]]/SUM(Table1_14[Registered])</calculatedColumnFormula>
      <totalsRowFormula xml:space="preserve"> SUM(Table1_14[Coverage Share])</totalsRow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F24D5-E5D4-43D1-8FFC-E6FEBFE27921}">
  <dimension ref="A1:J33"/>
  <sheetViews>
    <sheetView workbookViewId="0">
      <selection activeCell="L5" sqref="L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0AB8F-0B83-488F-B1C5-E8EF4F74CE1B}">
  <dimension ref="A1:J33"/>
  <sheetViews>
    <sheetView workbookViewId="0">
      <selection sqref="A1:J33"/>
    </sheetView>
  </sheetViews>
  <sheetFormatPr defaultRowHeight="14.4" x14ac:dyDescent="0.3"/>
  <cols>
    <col min="7" max="7" width="13" customWidth="1"/>
    <col min="8" max="8" width="14.88671875" customWidth="1"/>
  </cols>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1152-0363-4FE9-A89B-7732B9E404E6}">
  <dimension ref="A1:I97"/>
  <sheetViews>
    <sheetView topLeftCell="C1" workbookViewId="0">
      <selection activeCell="F88" sqref="F88"/>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1" bestFit="1" customWidth="1"/>
    <col min="11" max="11" width="13.21875" bestFit="1" customWidth="1"/>
    <col min="12" max="12" width="12.77734375" bestFit="1" customWidth="1"/>
  </cols>
  <sheetData>
    <row r="1" spans="1:9" x14ac:dyDescent="0.3">
      <c r="A1" t="s">
        <v>0</v>
      </c>
      <c r="B1" t="s">
        <v>1</v>
      </c>
      <c r="C1" t="s">
        <v>28</v>
      </c>
      <c r="D1" t="s">
        <v>29</v>
      </c>
      <c r="E1" t="s">
        <v>30</v>
      </c>
      <c r="F1" t="s">
        <v>31</v>
      </c>
      <c r="G1" t="s">
        <v>32</v>
      </c>
      <c r="H1" t="s">
        <v>33</v>
      </c>
      <c r="I1" t="s">
        <v>34</v>
      </c>
    </row>
    <row r="2" spans="1:9" x14ac:dyDescent="0.3">
      <c r="A2">
        <v>12</v>
      </c>
      <c r="B2">
        <v>2022</v>
      </c>
      <c r="C2" t="s">
        <v>10</v>
      </c>
      <c r="D2" t="s">
        <v>4</v>
      </c>
      <c r="E2">
        <v>0</v>
      </c>
      <c r="F2">
        <v>0</v>
      </c>
      <c r="I2" t="s">
        <v>35</v>
      </c>
    </row>
    <row r="3" spans="1:9" x14ac:dyDescent="0.3">
      <c r="A3">
        <v>12</v>
      </c>
      <c r="B3">
        <v>2022</v>
      </c>
      <c r="C3" t="s">
        <v>10</v>
      </c>
      <c r="D3" t="s">
        <v>5</v>
      </c>
      <c r="E3">
        <v>4533</v>
      </c>
      <c r="F3">
        <v>4524</v>
      </c>
      <c r="G3">
        <v>0.99801455989410981</v>
      </c>
      <c r="H3">
        <v>1.9854401058901905E-3</v>
      </c>
    </row>
    <row r="4" spans="1:9" x14ac:dyDescent="0.3">
      <c r="A4">
        <v>12</v>
      </c>
      <c r="B4">
        <v>2022</v>
      </c>
      <c r="C4" t="s">
        <v>10</v>
      </c>
      <c r="D4" t="s">
        <v>6</v>
      </c>
      <c r="E4">
        <v>0</v>
      </c>
      <c r="F4">
        <v>0</v>
      </c>
      <c r="I4" t="s">
        <v>35</v>
      </c>
    </row>
    <row r="5" spans="1:9" x14ac:dyDescent="0.3">
      <c r="A5">
        <v>12</v>
      </c>
      <c r="B5">
        <v>2022</v>
      </c>
      <c r="C5" t="s">
        <v>10</v>
      </c>
      <c r="D5" t="s">
        <v>7</v>
      </c>
      <c r="E5">
        <v>86178</v>
      </c>
      <c r="F5">
        <v>85839</v>
      </c>
      <c r="G5">
        <v>0.99606628141753117</v>
      </c>
      <c r="H5">
        <v>3.9337185824688259E-3</v>
      </c>
    </row>
    <row r="6" spans="1:9" x14ac:dyDescent="0.3">
      <c r="A6">
        <v>12</v>
      </c>
      <c r="B6">
        <v>2022</v>
      </c>
      <c r="C6" t="s">
        <v>10</v>
      </c>
      <c r="D6" t="s">
        <v>8</v>
      </c>
      <c r="E6">
        <v>3741</v>
      </c>
      <c r="F6">
        <v>3730</v>
      </c>
      <c r="G6">
        <v>0.99705960973001873</v>
      </c>
      <c r="H6">
        <v>2.9403902699812745E-3</v>
      </c>
    </row>
    <row r="7" spans="1:9" x14ac:dyDescent="0.3">
      <c r="A7">
        <v>12</v>
      </c>
      <c r="B7">
        <v>2022</v>
      </c>
      <c r="C7" t="s">
        <v>10</v>
      </c>
      <c r="D7" t="s">
        <v>9</v>
      </c>
      <c r="E7">
        <v>7736</v>
      </c>
      <c r="F7">
        <v>7725</v>
      </c>
      <c r="G7">
        <v>0.99857807652533614</v>
      </c>
      <c r="H7">
        <v>1.4219234746638554E-3</v>
      </c>
    </row>
    <row r="8" spans="1:9" x14ac:dyDescent="0.3">
      <c r="A8">
        <v>12</v>
      </c>
      <c r="B8">
        <v>2022</v>
      </c>
      <c r="C8" t="s">
        <v>19</v>
      </c>
      <c r="D8" t="s">
        <v>4</v>
      </c>
      <c r="E8">
        <v>93</v>
      </c>
      <c r="F8">
        <v>92</v>
      </c>
      <c r="G8">
        <v>0.989247311827957</v>
      </c>
      <c r="H8">
        <v>1.0752688172043001E-2</v>
      </c>
    </row>
    <row r="9" spans="1:9" x14ac:dyDescent="0.3">
      <c r="A9">
        <v>12</v>
      </c>
      <c r="B9">
        <v>2022</v>
      </c>
      <c r="C9" t="s">
        <v>19</v>
      </c>
      <c r="D9" t="s">
        <v>5</v>
      </c>
      <c r="E9">
        <v>70</v>
      </c>
      <c r="F9">
        <v>70</v>
      </c>
      <c r="G9">
        <v>1</v>
      </c>
      <c r="H9">
        <v>0</v>
      </c>
    </row>
    <row r="10" spans="1:9" x14ac:dyDescent="0.3">
      <c r="A10">
        <v>12</v>
      </c>
      <c r="B10">
        <v>2022</v>
      </c>
      <c r="C10" t="s">
        <v>19</v>
      </c>
      <c r="D10" t="s">
        <v>6</v>
      </c>
      <c r="E10">
        <v>0</v>
      </c>
      <c r="F10">
        <v>0</v>
      </c>
      <c r="I10" t="s">
        <v>35</v>
      </c>
    </row>
    <row r="11" spans="1:9" x14ac:dyDescent="0.3">
      <c r="A11">
        <v>12</v>
      </c>
      <c r="B11">
        <v>2022</v>
      </c>
      <c r="C11" t="s">
        <v>19</v>
      </c>
      <c r="D11" t="s">
        <v>7</v>
      </c>
      <c r="E11">
        <v>12262</v>
      </c>
      <c r="F11">
        <v>12214</v>
      </c>
      <c r="G11">
        <v>0.99608546729734138</v>
      </c>
      <c r="H11">
        <v>3.9145327026586241E-3</v>
      </c>
    </row>
    <row r="12" spans="1:9" x14ac:dyDescent="0.3">
      <c r="A12">
        <v>12</v>
      </c>
      <c r="B12">
        <v>2022</v>
      </c>
      <c r="C12" t="s">
        <v>19</v>
      </c>
      <c r="D12" t="s">
        <v>8</v>
      </c>
      <c r="E12">
        <v>1901</v>
      </c>
      <c r="F12">
        <v>1894</v>
      </c>
      <c r="G12">
        <v>0.99631772751183589</v>
      </c>
      <c r="H12">
        <v>3.6822724881641067E-3</v>
      </c>
    </row>
    <row r="13" spans="1:9" x14ac:dyDescent="0.3">
      <c r="A13">
        <v>12</v>
      </c>
      <c r="B13">
        <v>2022</v>
      </c>
      <c r="C13" t="s">
        <v>19</v>
      </c>
      <c r="D13" t="s">
        <v>9</v>
      </c>
      <c r="E13">
        <v>2363</v>
      </c>
      <c r="F13">
        <v>2361</v>
      </c>
      <c r="G13">
        <v>0.99915361828184512</v>
      </c>
      <c r="H13">
        <v>8.4638171815487606E-4</v>
      </c>
    </row>
    <row r="14" spans="1:9" x14ac:dyDescent="0.3">
      <c r="A14">
        <v>12</v>
      </c>
      <c r="B14">
        <v>2022</v>
      </c>
      <c r="C14" t="s">
        <v>20</v>
      </c>
      <c r="D14" t="s">
        <v>4</v>
      </c>
      <c r="E14">
        <v>0</v>
      </c>
      <c r="F14">
        <v>0</v>
      </c>
      <c r="I14" t="s">
        <v>35</v>
      </c>
    </row>
    <row r="15" spans="1:9" x14ac:dyDescent="0.3">
      <c r="A15">
        <v>12</v>
      </c>
      <c r="B15">
        <v>2022</v>
      </c>
      <c r="C15" t="s">
        <v>20</v>
      </c>
      <c r="D15" t="s">
        <v>5</v>
      </c>
      <c r="E15">
        <v>3180</v>
      </c>
      <c r="F15">
        <v>3138</v>
      </c>
      <c r="G15">
        <v>0.98679245283018868</v>
      </c>
      <c r="H15">
        <v>1.3207547169811318E-2</v>
      </c>
    </row>
    <row r="16" spans="1:9" x14ac:dyDescent="0.3">
      <c r="A16">
        <v>12</v>
      </c>
      <c r="B16">
        <v>2022</v>
      </c>
      <c r="C16" t="s">
        <v>20</v>
      </c>
      <c r="D16" t="s">
        <v>6</v>
      </c>
      <c r="E16">
        <v>0</v>
      </c>
      <c r="F16">
        <v>0</v>
      </c>
      <c r="I16" t="s">
        <v>35</v>
      </c>
    </row>
    <row r="17" spans="1:9" x14ac:dyDescent="0.3">
      <c r="A17">
        <v>12</v>
      </c>
      <c r="B17">
        <v>2022</v>
      </c>
      <c r="C17" t="s">
        <v>20</v>
      </c>
      <c r="D17" t="s">
        <v>7</v>
      </c>
      <c r="E17">
        <v>60352</v>
      </c>
      <c r="F17">
        <v>60136</v>
      </c>
      <c r="G17">
        <v>0.99642099681866381</v>
      </c>
      <c r="H17">
        <v>3.5790031813361933E-3</v>
      </c>
    </row>
    <row r="18" spans="1:9" x14ac:dyDescent="0.3">
      <c r="A18">
        <v>12</v>
      </c>
      <c r="B18">
        <v>2022</v>
      </c>
      <c r="C18" t="s">
        <v>20</v>
      </c>
      <c r="D18" t="s">
        <v>8</v>
      </c>
      <c r="E18">
        <v>3640</v>
      </c>
      <c r="F18">
        <v>3629</v>
      </c>
      <c r="G18">
        <v>0.99697802197802199</v>
      </c>
      <c r="H18">
        <v>3.0219780219780112E-3</v>
      </c>
    </row>
    <row r="19" spans="1:9" x14ac:dyDescent="0.3">
      <c r="A19">
        <v>12</v>
      </c>
      <c r="B19">
        <v>2022</v>
      </c>
      <c r="C19" t="s">
        <v>20</v>
      </c>
      <c r="D19" t="s">
        <v>9</v>
      </c>
      <c r="E19">
        <v>7807</v>
      </c>
      <c r="F19">
        <v>7794</v>
      </c>
      <c r="G19">
        <v>0.99833482771871396</v>
      </c>
      <c r="H19">
        <v>1.6651722812860426E-3</v>
      </c>
    </row>
    <row r="20" spans="1:9" x14ac:dyDescent="0.3">
      <c r="A20">
        <v>12</v>
      </c>
      <c r="B20">
        <v>2022</v>
      </c>
      <c r="C20" t="s">
        <v>13</v>
      </c>
      <c r="D20" t="s">
        <v>4</v>
      </c>
      <c r="E20">
        <v>103</v>
      </c>
      <c r="F20">
        <v>101</v>
      </c>
      <c r="G20">
        <v>0.98058252427184467</v>
      </c>
      <c r="H20">
        <v>1.9417475728155331E-2</v>
      </c>
    </row>
    <row r="21" spans="1:9" x14ac:dyDescent="0.3">
      <c r="A21">
        <v>12</v>
      </c>
      <c r="B21">
        <v>2022</v>
      </c>
      <c r="C21" t="s">
        <v>13</v>
      </c>
      <c r="D21" t="s">
        <v>5</v>
      </c>
      <c r="E21">
        <v>7746</v>
      </c>
      <c r="F21">
        <v>7688</v>
      </c>
      <c r="G21">
        <v>0.99251226439452622</v>
      </c>
      <c r="H21">
        <v>7.4877356054737776E-3</v>
      </c>
    </row>
    <row r="22" spans="1:9" x14ac:dyDescent="0.3">
      <c r="A22">
        <v>12</v>
      </c>
      <c r="B22">
        <v>2022</v>
      </c>
      <c r="C22" t="s">
        <v>13</v>
      </c>
      <c r="D22" t="s">
        <v>6</v>
      </c>
      <c r="E22">
        <v>0</v>
      </c>
      <c r="F22">
        <v>0</v>
      </c>
      <c r="I22" t="s">
        <v>35</v>
      </c>
    </row>
    <row r="23" spans="1:9" x14ac:dyDescent="0.3">
      <c r="A23">
        <v>12</v>
      </c>
      <c r="B23">
        <v>2022</v>
      </c>
      <c r="C23" t="s">
        <v>13</v>
      </c>
      <c r="D23" t="s">
        <v>7</v>
      </c>
      <c r="E23">
        <v>69835</v>
      </c>
      <c r="F23">
        <v>69506</v>
      </c>
      <c r="G23">
        <v>0.99528889525309661</v>
      </c>
      <c r="H23">
        <v>4.711104746903394E-3</v>
      </c>
    </row>
    <row r="24" spans="1:9" x14ac:dyDescent="0.3">
      <c r="A24">
        <v>12</v>
      </c>
      <c r="B24">
        <v>2022</v>
      </c>
      <c r="C24" t="s">
        <v>13</v>
      </c>
      <c r="D24" t="s">
        <v>8</v>
      </c>
      <c r="E24">
        <v>3823</v>
      </c>
      <c r="F24">
        <v>3809</v>
      </c>
      <c r="G24">
        <v>0.99633795448600571</v>
      </c>
      <c r="H24">
        <v>3.6620455139942942E-3</v>
      </c>
    </row>
    <row r="25" spans="1:9" x14ac:dyDescent="0.3">
      <c r="A25">
        <v>12</v>
      </c>
      <c r="B25">
        <v>2022</v>
      </c>
      <c r="C25" t="s">
        <v>13</v>
      </c>
      <c r="D25" t="s">
        <v>9</v>
      </c>
      <c r="E25">
        <v>11465</v>
      </c>
      <c r="F25">
        <v>11431</v>
      </c>
      <c r="G25">
        <v>0.99703445268207591</v>
      </c>
      <c r="H25">
        <v>2.9655473179240888E-3</v>
      </c>
    </row>
    <row r="26" spans="1:9" x14ac:dyDescent="0.3">
      <c r="A26">
        <v>12</v>
      </c>
      <c r="B26">
        <v>2022</v>
      </c>
      <c r="C26" t="s">
        <v>14</v>
      </c>
      <c r="D26" t="s">
        <v>4</v>
      </c>
      <c r="E26">
        <v>0</v>
      </c>
      <c r="F26">
        <v>0</v>
      </c>
      <c r="I26" t="s">
        <v>35</v>
      </c>
    </row>
    <row r="27" spans="1:9" x14ac:dyDescent="0.3">
      <c r="A27">
        <v>12</v>
      </c>
      <c r="B27">
        <v>2022</v>
      </c>
      <c r="C27" t="s">
        <v>14</v>
      </c>
      <c r="D27" t="s">
        <v>5</v>
      </c>
      <c r="E27">
        <v>13060</v>
      </c>
      <c r="F27">
        <v>13025</v>
      </c>
      <c r="G27">
        <v>0.99732006125574268</v>
      </c>
      <c r="H27">
        <v>2.6799387442573153E-3</v>
      </c>
    </row>
    <row r="28" spans="1:9" x14ac:dyDescent="0.3">
      <c r="A28">
        <v>12</v>
      </c>
      <c r="B28">
        <v>2022</v>
      </c>
      <c r="C28" t="s">
        <v>14</v>
      </c>
      <c r="D28" t="s">
        <v>6</v>
      </c>
      <c r="E28">
        <v>55</v>
      </c>
      <c r="F28">
        <v>55</v>
      </c>
      <c r="G28">
        <v>1</v>
      </c>
      <c r="H28">
        <v>0</v>
      </c>
    </row>
    <row r="29" spans="1:9" x14ac:dyDescent="0.3">
      <c r="A29">
        <v>12</v>
      </c>
      <c r="B29">
        <v>2022</v>
      </c>
      <c r="C29" t="s">
        <v>14</v>
      </c>
      <c r="D29" t="s">
        <v>7</v>
      </c>
      <c r="E29">
        <v>89637</v>
      </c>
      <c r="F29">
        <v>89317</v>
      </c>
      <c r="G29">
        <v>0.99643004562847937</v>
      </c>
      <c r="H29">
        <v>3.5699543715206339E-3</v>
      </c>
    </row>
    <row r="30" spans="1:9" x14ac:dyDescent="0.3">
      <c r="A30">
        <v>12</v>
      </c>
      <c r="B30">
        <v>2022</v>
      </c>
      <c r="C30" t="s">
        <v>14</v>
      </c>
      <c r="D30" t="s">
        <v>8</v>
      </c>
      <c r="E30">
        <v>2549</v>
      </c>
      <c r="F30">
        <v>2537</v>
      </c>
      <c r="G30">
        <v>0.99529227147901134</v>
      </c>
      <c r="H30">
        <v>4.7077285209886632E-3</v>
      </c>
    </row>
    <row r="31" spans="1:9" x14ac:dyDescent="0.3">
      <c r="A31">
        <v>12</v>
      </c>
      <c r="B31">
        <v>2022</v>
      </c>
      <c r="C31" t="s">
        <v>14</v>
      </c>
      <c r="D31" t="s">
        <v>9</v>
      </c>
      <c r="E31">
        <v>5861</v>
      </c>
      <c r="F31">
        <v>5844</v>
      </c>
      <c r="G31">
        <v>0.99709947108002051</v>
      </c>
      <c r="H31">
        <v>2.9005289199794948E-3</v>
      </c>
    </row>
    <row r="32" spans="1:9" x14ac:dyDescent="0.3">
      <c r="A32">
        <v>12</v>
      </c>
      <c r="B32">
        <v>2022</v>
      </c>
      <c r="C32" t="s">
        <v>21</v>
      </c>
      <c r="D32" t="s">
        <v>4</v>
      </c>
      <c r="E32">
        <v>0</v>
      </c>
      <c r="F32">
        <v>0</v>
      </c>
      <c r="I32" t="s">
        <v>35</v>
      </c>
    </row>
    <row r="33" spans="1:9" x14ac:dyDescent="0.3">
      <c r="A33">
        <v>12</v>
      </c>
      <c r="B33">
        <v>2022</v>
      </c>
      <c r="C33" t="s">
        <v>21</v>
      </c>
      <c r="D33" t="s">
        <v>5</v>
      </c>
      <c r="E33">
        <v>3565</v>
      </c>
      <c r="F33">
        <v>3552</v>
      </c>
      <c r="G33">
        <v>0.99635343618513328</v>
      </c>
      <c r="H33">
        <v>3.6465638148667212E-3</v>
      </c>
    </row>
    <row r="34" spans="1:9" x14ac:dyDescent="0.3">
      <c r="A34">
        <v>12</v>
      </c>
      <c r="B34">
        <v>2022</v>
      </c>
      <c r="C34" t="s">
        <v>21</v>
      </c>
      <c r="D34" t="s">
        <v>6</v>
      </c>
      <c r="E34">
        <v>0</v>
      </c>
      <c r="F34">
        <v>0</v>
      </c>
      <c r="I34" t="s">
        <v>35</v>
      </c>
    </row>
    <row r="35" spans="1:9" x14ac:dyDescent="0.3">
      <c r="A35">
        <v>12</v>
      </c>
      <c r="B35">
        <v>2022</v>
      </c>
      <c r="C35" t="s">
        <v>21</v>
      </c>
      <c r="D35" t="s">
        <v>7</v>
      </c>
      <c r="E35">
        <v>67799</v>
      </c>
      <c r="F35">
        <v>67700</v>
      </c>
      <c r="G35">
        <v>0.99853980147199817</v>
      </c>
      <c r="H35">
        <v>1.4601985280018326E-3</v>
      </c>
    </row>
    <row r="36" spans="1:9" x14ac:dyDescent="0.3">
      <c r="A36">
        <v>12</v>
      </c>
      <c r="B36">
        <v>2022</v>
      </c>
      <c r="C36" t="s">
        <v>21</v>
      </c>
      <c r="D36" t="s">
        <v>8</v>
      </c>
      <c r="E36">
        <v>1646</v>
      </c>
      <c r="F36">
        <v>1642</v>
      </c>
      <c r="G36">
        <v>0.99756986634264888</v>
      </c>
      <c r="H36">
        <v>2.430133657351119E-3</v>
      </c>
    </row>
    <row r="37" spans="1:9" x14ac:dyDescent="0.3">
      <c r="A37">
        <v>12</v>
      </c>
      <c r="B37">
        <v>2022</v>
      </c>
      <c r="C37" t="s">
        <v>21</v>
      </c>
      <c r="D37" t="s">
        <v>9</v>
      </c>
      <c r="E37">
        <v>6713</v>
      </c>
      <c r="F37">
        <v>6701</v>
      </c>
      <c r="G37">
        <v>0.99821242365559359</v>
      </c>
      <c r="H37">
        <v>1.7875763444064052E-3</v>
      </c>
    </row>
    <row r="38" spans="1:9" x14ac:dyDescent="0.3">
      <c r="A38">
        <v>12</v>
      </c>
      <c r="B38">
        <v>2022</v>
      </c>
      <c r="C38" t="s">
        <v>26</v>
      </c>
      <c r="D38" t="s">
        <v>4</v>
      </c>
      <c r="E38">
        <v>164</v>
      </c>
      <c r="F38">
        <v>162</v>
      </c>
      <c r="G38">
        <v>0.98780487804878048</v>
      </c>
      <c r="H38">
        <v>1.2195121951219523E-2</v>
      </c>
    </row>
    <row r="39" spans="1:9" x14ac:dyDescent="0.3">
      <c r="A39">
        <v>12</v>
      </c>
      <c r="B39">
        <v>2022</v>
      </c>
      <c r="C39" t="s">
        <v>26</v>
      </c>
      <c r="D39" t="s">
        <v>5</v>
      </c>
      <c r="E39">
        <v>1555</v>
      </c>
      <c r="F39">
        <v>1552</v>
      </c>
      <c r="G39">
        <v>0.99807073954983927</v>
      </c>
      <c r="H39">
        <v>1.9292604501607302E-3</v>
      </c>
    </row>
    <row r="40" spans="1:9" x14ac:dyDescent="0.3">
      <c r="A40">
        <v>12</v>
      </c>
      <c r="B40">
        <v>2022</v>
      </c>
      <c r="C40" t="s">
        <v>26</v>
      </c>
      <c r="D40" t="s">
        <v>6</v>
      </c>
      <c r="E40">
        <v>22</v>
      </c>
      <c r="F40">
        <v>22</v>
      </c>
      <c r="G40">
        <v>1</v>
      </c>
      <c r="H40">
        <v>0</v>
      </c>
    </row>
    <row r="41" spans="1:9" x14ac:dyDescent="0.3">
      <c r="A41">
        <v>12</v>
      </c>
      <c r="B41">
        <v>2022</v>
      </c>
      <c r="C41" t="s">
        <v>26</v>
      </c>
      <c r="D41" t="s">
        <v>7</v>
      </c>
      <c r="E41">
        <v>62473</v>
      </c>
      <c r="F41">
        <v>62094</v>
      </c>
      <c r="G41">
        <v>0.99393337921982294</v>
      </c>
      <c r="H41">
        <v>6.0666207801770566E-3</v>
      </c>
    </row>
    <row r="42" spans="1:9" x14ac:dyDescent="0.3">
      <c r="A42">
        <v>12</v>
      </c>
      <c r="B42">
        <v>2022</v>
      </c>
      <c r="C42" t="s">
        <v>26</v>
      </c>
      <c r="D42" t="s">
        <v>8</v>
      </c>
      <c r="E42">
        <v>1120</v>
      </c>
      <c r="F42">
        <v>1117</v>
      </c>
      <c r="G42">
        <v>0.99732142857142858</v>
      </c>
      <c r="H42">
        <v>2.6785714285714191E-3</v>
      </c>
    </row>
    <row r="43" spans="1:9" x14ac:dyDescent="0.3">
      <c r="A43">
        <v>12</v>
      </c>
      <c r="B43">
        <v>2022</v>
      </c>
      <c r="C43" t="s">
        <v>26</v>
      </c>
      <c r="D43" t="s">
        <v>9</v>
      </c>
      <c r="E43">
        <v>4312</v>
      </c>
      <c r="F43">
        <v>4307</v>
      </c>
      <c r="G43">
        <v>0.99884044526901672</v>
      </c>
      <c r="H43">
        <v>1.159554730983281E-3</v>
      </c>
    </row>
    <row r="44" spans="1:9" x14ac:dyDescent="0.3">
      <c r="A44">
        <v>12</v>
      </c>
      <c r="B44">
        <v>2022</v>
      </c>
      <c r="C44" t="s">
        <v>15</v>
      </c>
      <c r="D44" t="s">
        <v>4</v>
      </c>
      <c r="E44">
        <v>0</v>
      </c>
      <c r="F44">
        <v>0</v>
      </c>
      <c r="I44" t="s">
        <v>35</v>
      </c>
    </row>
    <row r="45" spans="1:9" x14ac:dyDescent="0.3">
      <c r="A45">
        <v>12</v>
      </c>
      <c r="B45">
        <v>2022</v>
      </c>
      <c r="C45" t="s">
        <v>15</v>
      </c>
      <c r="D45" t="s">
        <v>5</v>
      </c>
      <c r="E45">
        <v>100216</v>
      </c>
      <c r="F45">
        <v>99566</v>
      </c>
      <c r="G45">
        <v>0.99351400973896387</v>
      </c>
      <c r="H45">
        <v>6.4859902610361342E-3</v>
      </c>
    </row>
    <row r="46" spans="1:9" x14ac:dyDescent="0.3">
      <c r="A46">
        <v>12</v>
      </c>
      <c r="B46">
        <v>2022</v>
      </c>
      <c r="C46" t="s">
        <v>15</v>
      </c>
      <c r="D46" t="s">
        <v>6</v>
      </c>
      <c r="E46">
        <v>6420</v>
      </c>
      <c r="F46">
        <v>6393</v>
      </c>
      <c r="G46">
        <v>0.99579439252336444</v>
      </c>
      <c r="H46">
        <v>4.2056074766355644E-3</v>
      </c>
    </row>
    <row r="47" spans="1:9" x14ac:dyDescent="0.3">
      <c r="A47">
        <v>12</v>
      </c>
      <c r="B47">
        <v>2022</v>
      </c>
      <c r="C47" t="s">
        <v>15</v>
      </c>
      <c r="D47" t="s">
        <v>7</v>
      </c>
      <c r="E47">
        <v>64953</v>
      </c>
      <c r="F47">
        <v>64774</v>
      </c>
      <c r="G47">
        <v>0.99724416116268688</v>
      </c>
      <c r="H47">
        <v>2.7558388373131182E-3</v>
      </c>
    </row>
    <row r="48" spans="1:9" x14ac:dyDescent="0.3">
      <c r="A48">
        <v>12</v>
      </c>
      <c r="B48">
        <v>2022</v>
      </c>
      <c r="C48" t="s">
        <v>15</v>
      </c>
      <c r="D48" t="s">
        <v>8</v>
      </c>
      <c r="E48">
        <v>81</v>
      </c>
      <c r="F48">
        <v>81</v>
      </c>
      <c r="G48">
        <v>1</v>
      </c>
      <c r="H48">
        <v>0</v>
      </c>
    </row>
    <row r="49" spans="1:9" x14ac:dyDescent="0.3">
      <c r="A49">
        <v>12</v>
      </c>
      <c r="B49">
        <v>2022</v>
      </c>
      <c r="C49" t="s">
        <v>15</v>
      </c>
      <c r="D49" t="s">
        <v>9</v>
      </c>
      <c r="E49">
        <v>6669</v>
      </c>
      <c r="F49">
        <v>6661</v>
      </c>
      <c r="G49">
        <v>0.99880041985305146</v>
      </c>
      <c r="H49">
        <v>1.1995801469485423E-3</v>
      </c>
    </row>
    <row r="50" spans="1:9" x14ac:dyDescent="0.3">
      <c r="A50">
        <v>12</v>
      </c>
      <c r="B50">
        <v>2022</v>
      </c>
      <c r="C50" t="s">
        <v>27</v>
      </c>
      <c r="D50" t="s">
        <v>4</v>
      </c>
      <c r="E50">
        <v>0</v>
      </c>
      <c r="F50">
        <v>0</v>
      </c>
      <c r="I50" t="s">
        <v>35</v>
      </c>
    </row>
    <row r="51" spans="1:9" x14ac:dyDescent="0.3">
      <c r="A51">
        <v>12</v>
      </c>
      <c r="B51">
        <v>2022</v>
      </c>
      <c r="C51" t="s">
        <v>27</v>
      </c>
      <c r="D51" t="s">
        <v>5</v>
      </c>
      <c r="E51">
        <v>69504</v>
      </c>
      <c r="F51">
        <v>69109</v>
      </c>
      <c r="G51">
        <v>0.99431687384898715</v>
      </c>
      <c r="H51">
        <v>5.6831261510128517E-3</v>
      </c>
    </row>
    <row r="52" spans="1:9" x14ac:dyDescent="0.3">
      <c r="A52">
        <v>12</v>
      </c>
      <c r="B52">
        <v>2022</v>
      </c>
      <c r="C52" t="s">
        <v>27</v>
      </c>
      <c r="D52" t="s">
        <v>6</v>
      </c>
      <c r="E52">
        <v>7775</v>
      </c>
      <c r="F52">
        <v>7743</v>
      </c>
      <c r="G52">
        <v>0.99588424437299039</v>
      </c>
      <c r="H52">
        <v>4.1157556270096096E-3</v>
      </c>
    </row>
    <row r="53" spans="1:9" x14ac:dyDescent="0.3">
      <c r="A53">
        <v>12</v>
      </c>
      <c r="B53">
        <v>2022</v>
      </c>
      <c r="C53" t="s">
        <v>27</v>
      </c>
      <c r="D53" t="s">
        <v>7</v>
      </c>
      <c r="E53">
        <v>40461</v>
      </c>
      <c r="F53">
        <v>40291</v>
      </c>
      <c r="G53">
        <v>0.99579842317293199</v>
      </c>
      <c r="H53">
        <v>4.2015768270680098E-3</v>
      </c>
    </row>
    <row r="54" spans="1:9" x14ac:dyDescent="0.3">
      <c r="A54">
        <v>12</v>
      </c>
      <c r="B54">
        <v>2022</v>
      </c>
      <c r="C54" t="s">
        <v>27</v>
      </c>
      <c r="D54" t="s">
        <v>8</v>
      </c>
      <c r="E54">
        <v>65</v>
      </c>
      <c r="F54">
        <v>65</v>
      </c>
      <c r="G54">
        <v>1</v>
      </c>
      <c r="H54">
        <v>0</v>
      </c>
    </row>
    <row r="55" spans="1:9" x14ac:dyDescent="0.3">
      <c r="A55">
        <v>12</v>
      </c>
      <c r="B55">
        <v>2022</v>
      </c>
      <c r="C55" t="s">
        <v>27</v>
      </c>
      <c r="D55" t="s">
        <v>9</v>
      </c>
      <c r="E55">
        <v>2872</v>
      </c>
      <c r="F55">
        <v>2872</v>
      </c>
      <c r="G55">
        <v>1</v>
      </c>
      <c r="H55">
        <v>0</v>
      </c>
    </row>
    <row r="56" spans="1:9" x14ac:dyDescent="0.3">
      <c r="A56">
        <v>12</v>
      </c>
      <c r="B56">
        <v>2022</v>
      </c>
      <c r="C56" t="s">
        <v>17</v>
      </c>
      <c r="D56" t="s">
        <v>4</v>
      </c>
      <c r="E56">
        <v>0</v>
      </c>
      <c r="F56">
        <v>0</v>
      </c>
      <c r="I56" t="s">
        <v>35</v>
      </c>
    </row>
    <row r="57" spans="1:9" x14ac:dyDescent="0.3">
      <c r="A57">
        <v>12</v>
      </c>
      <c r="B57">
        <v>2022</v>
      </c>
      <c r="C57" t="s">
        <v>17</v>
      </c>
      <c r="D57" t="s">
        <v>5</v>
      </c>
      <c r="E57">
        <v>20672</v>
      </c>
      <c r="F57">
        <v>20518</v>
      </c>
      <c r="G57">
        <v>0.99255030959752322</v>
      </c>
      <c r="H57">
        <v>7.4496904024767829E-3</v>
      </c>
    </row>
    <row r="58" spans="1:9" x14ac:dyDescent="0.3">
      <c r="A58">
        <v>12</v>
      </c>
      <c r="B58">
        <v>2022</v>
      </c>
      <c r="C58" t="s">
        <v>17</v>
      </c>
      <c r="D58" t="s">
        <v>6</v>
      </c>
      <c r="E58">
        <v>102</v>
      </c>
      <c r="F58">
        <v>101</v>
      </c>
      <c r="G58">
        <v>0.99019607843137258</v>
      </c>
      <c r="H58">
        <v>9.8039215686274161E-3</v>
      </c>
    </row>
    <row r="59" spans="1:9" x14ac:dyDescent="0.3">
      <c r="A59">
        <v>12</v>
      </c>
      <c r="B59">
        <v>2022</v>
      </c>
      <c r="C59" t="s">
        <v>17</v>
      </c>
      <c r="D59" t="s">
        <v>7</v>
      </c>
      <c r="E59">
        <v>20768</v>
      </c>
      <c r="F59">
        <v>20601</v>
      </c>
      <c r="G59">
        <v>0.99195878274268101</v>
      </c>
      <c r="H59">
        <v>8.0412172573189888E-3</v>
      </c>
    </row>
    <row r="60" spans="1:9" x14ac:dyDescent="0.3">
      <c r="A60">
        <v>12</v>
      </c>
      <c r="B60">
        <v>2022</v>
      </c>
      <c r="C60" t="s">
        <v>17</v>
      </c>
      <c r="D60" t="s">
        <v>8</v>
      </c>
      <c r="E60">
        <v>4536</v>
      </c>
      <c r="F60">
        <v>4481</v>
      </c>
      <c r="G60">
        <v>0.9878747795414462</v>
      </c>
      <c r="H60">
        <v>1.2125220458553798E-2</v>
      </c>
    </row>
    <row r="61" spans="1:9" x14ac:dyDescent="0.3">
      <c r="A61">
        <v>12</v>
      </c>
      <c r="B61">
        <v>2022</v>
      </c>
      <c r="C61" t="s">
        <v>17</v>
      </c>
      <c r="D61" t="s">
        <v>9</v>
      </c>
      <c r="E61">
        <v>6071</v>
      </c>
      <c r="F61">
        <v>6047</v>
      </c>
      <c r="G61">
        <v>0.99604677977268985</v>
      </c>
      <c r="H61">
        <v>3.9532202273101502E-3</v>
      </c>
    </row>
    <row r="62" spans="1:9" x14ac:dyDescent="0.3">
      <c r="A62">
        <v>12</v>
      </c>
      <c r="B62">
        <v>2022</v>
      </c>
      <c r="C62" t="s">
        <v>22</v>
      </c>
      <c r="D62" t="s">
        <v>4</v>
      </c>
      <c r="E62">
        <v>0</v>
      </c>
      <c r="F62">
        <v>0</v>
      </c>
      <c r="I62" t="s">
        <v>35</v>
      </c>
    </row>
    <row r="63" spans="1:9" x14ac:dyDescent="0.3">
      <c r="A63">
        <v>12</v>
      </c>
      <c r="B63">
        <v>2022</v>
      </c>
      <c r="C63" t="s">
        <v>22</v>
      </c>
      <c r="D63" t="s">
        <v>5</v>
      </c>
      <c r="E63">
        <v>278</v>
      </c>
      <c r="F63">
        <v>272</v>
      </c>
      <c r="G63">
        <v>0.97841726618705038</v>
      </c>
      <c r="H63">
        <v>2.1582733812949617E-2</v>
      </c>
    </row>
    <row r="64" spans="1:9" x14ac:dyDescent="0.3">
      <c r="A64">
        <v>12</v>
      </c>
      <c r="B64">
        <v>2022</v>
      </c>
      <c r="C64" t="s">
        <v>22</v>
      </c>
      <c r="D64" t="s">
        <v>6</v>
      </c>
      <c r="E64">
        <v>921</v>
      </c>
      <c r="F64">
        <v>920</v>
      </c>
      <c r="G64">
        <v>0.998914223669924</v>
      </c>
      <c r="H64">
        <v>1.0857763300760048E-3</v>
      </c>
    </row>
    <row r="65" spans="1:9" x14ac:dyDescent="0.3">
      <c r="A65">
        <v>12</v>
      </c>
      <c r="B65">
        <v>2022</v>
      </c>
      <c r="C65" t="s">
        <v>22</v>
      </c>
      <c r="D65" t="s">
        <v>7</v>
      </c>
      <c r="E65">
        <v>100688</v>
      </c>
      <c r="F65">
        <v>99746</v>
      </c>
      <c r="G65">
        <v>0.99064436675671386</v>
      </c>
      <c r="H65">
        <v>9.3556332432861433E-3</v>
      </c>
    </row>
    <row r="66" spans="1:9" x14ac:dyDescent="0.3">
      <c r="A66">
        <v>12</v>
      </c>
      <c r="B66">
        <v>2022</v>
      </c>
      <c r="C66" t="s">
        <v>22</v>
      </c>
      <c r="D66" t="s">
        <v>8</v>
      </c>
      <c r="E66">
        <v>1069</v>
      </c>
      <c r="F66">
        <v>1060</v>
      </c>
      <c r="G66">
        <v>0.99158091674462112</v>
      </c>
      <c r="H66">
        <v>8.4190832553788786E-3</v>
      </c>
    </row>
    <row r="67" spans="1:9" x14ac:dyDescent="0.3">
      <c r="A67">
        <v>12</v>
      </c>
      <c r="B67">
        <v>2022</v>
      </c>
      <c r="C67" t="s">
        <v>22</v>
      </c>
      <c r="D67" t="s">
        <v>9</v>
      </c>
      <c r="E67">
        <v>4480</v>
      </c>
      <c r="F67">
        <v>4471</v>
      </c>
      <c r="G67">
        <v>0.99799107142857146</v>
      </c>
      <c r="H67">
        <v>2.0089285714285365E-3</v>
      </c>
    </row>
    <row r="68" spans="1:9" x14ac:dyDescent="0.3">
      <c r="A68">
        <v>12</v>
      </c>
      <c r="B68">
        <v>2022</v>
      </c>
      <c r="C68" t="s">
        <v>18</v>
      </c>
      <c r="D68" t="s">
        <v>4</v>
      </c>
      <c r="E68">
        <v>38</v>
      </c>
      <c r="F68">
        <v>38</v>
      </c>
      <c r="G68">
        <v>1</v>
      </c>
      <c r="H68">
        <v>0</v>
      </c>
    </row>
    <row r="69" spans="1:9" x14ac:dyDescent="0.3">
      <c r="A69">
        <v>12</v>
      </c>
      <c r="B69">
        <v>2022</v>
      </c>
      <c r="C69" t="s">
        <v>18</v>
      </c>
      <c r="D69" t="s">
        <v>5</v>
      </c>
      <c r="E69">
        <v>357</v>
      </c>
      <c r="F69">
        <v>357</v>
      </c>
      <c r="G69">
        <v>1</v>
      </c>
      <c r="H69">
        <v>0</v>
      </c>
    </row>
    <row r="70" spans="1:9" x14ac:dyDescent="0.3">
      <c r="A70">
        <v>12</v>
      </c>
      <c r="B70">
        <v>2022</v>
      </c>
      <c r="C70" t="s">
        <v>18</v>
      </c>
      <c r="D70" t="s">
        <v>6</v>
      </c>
      <c r="E70">
        <v>0</v>
      </c>
      <c r="F70">
        <v>0</v>
      </c>
      <c r="I70" t="s">
        <v>35</v>
      </c>
    </row>
    <row r="71" spans="1:9" x14ac:dyDescent="0.3">
      <c r="A71">
        <v>12</v>
      </c>
      <c r="B71">
        <v>2022</v>
      </c>
      <c r="C71" t="s">
        <v>18</v>
      </c>
      <c r="D71" t="s">
        <v>7</v>
      </c>
      <c r="E71">
        <v>118675</v>
      </c>
      <c r="F71">
        <v>118046</v>
      </c>
      <c r="G71">
        <v>0.99469981040657263</v>
      </c>
      <c r="H71">
        <v>5.3001895934273735E-3</v>
      </c>
    </row>
    <row r="72" spans="1:9" x14ac:dyDescent="0.3">
      <c r="A72">
        <v>12</v>
      </c>
      <c r="B72">
        <v>2022</v>
      </c>
      <c r="C72" t="s">
        <v>18</v>
      </c>
      <c r="D72" t="s">
        <v>8</v>
      </c>
      <c r="E72">
        <v>2231</v>
      </c>
      <c r="F72">
        <v>2225</v>
      </c>
      <c r="G72">
        <v>0.99731062303899598</v>
      </c>
      <c r="H72">
        <v>2.6893769610040197E-3</v>
      </c>
    </row>
    <row r="73" spans="1:9" x14ac:dyDescent="0.3">
      <c r="A73">
        <v>12</v>
      </c>
      <c r="B73">
        <v>2022</v>
      </c>
      <c r="C73" t="s">
        <v>18</v>
      </c>
      <c r="D73" t="s">
        <v>9</v>
      </c>
      <c r="E73">
        <v>3615</v>
      </c>
      <c r="F73">
        <v>3607</v>
      </c>
      <c r="G73">
        <v>0.99778699861687414</v>
      </c>
      <c r="H73">
        <v>2.2130013831258566E-3</v>
      </c>
    </row>
    <row r="74" spans="1:9" x14ac:dyDescent="0.3">
      <c r="A74">
        <v>12</v>
      </c>
      <c r="B74">
        <v>2022</v>
      </c>
      <c r="C74" t="s">
        <v>23</v>
      </c>
      <c r="D74" t="s">
        <v>4</v>
      </c>
      <c r="E74">
        <v>0</v>
      </c>
      <c r="F74">
        <v>0</v>
      </c>
      <c r="I74" t="s">
        <v>35</v>
      </c>
    </row>
    <row r="75" spans="1:9" x14ac:dyDescent="0.3">
      <c r="A75">
        <v>12</v>
      </c>
      <c r="B75">
        <v>2022</v>
      </c>
      <c r="C75" t="s">
        <v>23</v>
      </c>
      <c r="D75" t="s">
        <v>5</v>
      </c>
      <c r="E75">
        <v>84</v>
      </c>
      <c r="F75">
        <v>83</v>
      </c>
      <c r="G75">
        <v>0.98809523809523814</v>
      </c>
      <c r="H75">
        <v>1.1904761904761862E-2</v>
      </c>
    </row>
    <row r="76" spans="1:9" x14ac:dyDescent="0.3">
      <c r="A76">
        <v>12</v>
      </c>
      <c r="B76">
        <v>2022</v>
      </c>
      <c r="C76" t="s">
        <v>23</v>
      </c>
      <c r="D76" t="s">
        <v>6</v>
      </c>
      <c r="E76">
        <v>0</v>
      </c>
      <c r="F76">
        <v>0</v>
      </c>
      <c r="I76" t="s">
        <v>35</v>
      </c>
    </row>
    <row r="77" spans="1:9" x14ac:dyDescent="0.3">
      <c r="A77">
        <v>12</v>
      </c>
      <c r="B77">
        <v>2022</v>
      </c>
      <c r="C77" t="s">
        <v>23</v>
      </c>
      <c r="D77" t="s">
        <v>7</v>
      </c>
      <c r="E77">
        <v>84716</v>
      </c>
      <c r="F77">
        <v>83962</v>
      </c>
      <c r="G77">
        <v>0.99109967420558098</v>
      </c>
      <c r="H77">
        <v>8.9003257944190173E-3</v>
      </c>
    </row>
    <row r="78" spans="1:9" x14ac:dyDescent="0.3">
      <c r="A78">
        <v>12</v>
      </c>
      <c r="B78">
        <v>2022</v>
      </c>
      <c r="C78" t="s">
        <v>23</v>
      </c>
      <c r="D78" t="s">
        <v>8</v>
      </c>
      <c r="E78">
        <v>3714</v>
      </c>
      <c r="F78">
        <v>3669</v>
      </c>
      <c r="G78">
        <v>0.98788368336025845</v>
      </c>
      <c r="H78">
        <v>1.2116316639741553E-2</v>
      </c>
    </row>
    <row r="79" spans="1:9" x14ac:dyDescent="0.3">
      <c r="A79">
        <v>12</v>
      </c>
      <c r="B79">
        <v>2022</v>
      </c>
      <c r="C79" t="s">
        <v>23</v>
      </c>
      <c r="D79" t="s">
        <v>9</v>
      </c>
      <c r="E79">
        <v>5409</v>
      </c>
      <c r="F79">
        <v>5398</v>
      </c>
      <c r="G79">
        <v>0.99796635237567022</v>
      </c>
      <c r="H79">
        <v>2.0336476243297819E-3</v>
      </c>
    </row>
    <row r="80" spans="1:9" x14ac:dyDescent="0.3">
      <c r="A80">
        <v>12</v>
      </c>
      <c r="B80">
        <v>2022</v>
      </c>
      <c r="C80" t="s">
        <v>24</v>
      </c>
      <c r="D80" t="s">
        <v>4</v>
      </c>
      <c r="E80">
        <v>0</v>
      </c>
      <c r="F80">
        <v>0</v>
      </c>
      <c r="I80" t="s">
        <v>35</v>
      </c>
    </row>
    <row r="81" spans="1:9" x14ac:dyDescent="0.3">
      <c r="A81">
        <v>12</v>
      </c>
      <c r="B81">
        <v>2022</v>
      </c>
      <c r="C81" t="s">
        <v>24</v>
      </c>
      <c r="D81" t="s">
        <v>5</v>
      </c>
      <c r="E81">
        <v>1336</v>
      </c>
      <c r="F81">
        <v>1272</v>
      </c>
      <c r="G81">
        <v>0.95209580838323349</v>
      </c>
      <c r="H81">
        <v>4.7904191616766512E-2</v>
      </c>
    </row>
    <row r="82" spans="1:9" x14ac:dyDescent="0.3">
      <c r="A82">
        <v>12</v>
      </c>
      <c r="B82">
        <v>2022</v>
      </c>
      <c r="C82" t="s">
        <v>24</v>
      </c>
      <c r="D82" t="s">
        <v>6</v>
      </c>
      <c r="E82">
        <v>0</v>
      </c>
      <c r="F82">
        <v>0</v>
      </c>
      <c r="I82" t="s">
        <v>35</v>
      </c>
    </row>
    <row r="83" spans="1:9" x14ac:dyDescent="0.3">
      <c r="A83">
        <v>12</v>
      </c>
      <c r="B83">
        <v>2022</v>
      </c>
      <c r="C83" t="s">
        <v>24</v>
      </c>
      <c r="D83" t="s">
        <v>7</v>
      </c>
      <c r="E83">
        <v>131729</v>
      </c>
      <c r="F83">
        <v>130263</v>
      </c>
      <c r="G83">
        <v>0.98887109140735907</v>
      </c>
      <c r="H83">
        <v>1.1128908592640929E-2</v>
      </c>
    </row>
    <row r="84" spans="1:9" x14ac:dyDescent="0.3">
      <c r="A84">
        <v>12</v>
      </c>
      <c r="B84">
        <v>2022</v>
      </c>
      <c r="C84" t="s">
        <v>24</v>
      </c>
      <c r="D84" t="s">
        <v>8</v>
      </c>
      <c r="E84">
        <v>3184</v>
      </c>
      <c r="F84">
        <v>3152</v>
      </c>
      <c r="G84">
        <v>0.98994974874371855</v>
      </c>
      <c r="H84">
        <v>1.0050251256281451E-2</v>
      </c>
    </row>
    <row r="85" spans="1:9" x14ac:dyDescent="0.3">
      <c r="A85">
        <v>12</v>
      </c>
      <c r="B85">
        <v>2022</v>
      </c>
      <c r="C85" t="s">
        <v>24</v>
      </c>
      <c r="D85" t="s">
        <v>9</v>
      </c>
      <c r="E85">
        <v>8680</v>
      </c>
      <c r="F85">
        <v>8666</v>
      </c>
      <c r="G85">
        <v>0.99838709677419357</v>
      </c>
      <c r="H85">
        <v>1.612903225806428E-3</v>
      </c>
    </row>
    <row r="86" spans="1:9" x14ac:dyDescent="0.3">
      <c r="A86">
        <v>12</v>
      </c>
      <c r="B86">
        <v>2022</v>
      </c>
      <c r="C86" t="s">
        <v>16</v>
      </c>
      <c r="D86" t="s">
        <v>4</v>
      </c>
      <c r="E86">
        <v>0</v>
      </c>
      <c r="F86">
        <v>0</v>
      </c>
      <c r="I86" t="s">
        <v>35</v>
      </c>
    </row>
    <row r="87" spans="1:9" x14ac:dyDescent="0.3">
      <c r="A87">
        <v>12</v>
      </c>
      <c r="B87">
        <v>2022</v>
      </c>
      <c r="C87" t="s">
        <v>16</v>
      </c>
      <c r="D87" t="s">
        <v>5</v>
      </c>
      <c r="E87">
        <v>1535</v>
      </c>
      <c r="F87">
        <v>1534</v>
      </c>
      <c r="G87">
        <v>0.99934853420195435</v>
      </c>
      <c r="H87">
        <v>6.514657980456473E-4</v>
      </c>
    </row>
    <row r="88" spans="1:9" x14ac:dyDescent="0.3">
      <c r="A88">
        <v>12</v>
      </c>
      <c r="B88">
        <v>2022</v>
      </c>
      <c r="C88" t="s">
        <v>16</v>
      </c>
      <c r="D88" t="s">
        <v>6</v>
      </c>
      <c r="E88">
        <v>0</v>
      </c>
      <c r="F88">
        <v>0</v>
      </c>
      <c r="I88" t="s">
        <v>35</v>
      </c>
    </row>
    <row r="89" spans="1:9" x14ac:dyDescent="0.3">
      <c r="A89">
        <v>12</v>
      </c>
      <c r="B89">
        <v>2022</v>
      </c>
      <c r="C89" t="s">
        <v>16</v>
      </c>
      <c r="D89" t="s">
        <v>7</v>
      </c>
      <c r="E89">
        <v>22801</v>
      </c>
      <c r="F89">
        <v>22742</v>
      </c>
      <c r="G89">
        <v>0.99741239419323713</v>
      </c>
      <c r="H89">
        <v>2.5876058067628716E-3</v>
      </c>
    </row>
    <row r="90" spans="1:9" x14ac:dyDescent="0.3">
      <c r="A90">
        <v>12</v>
      </c>
      <c r="B90">
        <v>2022</v>
      </c>
      <c r="C90" t="s">
        <v>16</v>
      </c>
      <c r="D90" t="s">
        <v>8</v>
      </c>
      <c r="E90">
        <v>1673</v>
      </c>
      <c r="F90">
        <v>1662</v>
      </c>
      <c r="G90">
        <v>0.99342498505678423</v>
      </c>
      <c r="H90">
        <v>6.5750149432157734E-3</v>
      </c>
    </row>
    <row r="91" spans="1:9" x14ac:dyDescent="0.3">
      <c r="A91">
        <v>12</v>
      </c>
      <c r="B91">
        <v>2022</v>
      </c>
      <c r="C91" t="s">
        <v>16</v>
      </c>
      <c r="D91" t="s">
        <v>9</v>
      </c>
      <c r="E91">
        <v>4859</v>
      </c>
      <c r="F91">
        <v>4849</v>
      </c>
      <c r="G91">
        <v>0.99794196336694796</v>
      </c>
      <c r="H91">
        <v>2.0580366330520405E-3</v>
      </c>
    </row>
    <row r="92" spans="1:9" x14ac:dyDescent="0.3">
      <c r="A92">
        <v>12</v>
      </c>
      <c r="B92">
        <v>2022</v>
      </c>
      <c r="C92" t="s">
        <v>25</v>
      </c>
      <c r="D92" t="s">
        <v>4</v>
      </c>
      <c r="E92">
        <v>0</v>
      </c>
      <c r="F92">
        <v>0</v>
      </c>
      <c r="I92" t="s">
        <v>35</v>
      </c>
    </row>
    <row r="93" spans="1:9" x14ac:dyDescent="0.3">
      <c r="A93">
        <v>12</v>
      </c>
      <c r="B93">
        <v>2022</v>
      </c>
      <c r="C93" t="s">
        <v>25</v>
      </c>
      <c r="D93" t="s">
        <v>5</v>
      </c>
      <c r="E93">
        <v>82</v>
      </c>
      <c r="F93">
        <v>82</v>
      </c>
      <c r="G93">
        <v>1</v>
      </c>
      <c r="H93">
        <v>0</v>
      </c>
    </row>
    <row r="94" spans="1:9" x14ac:dyDescent="0.3">
      <c r="A94">
        <v>12</v>
      </c>
      <c r="B94">
        <v>2022</v>
      </c>
      <c r="C94" t="s">
        <v>25</v>
      </c>
      <c r="D94" t="s">
        <v>6</v>
      </c>
      <c r="E94">
        <v>0</v>
      </c>
      <c r="F94">
        <v>0</v>
      </c>
      <c r="I94" t="s">
        <v>35</v>
      </c>
    </row>
    <row r="95" spans="1:9" x14ac:dyDescent="0.3">
      <c r="A95">
        <v>12</v>
      </c>
      <c r="B95">
        <v>2022</v>
      </c>
      <c r="C95" t="s">
        <v>25</v>
      </c>
      <c r="D95" t="s">
        <v>7</v>
      </c>
      <c r="E95">
        <v>33500</v>
      </c>
      <c r="F95">
        <v>33462</v>
      </c>
      <c r="G95">
        <v>0.99886567164179108</v>
      </c>
      <c r="H95">
        <v>1.1343283582089247E-3</v>
      </c>
    </row>
    <row r="96" spans="1:9" x14ac:dyDescent="0.3">
      <c r="A96">
        <v>12</v>
      </c>
      <c r="B96">
        <v>2022</v>
      </c>
      <c r="C96" t="s">
        <v>25</v>
      </c>
      <c r="D96" t="s">
        <v>8</v>
      </c>
      <c r="E96">
        <v>973</v>
      </c>
      <c r="F96">
        <v>972</v>
      </c>
      <c r="G96">
        <v>0.99897225077081198</v>
      </c>
      <c r="H96">
        <v>1.0277492291880241E-3</v>
      </c>
    </row>
    <row r="97" spans="1:8" x14ac:dyDescent="0.3">
      <c r="A97">
        <v>12</v>
      </c>
      <c r="B97">
        <v>2022</v>
      </c>
      <c r="C97" t="s">
        <v>25</v>
      </c>
      <c r="D97" t="s">
        <v>9</v>
      </c>
      <c r="E97">
        <v>3666</v>
      </c>
      <c r="F97">
        <v>3661</v>
      </c>
      <c r="G97">
        <v>0.9986361156573923</v>
      </c>
      <c r="H97">
        <v>1.3638843426077019E-3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56E7F-909B-4C20-9CAB-AC5FF4D0D723}">
  <dimension ref="A1:M98"/>
  <sheetViews>
    <sheetView topLeftCell="G1" zoomScaleNormal="100" workbookViewId="0">
      <selection activeCell="M2" sqref="M2"/>
    </sheetView>
  </sheetViews>
  <sheetFormatPr defaultRowHeight="14.4" x14ac:dyDescent="0.3"/>
  <cols>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 min="11" max="11" width="12.44140625" bestFit="1" customWidth="1"/>
    <col min="12" max="12" width="22.5546875" bestFit="1" customWidth="1"/>
    <col min="13" max="13" width="16.109375" bestFit="1" customWidth="1"/>
  </cols>
  <sheetData>
    <row r="1" spans="1:13" x14ac:dyDescent="0.3">
      <c r="A1" t="s">
        <v>0</v>
      </c>
      <c r="B1" t="s">
        <v>1</v>
      </c>
      <c r="C1" t="s">
        <v>28</v>
      </c>
      <c r="D1" t="s">
        <v>29</v>
      </c>
      <c r="E1" t="s">
        <v>30</v>
      </c>
      <c r="F1" t="s">
        <v>31</v>
      </c>
      <c r="G1" t="s">
        <v>32</v>
      </c>
      <c r="H1" t="s">
        <v>33</v>
      </c>
      <c r="I1" t="s">
        <v>34</v>
      </c>
      <c r="J1" t="s">
        <v>39</v>
      </c>
      <c r="K1" t="s">
        <v>48</v>
      </c>
      <c r="L1" t="s">
        <v>65</v>
      </c>
      <c r="M1" t="s">
        <v>66</v>
      </c>
    </row>
    <row r="2" spans="1:13" x14ac:dyDescent="0.3">
      <c r="A2">
        <v>12</v>
      </c>
      <c r="B2">
        <v>2022</v>
      </c>
      <c r="C2" t="s">
        <v>10</v>
      </c>
      <c r="D2" t="s">
        <v>4</v>
      </c>
      <c r="E2">
        <v>0</v>
      </c>
      <c r="F2">
        <v>0</v>
      </c>
      <c r="I2" t="s">
        <v>35</v>
      </c>
      <c r="J2" t="str">
        <f>IF(Table1_14[[#This Row],[Registered]] = 0, "ABSENT", "NON_ZERO")</f>
        <v>ABSENT</v>
      </c>
      <c r="K2" t="str">
        <f>IF(Table1_14[[#This Row],[Registered]] = 0, "ABSENT_BASE", IF(Table1_14[[#This Row],[Registered]]&lt;100, "SMALL_BASE", "VALID_BASE"))</f>
        <v>ABSENT_BASE</v>
      </c>
      <c r="L2" t="str">
        <f>IF(Table1_14[[#This Row],[Registered]]=0, "ABSENT", IF(Table1_14[[#This Row],[Appearance Rate]]&lt;0.98, "LOW_RATE", IF(AND(Table1_14[[#This Row],[Appearance Rate]]=1, Table1_14[[#This Row],[Registered]]&lt;100), "SUSPICIOUS_PERFECTION", "NORMAL")))</f>
        <v>ABSENT</v>
      </c>
      <c r="M2" s="8">
        <f>Table1_14[[#This Row],[Registered]]/SUM(Table1_14[Registered])</f>
        <v>0</v>
      </c>
    </row>
    <row r="3" spans="1:13" x14ac:dyDescent="0.3">
      <c r="A3">
        <v>12</v>
      </c>
      <c r="B3">
        <v>2022</v>
      </c>
      <c r="C3" t="s">
        <v>10</v>
      </c>
      <c r="D3" t="s">
        <v>5</v>
      </c>
      <c r="E3">
        <v>4533</v>
      </c>
      <c r="F3">
        <v>4524</v>
      </c>
      <c r="G3">
        <v>0.99801455989410981</v>
      </c>
      <c r="H3">
        <v>1.9854401058901905E-3</v>
      </c>
      <c r="J3" t="str">
        <f>IF(Table1_14[[#This Row],[Registered]] = 0, "ABSENT", "NON_ZERO")</f>
        <v>NON_ZERO</v>
      </c>
      <c r="K3" t="str">
        <f>IF(Table1_14[[#This Row],[Registered]] = 0, "ABSENT_BASE", IF(Table1_14[[#This Row],[Registered]]&lt;100, "SMALL_BASE", "VALID_BASE"))</f>
        <v>VALID_BASE</v>
      </c>
      <c r="L3" t="str">
        <f>IF(Table1_14[[#This Row],[Registered]]=0, "ABSENT", IF(Table1_14[[#This Row],[Appearance Rate]]&lt;0.98, "LOW_RATE", IF(AND(Table1_14[[#This Row],[Appearance Rate]]=1, Table1_14[[#This Row],[Registered]]&lt;100), "SUSPICIOUS_PERFECTION", "NORMAL")))</f>
        <v>NORMAL</v>
      </c>
      <c r="M3" s="8">
        <f>Table1_14[[#This Row],[Registered]]/SUM(Table1_14[Registered])</f>
        <v>3.1505048939510722E-3</v>
      </c>
    </row>
    <row r="4" spans="1:13" x14ac:dyDescent="0.3">
      <c r="A4">
        <v>12</v>
      </c>
      <c r="B4">
        <v>2022</v>
      </c>
      <c r="C4" t="s">
        <v>10</v>
      </c>
      <c r="D4" t="s">
        <v>6</v>
      </c>
      <c r="E4">
        <v>0</v>
      </c>
      <c r="F4">
        <v>0</v>
      </c>
      <c r="I4" t="s">
        <v>35</v>
      </c>
      <c r="J4" t="str">
        <f>IF(Table1_14[[#This Row],[Registered]] = 0, "ABSENT", "NON_ZERO")</f>
        <v>ABSENT</v>
      </c>
      <c r="K4" t="str">
        <f>IF(Table1_14[[#This Row],[Registered]] = 0, "ABSENT_BASE", IF(Table1_14[[#This Row],[Registered]]&lt;100, "SMALL_BASE", "VALID_BASE"))</f>
        <v>ABSENT_BASE</v>
      </c>
      <c r="L4" t="str">
        <f>IF(Table1_14[[#This Row],[Registered]]=0, "ABSENT", IF(Table1_14[[#This Row],[Appearance Rate]]&lt;0.98, "LOW_RATE", IF(AND(Table1_14[[#This Row],[Appearance Rate]]=1, Table1_14[[#This Row],[Registered]]&lt;100), "SUSPICIOUS_PERFECTION", "NORMAL")))</f>
        <v>ABSENT</v>
      </c>
      <c r="M4" s="8">
        <f>Table1_14[[#This Row],[Registered]]/SUM(Table1_14[Registered])</f>
        <v>0</v>
      </c>
    </row>
    <row r="5" spans="1:13" x14ac:dyDescent="0.3">
      <c r="A5">
        <v>12</v>
      </c>
      <c r="B5">
        <v>2022</v>
      </c>
      <c r="C5" t="s">
        <v>10</v>
      </c>
      <c r="D5" t="s">
        <v>7</v>
      </c>
      <c r="E5">
        <v>86178</v>
      </c>
      <c r="F5">
        <v>85839</v>
      </c>
      <c r="G5">
        <v>0.99606628141753117</v>
      </c>
      <c r="H5">
        <v>3.9337185824688259E-3</v>
      </c>
      <c r="J5" t="str">
        <f>IF(Table1_14[[#This Row],[Registered]] = 0, "ABSENT", "NON_ZERO")</f>
        <v>NON_ZERO</v>
      </c>
      <c r="K5" t="str">
        <f>IF(Table1_14[[#This Row],[Registered]] = 0, "ABSENT_BASE", IF(Table1_14[[#This Row],[Registered]]&lt;100, "SMALL_BASE", "VALID_BASE"))</f>
        <v>VALID_BASE</v>
      </c>
      <c r="L5" t="str">
        <f>IF(Table1_14[[#This Row],[Registered]]=0, "ABSENT", IF(Table1_14[[#This Row],[Appearance Rate]]&lt;0.98, "LOW_RATE", IF(AND(Table1_14[[#This Row],[Appearance Rate]]=1, Table1_14[[#This Row],[Registered]]&lt;100), "SUSPICIOUS_PERFECTION", "NORMAL")))</f>
        <v>NORMAL</v>
      </c>
      <c r="M5" s="8">
        <f>Table1_14[[#This Row],[Registered]]/SUM(Table1_14[Registered])</f>
        <v>5.9895038771435143E-2</v>
      </c>
    </row>
    <row r="6" spans="1:13" x14ac:dyDescent="0.3">
      <c r="A6">
        <v>12</v>
      </c>
      <c r="B6">
        <v>2022</v>
      </c>
      <c r="C6" t="s">
        <v>10</v>
      </c>
      <c r="D6" t="s">
        <v>8</v>
      </c>
      <c r="E6">
        <v>3741</v>
      </c>
      <c r="F6">
        <v>3730</v>
      </c>
      <c r="G6">
        <v>0.99705960973001873</v>
      </c>
      <c r="H6">
        <v>2.9403902699812745E-3</v>
      </c>
      <c r="J6" t="str">
        <f>IF(Table1_14[[#This Row],[Registered]] = 0, "ABSENT", "NON_ZERO")</f>
        <v>NON_ZERO</v>
      </c>
      <c r="K6" t="str">
        <f>IF(Table1_14[[#This Row],[Registered]] = 0, "ABSENT_BASE", IF(Table1_14[[#This Row],[Registered]]&lt;100, "SMALL_BASE", "VALID_BASE"))</f>
        <v>VALID_BASE</v>
      </c>
      <c r="L6" t="str">
        <f>IF(Table1_14[[#This Row],[Registered]]=0, "ABSENT", IF(Table1_14[[#This Row],[Appearance Rate]]&lt;0.98, "LOW_RATE", IF(AND(Table1_14[[#This Row],[Appearance Rate]]=1, Table1_14[[#This Row],[Registered]]&lt;100), "SUSPICIOUS_PERFECTION", "NORMAL")))</f>
        <v>NORMAL</v>
      </c>
      <c r="M6" s="8">
        <f>Table1_14[[#This Row],[Registered]]/SUM(Table1_14[Registered])</f>
        <v>2.600052682168754E-3</v>
      </c>
    </row>
    <row r="7" spans="1:13" x14ac:dyDescent="0.3">
      <c r="A7">
        <v>12</v>
      </c>
      <c r="B7">
        <v>2022</v>
      </c>
      <c r="C7" t="s">
        <v>10</v>
      </c>
      <c r="D7" t="s">
        <v>9</v>
      </c>
      <c r="E7">
        <v>7736</v>
      </c>
      <c r="F7">
        <v>7725</v>
      </c>
      <c r="G7">
        <v>0.99857807652533614</v>
      </c>
      <c r="H7">
        <v>1.4219234746638554E-3</v>
      </c>
      <c r="J7" t="str">
        <f>IF(Table1_14[[#This Row],[Registered]] = 0, "ABSENT", "NON_ZERO")</f>
        <v>NON_ZERO</v>
      </c>
      <c r="K7" t="str">
        <f>IF(Table1_14[[#This Row],[Registered]] = 0, "ABSENT_BASE", IF(Table1_14[[#This Row],[Registered]]&lt;100, "SMALL_BASE", "VALID_BASE"))</f>
        <v>VALID_BASE</v>
      </c>
      <c r="L7" t="str">
        <f>IF(Table1_14[[#This Row],[Registered]]=0, "ABSENT", IF(Table1_14[[#This Row],[Appearance Rate]]&lt;0.98, "LOW_RATE", IF(AND(Table1_14[[#This Row],[Appearance Rate]]=1, Table1_14[[#This Row],[Registered]]&lt;100), "SUSPICIOUS_PERFECTION", "NORMAL")))</f>
        <v>NORMAL</v>
      </c>
      <c r="M7" s="8">
        <f>Table1_14[[#This Row],[Registered]]/SUM(Table1_14[Registered])</f>
        <v>5.3766392807424431E-3</v>
      </c>
    </row>
    <row r="8" spans="1:13" x14ac:dyDescent="0.3">
      <c r="A8">
        <v>12</v>
      </c>
      <c r="B8">
        <v>2022</v>
      </c>
      <c r="C8" t="s">
        <v>19</v>
      </c>
      <c r="D8" t="s">
        <v>4</v>
      </c>
      <c r="E8">
        <v>93</v>
      </c>
      <c r="F8">
        <v>92</v>
      </c>
      <c r="G8">
        <v>0.989247311827957</v>
      </c>
      <c r="H8">
        <v>1.0752688172043001E-2</v>
      </c>
      <c r="J8" t="str">
        <f>IF(Table1_14[[#This Row],[Registered]] = 0, "ABSENT", "NON_ZERO")</f>
        <v>NON_ZERO</v>
      </c>
      <c r="K8" t="str">
        <f>IF(Table1_14[[#This Row],[Registered]] = 0, "ABSENT_BASE", IF(Table1_14[[#This Row],[Registered]]&lt;100, "SMALL_BASE", "VALID_BASE"))</f>
        <v>SMALL_BASE</v>
      </c>
      <c r="L8" t="str">
        <f>IF(Table1_14[[#This Row],[Registered]]=0, "ABSENT", IF(Table1_14[[#This Row],[Appearance Rate]]&lt;0.98, "LOW_RATE", IF(AND(Table1_14[[#This Row],[Appearance Rate]]=1, Table1_14[[#This Row],[Registered]]&lt;100), "SUSPICIOUS_PERFECTION", "NORMAL")))</f>
        <v>NORMAL</v>
      </c>
      <c r="M8" s="8">
        <f>Table1_14[[#This Row],[Registered]]/SUM(Table1_14[Registered])</f>
        <v>6.4636433959287392E-5</v>
      </c>
    </row>
    <row r="9" spans="1:13" x14ac:dyDescent="0.3">
      <c r="A9">
        <v>12</v>
      </c>
      <c r="B9">
        <v>2022</v>
      </c>
      <c r="C9" t="s">
        <v>19</v>
      </c>
      <c r="D9" t="s">
        <v>5</v>
      </c>
      <c r="E9">
        <v>70</v>
      </c>
      <c r="F9">
        <v>70</v>
      </c>
      <c r="G9">
        <v>1</v>
      </c>
      <c r="H9">
        <v>0</v>
      </c>
      <c r="J9" t="str">
        <f>IF(Table1_14[[#This Row],[Registered]] = 0, "ABSENT", "NON_ZERO")</f>
        <v>NON_ZERO</v>
      </c>
      <c r="K9" t="str">
        <f>IF(Table1_14[[#This Row],[Registered]] = 0, "ABSENT_BASE", IF(Table1_14[[#This Row],[Registered]]&lt;100, "SMALL_BASE", "VALID_BASE"))</f>
        <v>SMALL_BASE</v>
      </c>
      <c r="L9" t="str">
        <f>IF(Table1_14[[#This Row],[Registered]]=0, "ABSENT", IF(Table1_14[[#This Row],[Appearance Rate]]&lt;0.98, "LOW_RATE", IF(AND(Table1_14[[#This Row],[Appearance Rate]]=1, Table1_14[[#This Row],[Registered]]&lt;100), "SUSPICIOUS_PERFECTION", "NORMAL")))</f>
        <v>SUSPICIOUS_PERFECTION</v>
      </c>
      <c r="M9" s="8">
        <f>Table1_14[[#This Row],[Registered]]/SUM(Table1_14[Registered])</f>
        <v>4.8651079324194808E-5</v>
      </c>
    </row>
    <row r="10" spans="1:13" x14ac:dyDescent="0.3">
      <c r="A10">
        <v>12</v>
      </c>
      <c r="B10">
        <v>2022</v>
      </c>
      <c r="C10" t="s">
        <v>19</v>
      </c>
      <c r="D10" t="s">
        <v>6</v>
      </c>
      <c r="E10">
        <v>0</v>
      </c>
      <c r="F10">
        <v>0</v>
      </c>
      <c r="I10" t="s">
        <v>35</v>
      </c>
      <c r="J10" t="str">
        <f>IF(Table1_14[[#This Row],[Registered]] = 0, "ABSENT", "NON_ZERO")</f>
        <v>ABSENT</v>
      </c>
      <c r="K10" t="str">
        <f>IF(Table1_14[[#This Row],[Registered]] = 0, "ABSENT_BASE", IF(Table1_14[[#This Row],[Registered]]&lt;100, "SMALL_BASE", "VALID_BASE"))</f>
        <v>ABSENT_BASE</v>
      </c>
      <c r="L10" t="str">
        <f>IF(Table1_14[[#This Row],[Registered]]=0, "ABSENT", IF(Table1_14[[#This Row],[Appearance Rate]]&lt;0.98, "LOW_RATE", IF(AND(Table1_14[[#This Row],[Appearance Rate]]=1, Table1_14[[#This Row],[Registered]]&lt;100), "SUSPICIOUS_PERFECTION", "NORMAL")))</f>
        <v>ABSENT</v>
      </c>
      <c r="M10" s="8">
        <f>Table1_14[[#This Row],[Registered]]/SUM(Table1_14[Registered])</f>
        <v>0</v>
      </c>
    </row>
    <row r="11" spans="1:13" x14ac:dyDescent="0.3">
      <c r="A11">
        <v>12</v>
      </c>
      <c r="B11">
        <v>2022</v>
      </c>
      <c r="C11" t="s">
        <v>19</v>
      </c>
      <c r="D11" t="s">
        <v>7</v>
      </c>
      <c r="E11">
        <v>12262</v>
      </c>
      <c r="F11">
        <v>12214</v>
      </c>
      <c r="G11">
        <v>0.99608546729734138</v>
      </c>
      <c r="H11">
        <v>3.9145327026586241E-3</v>
      </c>
      <c r="J11" t="str">
        <f>IF(Table1_14[[#This Row],[Registered]] = 0, "ABSENT", "NON_ZERO")</f>
        <v>NON_ZERO</v>
      </c>
      <c r="K11" t="str">
        <f>IF(Table1_14[[#This Row],[Registered]] = 0, "ABSENT_BASE", IF(Table1_14[[#This Row],[Registered]]&lt;100, "SMALL_BASE", "VALID_BASE"))</f>
        <v>VALID_BASE</v>
      </c>
      <c r="L11" t="str">
        <f>IF(Table1_14[[#This Row],[Registered]]=0, "ABSENT", IF(Table1_14[[#This Row],[Appearance Rate]]&lt;0.98, "LOW_RATE", IF(AND(Table1_14[[#This Row],[Appearance Rate]]=1, Table1_14[[#This Row],[Registered]]&lt;100), "SUSPICIOUS_PERFECTION", "NORMAL")))</f>
        <v>NORMAL</v>
      </c>
      <c r="M11" s="8">
        <f>Table1_14[[#This Row],[Registered]]/SUM(Table1_14[Registered])</f>
        <v>8.5222790667610956E-3</v>
      </c>
    </row>
    <row r="12" spans="1:13" x14ac:dyDescent="0.3">
      <c r="A12">
        <v>12</v>
      </c>
      <c r="B12">
        <v>2022</v>
      </c>
      <c r="C12" t="s">
        <v>19</v>
      </c>
      <c r="D12" t="s">
        <v>8</v>
      </c>
      <c r="E12">
        <v>1901</v>
      </c>
      <c r="F12">
        <v>1894</v>
      </c>
      <c r="G12">
        <v>0.99631772751183589</v>
      </c>
      <c r="H12">
        <v>3.6822724881641067E-3</v>
      </c>
      <c r="J12" t="str">
        <f>IF(Table1_14[[#This Row],[Registered]] = 0, "ABSENT", "NON_ZERO")</f>
        <v>NON_ZERO</v>
      </c>
      <c r="K12" t="str">
        <f>IF(Table1_14[[#This Row],[Registered]] = 0, "ABSENT_BASE", IF(Table1_14[[#This Row],[Registered]]&lt;100, "SMALL_BASE", "VALID_BASE"))</f>
        <v>VALID_BASE</v>
      </c>
      <c r="L12" t="str">
        <f>IF(Table1_14[[#This Row],[Registered]]=0, "ABSENT", IF(Table1_14[[#This Row],[Appearance Rate]]&lt;0.98, "LOW_RATE", IF(AND(Table1_14[[#This Row],[Appearance Rate]]=1, Table1_14[[#This Row],[Registered]]&lt;100), "SUSPICIOUS_PERFECTION", "NORMAL")))</f>
        <v>NORMAL</v>
      </c>
      <c r="M12" s="8">
        <f>Table1_14[[#This Row],[Registered]]/SUM(Table1_14[Registered])</f>
        <v>1.3212243113613475E-3</v>
      </c>
    </row>
    <row r="13" spans="1:13" x14ac:dyDescent="0.3">
      <c r="A13">
        <v>12</v>
      </c>
      <c r="B13">
        <v>2022</v>
      </c>
      <c r="C13" t="s">
        <v>19</v>
      </c>
      <c r="D13" t="s">
        <v>9</v>
      </c>
      <c r="E13">
        <v>2363</v>
      </c>
      <c r="F13">
        <v>2361</v>
      </c>
      <c r="G13">
        <v>0.99915361828184512</v>
      </c>
      <c r="H13">
        <v>8.4638171815487606E-4</v>
      </c>
      <c r="J13" t="str">
        <f>IF(Table1_14[[#This Row],[Registered]] = 0, "ABSENT", "NON_ZERO")</f>
        <v>NON_ZERO</v>
      </c>
      <c r="K13" t="str">
        <f>IF(Table1_14[[#This Row],[Registered]] = 0, "ABSENT_BASE", IF(Table1_14[[#This Row],[Registered]]&lt;100, "SMALL_BASE", "VALID_BASE"))</f>
        <v>VALID_BASE</v>
      </c>
      <c r="L13" t="str">
        <f>IF(Table1_14[[#This Row],[Registered]]=0, "ABSENT", IF(Table1_14[[#This Row],[Appearance Rate]]&lt;0.98, "LOW_RATE", IF(AND(Table1_14[[#This Row],[Appearance Rate]]=1, Table1_14[[#This Row],[Registered]]&lt;100), "SUSPICIOUS_PERFECTION", "NORMAL")))</f>
        <v>NORMAL</v>
      </c>
      <c r="M13" s="8">
        <f>Table1_14[[#This Row],[Registered]]/SUM(Table1_14[Registered])</f>
        <v>1.6423214349010333E-3</v>
      </c>
    </row>
    <row r="14" spans="1:13" x14ac:dyDescent="0.3">
      <c r="A14">
        <v>12</v>
      </c>
      <c r="B14">
        <v>2022</v>
      </c>
      <c r="C14" t="s">
        <v>20</v>
      </c>
      <c r="D14" t="s">
        <v>4</v>
      </c>
      <c r="E14">
        <v>0</v>
      </c>
      <c r="F14">
        <v>0</v>
      </c>
      <c r="I14" t="s">
        <v>35</v>
      </c>
      <c r="J14" t="str">
        <f>IF(Table1_14[[#This Row],[Registered]] = 0, "ABSENT", "NON_ZERO")</f>
        <v>ABSENT</v>
      </c>
      <c r="K14" t="str">
        <f>IF(Table1_14[[#This Row],[Registered]] = 0, "ABSENT_BASE", IF(Table1_14[[#This Row],[Registered]]&lt;100, "SMALL_BASE", "VALID_BASE"))</f>
        <v>ABSENT_BASE</v>
      </c>
      <c r="L14" t="str">
        <f>IF(Table1_14[[#This Row],[Registered]]=0, "ABSENT", IF(Table1_14[[#This Row],[Appearance Rate]]&lt;0.98, "LOW_RATE", IF(AND(Table1_14[[#This Row],[Appearance Rate]]=1, Table1_14[[#This Row],[Registered]]&lt;100), "SUSPICIOUS_PERFECTION", "NORMAL")))</f>
        <v>ABSENT</v>
      </c>
      <c r="M14" s="8">
        <f>Table1_14[[#This Row],[Registered]]/SUM(Table1_14[Registered])</f>
        <v>0</v>
      </c>
    </row>
    <row r="15" spans="1:13" x14ac:dyDescent="0.3">
      <c r="A15">
        <v>12</v>
      </c>
      <c r="B15">
        <v>2022</v>
      </c>
      <c r="C15" t="s">
        <v>20</v>
      </c>
      <c r="D15" t="s">
        <v>5</v>
      </c>
      <c r="E15">
        <v>3180</v>
      </c>
      <c r="F15">
        <v>3138</v>
      </c>
      <c r="G15">
        <v>0.98679245283018868</v>
      </c>
      <c r="H15">
        <v>1.3207547169811318E-2</v>
      </c>
      <c r="J15" t="str">
        <f>IF(Table1_14[[#This Row],[Registered]] = 0, "ABSENT", "NON_ZERO")</f>
        <v>NON_ZERO</v>
      </c>
      <c r="K15" t="str">
        <f>IF(Table1_14[[#This Row],[Registered]] = 0, "ABSENT_BASE", IF(Table1_14[[#This Row],[Registered]]&lt;100, "SMALL_BASE", "VALID_BASE"))</f>
        <v>VALID_BASE</v>
      </c>
      <c r="L15" t="str">
        <f>IF(Table1_14[[#This Row],[Registered]]=0, "ABSENT", IF(Table1_14[[#This Row],[Appearance Rate]]&lt;0.98, "LOW_RATE", IF(AND(Table1_14[[#This Row],[Appearance Rate]]=1, Table1_14[[#This Row],[Registered]]&lt;100), "SUSPICIOUS_PERFECTION", "NORMAL")))</f>
        <v>NORMAL</v>
      </c>
      <c r="M15" s="8">
        <f>Table1_14[[#This Row],[Registered]]/SUM(Table1_14[Registered])</f>
        <v>2.2101490321562783E-3</v>
      </c>
    </row>
    <row r="16" spans="1:13" x14ac:dyDescent="0.3">
      <c r="A16">
        <v>12</v>
      </c>
      <c r="B16">
        <v>2022</v>
      </c>
      <c r="C16" t="s">
        <v>20</v>
      </c>
      <c r="D16" t="s">
        <v>6</v>
      </c>
      <c r="E16">
        <v>0</v>
      </c>
      <c r="F16">
        <v>0</v>
      </c>
      <c r="I16" t="s">
        <v>35</v>
      </c>
      <c r="J16" t="str">
        <f>IF(Table1_14[[#This Row],[Registered]] = 0, "ABSENT", "NON_ZERO")</f>
        <v>ABSENT</v>
      </c>
      <c r="K16" t="str">
        <f>IF(Table1_14[[#This Row],[Registered]] = 0, "ABSENT_BASE", IF(Table1_14[[#This Row],[Registered]]&lt;100, "SMALL_BASE", "VALID_BASE"))</f>
        <v>ABSENT_BASE</v>
      </c>
      <c r="L16" t="str">
        <f>IF(Table1_14[[#This Row],[Registered]]=0, "ABSENT", IF(Table1_14[[#This Row],[Appearance Rate]]&lt;0.98, "LOW_RATE", IF(AND(Table1_14[[#This Row],[Appearance Rate]]=1, Table1_14[[#This Row],[Registered]]&lt;100), "SUSPICIOUS_PERFECTION", "NORMAL")))</f>
        <v>ABSENT</v>
      </c>
      <c r="M16" s="8">
        <f>Table1_14[[#This Row],[Registered]]/SUM(Table1_14[Registered])</f>
        <v>0</v>
      </c>
    </row>
    <row r="17" spans="1:13" x14ac:dyDescent="0.3">
      <c r="A17">
        <v>12</v>
      </c>
      <c r="B17">
        <v>2022</v>
      </c>
      <c r="C17" t="s">
        <v>20</v>
      </c>
      <c r="D17" t="s">
        <v>7</v>
      </c>
      <c r="E17">
        <v>60352</v>
      </c>
      <c r="F17">
        <v>60136</v>
      </c>
      <c r="G17">
        <v>0.99642099681866381</v>
      </c>
      <c r="H17">
        <v>3.5790031813361933E-3</v>
      </c>
      <c r="J17" t="str">
        <f>IF(Table1_14[[#This Row],[Registered]] = 0, "ABSENT", "NON_ZERO")</f>
        <v>NON_ZERO</v>
      </c>
      <c r="K17" t="str">
        <f>IF(Table1_14[[#This Row],[Registered]] = 0, "ABSENT_BASE", IF(Table1_14[[#This Row],[Registered]]&lt;100, "SMALL_BASE", "VALID_BASE"))</f>
        <v>VALID_BASE</v>
      </c>
      <c r="L17" t="str">
        <f>IF(Table1_14[[#This Row],[Registered]]=0, "ABSENT", IF(Table1_14[[#This Row],[Appearance Rate]]&lt;0.98, "LOW_RATE", IF(AND(Table1_14[[#This Row],[Appearance Rate]]=1, Table1_14[[#This Row],[Registered]]&lt;100), "SUSPICIOUS_PERFECTION", "NORMAL")))</f>
        <v>NORMAL</v>
      </c>
      <c r="M17" s="8">
        <f>Table1_14[[#This Row],[Registered]]/SUM(Table1_14[Registered])</f>
        <v>4.194557056248293E-2</v>
      </c>
    </row>
    <row r="18" spans="1:13" x14ac:dyDescent="0.3">
      <c r="A18">
        <v>12</v>
      </c>
      <c r="B18">
        <v>2022</v>
      </c>
      <c r="C18" t="s">
        <v>20</v>
      </c>
      <c r="D18" t="s">
        <v>8</v>
      </c>
      <c r="E18">
        <v>3640</v>
      </c>
      <c r="F18">
        <v>3629</v>
      </c>
      <c r="G18">
        <v>0.99697802197802199</v>
      </c>
      <c r="H18">
        <v>3.0219780219780112E-3</v>
      </c>
      <c r="J18" t="str">
        <f>IF(Table1_14[[#This Row],[Registered]] = 0, "ABSENT", "NON_ZERO")</f>
        <v>NON_ZERO</v>
      </c>
      <c r="K18" t="str">
        <f>IF(Table1_14[[#This Row],[Registered]] = 0, "ABSENT_BASE", IF(Table1_14[[#This Row],[Registered]]&lt;100, "SMALL_BASE", "VALID_BASE"))</f>
        <v>VALID_BASE</v>
      </c>
      <c r="L18" t="str">
        <f>IF(Table1_14[[#This Row],[Registered]]=0, "ABSENT", IF(Table1_14[[#This Row],[Appearance Rate]]&lt;0.98, "LOW_RATE", IF(AND(Table1_14[[#This Row],[Appearance Rate]]=1, Table1_14[[#This Row],[Registered]]&lt;100), "SUSPICIOUS_PERFECTION", "NORMAL")))</f>
        <v>NORMAL</v>
      </c>
      <c r="M18" s="8">
        <f>Table1_14[[#This Row],[Registered]]/SUM(Table1_14[Registered])</f>
        <v>2.5298561248581299E-3</v>
      </c>
    </row>
    <row r="19" spans="1:13" x14ac:dyDescent="0.3">
      <c r="A19">
        <v>12</v>
      </c>
      <c r="B19">
        <v>2022</v>
      </c>
      <c r="C19" t="s">
        <v>20</v>
      </c>
      <c r="D19" t="s">
        <v>9</v>
      </c>
      <c r="E19">
        <v>7807</v>
      </c>
      <c r="F19">
        <v>7794</v>
      </c>
      <c r="G19">
        <v>0.99833482771871396</v>
      </c>
      <c r="H19">
        <v>1.6651722812860426E-3</v>
      </c>
      <c r="J19" t="str">
        <f>IF(Table1_14[[#This Row],[Registered]] = 0, "ABSENT", "NON_ZERO")</f>
        <v>NON_ZERO</v>
      </c>
      <c r="K19" t="str">
        <f>IF(Table1_14[[#This Row],[Registered]] = 0, "ABSENT_BASE", IF(Table1_14[[#This Row],[Registered]]&lt;100, "SMALL_BASE", "VALID_BASE"))</f>
        <v>VALID_BASE</v>
      </c>
      <c r="L19" t="str">
        <f>IF(Table1_14[[#This Row],[Registered]]=0, "ABSENT", IF(Table1_14[[#This Row],[Appearance Rate]]&lt;0.98, "LOW_RATE", IF(AND(Table1_14[[#This Row],[Appearance Rate]]=1, Table1_14[[#This Row],[Registered]]&lt;100), "SUSPICIOUS_PERFECTION", "NORMAL")))</f>
        <v>NORMAL</v>
      </c>
      <c r="M19" s="8">
        <f>Table1_14[[#This Row],[Registered]]/SUM(Table1_14[Registered])</f>
        <v>5.4259853754855553E-3</v>
      </c>
    </row>
    <row r="20" spans="1:13" x14ac:dyDescent="0.3">
      <c r="A20">
        <v>12</v>
      </c>
      <c r="B20">
        <v>2022</v>
      </c>
      <c r="C20" t="s">
        <v>13</v>
      </c>
      <c r="D20" t="s">
        <v>4</v>
      </c>
      <c r="E20">
        <v>103</v>
      </c>
      <c r="F20">
        <v>101</v>
      </c>
      <c r="G20">
        <v>0.98058252427184467</v>
      </c>
      <c r="H20">
        <v>1.9417475728155331E-2</v>
      </c>
      <c r="J20" t="str">
        <f>IF(Table1_14[[#This Row],[Registered]] = 0, "ABSENT", "NON_ZERO")</f>
        <v>NON_ZERO</v>
      </c>
      <c r="K20" t="str">
        <f>IF(Table1_14[[#This Row],[Registered]] = 0, "ABSENT_BASE", IF(Table1_14[[#This Row],[Registered]]&lt;100, "SMALL_BASE", "VALID_BASE"))</f>
        <v>VALID_BASE</v>
      </c>
      <c r="L20" t="str">
        <f>IF(Table1_14[[#This Row],[Registered]]=0, "ABSENT", IF(Table1_14[[#This Row],[Appearance Rate]]&lt;0.98, "LOW_RATE", IF(AND(Table1_14[[#This Row],[Appearance Rate]]=1, Table1_14[[#This Row],[Registered]]&lt;100), "SUSPICIOUS_PERFECTION", "NORMAL")))</f>
        <v>NORMAL</v>
      </c>
      <c r="M20" s="8">
        <f>Table1_14[[#This Row],[Registered]]/SUM(Table1_14[Registered])</f>
        <v>7.1586588148458079E-5</v>
      </c>
    </row>
    <row r="21" spans="1:13" x14ac:dyDescent="0.3">
      <c r="A21">
        <v>12</v>
      </c>
      <c r="B21">
        <v>2022</v>
      </c>
      <c r="C21" t="s">
        <v>13</v>
      </c>
      <c r="D21" t="s">
        <v>5</v>
      </c>
      <c r="E21">
        <v>7746</v>
      </c>
      <c r="F21">
        <v>7688</v>
      </c>
      <c r="G21">
        <v>0.99251226439452622</v>
      </c>
      <c r="H21">
        <v>7.4877356054737776E-3</v>
      </c>
      <c r="J21" t="str">
        <f>IF(Table1_14[[#This Row],[Registered]] = 0, "ABSENT", "NON_ZERO")</f>
        <v>NON_ZERO</v>
      </c>
      <c r="K21" t="str">
        <f>IF(Table1_14[[#This Row],[Registered]] = 0, "ABSENT_BASE", IF(Table1_14[[#This Row],[Registered]]&lt;100, "SMALL_BASE", "VALID_BASE"))</f>
        <v>VALID_BASE</v>
      </c>
      <c r="L21" t="str">
        <f>IF(Table1_14[[#This Row],[Registered]]=0, "ABSENT", IF(Table1_14[[#This Row],[Appearance Rate]]&lt;0.98, "LOW_RATE", IF(AND(Table1_14[[#This Row],[Appearance Rate]]=1, Table1_14[[#This Row],[Registered]]&lt;100), "SUSPICIOUS_PERFECTION", "NORMAL")))</f>
        <v>NORMAL</v>
      </c>
      <c r="M21" s="8">
        <f>Table1_14[[#This Row],[Registered]]/SUM(Table1_14[Registered])</f>
        <v>5.3835894349316136E-3</v>
      </c>
    </row>
    <row r="22" spans="1:13" x14ac:dyDescent="0.3">
      <c r="A22">
        <v>12</v>
      </c>
      <c r="B22">
        <v>2022</v>
      </c>
      <c r="C22" t="s">
        <v>13</v>
      </c>
      <c r="D22" t="s">
        <v>6</v>
      </c>
      <c r="E22">
        <v>0</v>
      </c>
      <c r="F22">
        <v>0</v>
      </c>
      <c r="I22" t="s">
        <v>35</v>
      </c>
      <c r="J22" t="str">
        <f>IF(Table1_14[[#This Row],[Registered]] = 0, "ABSENT", "NON_ZERO")</f>
        <v>ABSENT</v>
      </c>
      <c r="K22" t="str">
        <f>IF(Table1_14[[#This Row],[Registered]] = 0, "ABSENT_BASE", IF(Table1_14[[#This Row],[Registered]]&lt;100, "SMALL_BASE", "VALID_BASE"))</f>
        <v>ABSENT_BASE</v>
      </c>
      <c r="L22" t="str">
        <f>IF(Table1_14[[#This Row],[Registered]]=0, "ABSENT", IF(Table1_14[[#This Row],[Appearance Rate]]&lt;0.98, "LOW_RATE", IF(AND(Table1_14[[#This Row],[Appearance Rate]]=1, Table1_14[[#This Row],[Registered]]&lt;100), "SUSPICIOUS_PERFECTION", "NORMAL")))</f>
        <v>ABSENT</v>
      </c>
      <c r="M22" s="8">
        <f>Table1_14[[#This Row],[Registered]]/SUM(Table1_14[Registered])</f>
        <v>0</v>
      </c>
    </row>
    <row r="23" spans="1:13" x14ac:dyDescent="0.3">
      <c r="A23">
        <v>12</v>
      </c>
      <c r="B23">
        <v>2022</v>
      </c>
      <c r="C23" t="s">
        <v>13</v>
      </c>
      <c r="D23" t="s">
        <v>7</v>
      </c>
      <c r="E23">
        <v>69835</v>
      </c>
      <c r="F23">
        <v>69506</v>
      </c>
      <c r="G23">
        <v>0.99528889525309661</v>
      </c>
      <c r="H23">
        <v>4.711104746903394E-3</v>
      </c>
      <c r="J23" t="str">
        <f>IF(Table1_14[[#This Row],[Registered]] = 0, "ABSENT", "NON_ZERO")</f>
        <v>NON_ZERO</v>
      </c>
      <c r="K23" t="str">
        <f>IF(Table1_14[[#This Row],[Registered]] = 0, "ABSENT_BASE", IF(Table1_14[[#This Row],[Registered]]&lt;100, "SMALL_BASE", "VALID_BASE"))</f>
        <v>VALID_BASE</v>
      </c>
      <c r="L23" t="str">
        <f>IF(Table1_14[[#This Row],[Registered]]=0, "ABSENT", IF(Table1_14[[#This Row],[Appearance Rate]]&lt;0.98, "LOW_RATE", IF(AND(Table1_14[[#This Row],[Appearance Rate]]=1, Table1_14[[#This Row],[Registered]]&lt;100), "SUSPICIOUS_PERFECTION", "NORMAL")))</f>
        <v>NORMAL</v>
      </c>
      <c r="M23" s="8">
        <f>Table1_14[[#This Row],[Registered]]/SUM(Table1_14[Registered])</f>
        <v>4.8536401780073492E-2</v>
      </c>
    </row>
    <row r="24" spans="1:13" x14ac:dyDescent="0.3">
      <c r="A24">
        <v>12</v>
      </c>
      <c r="B24">
        <v>2022</v>
      </c>
      <c r="C24" t="s">
        <v>13</v>
      </c>
      <c r="D24" t="s">
        <v>8</v>
      </c>
      <c r="E24">
        <v>3823</v>
      </c>
      <c r="F24">
        <v>3809</v>
      </c>
      <c r="G24">
        <v>0.99633795448600571</v>
      </c>
      <c r="H24">
        <v>3.6620455139942942E-3</v>
      </c>
      <c r="J24" t="str">
        <f>IF(Table1_14[[#This Row],[Registered]] = 0, "ABSENT", "NON_ZERO")</f>
        <v>NON_ZERO</v>
      </c>
      <c r="K24" t="str">
        <f>IF(Table1_14[[#This Row],[Registered]] = 0, "ABSENT_BASE", IF(Table1_14[[#This Row],[Registered]]&lt;100, "SMALL_BASE", "VALID_BASE"))</f>
        <v>VALID_BASE</v>
      </c>
      <c r="L24" t="str">
        <f>IF(Table1_14[[#This Row],[Registered]]=0, "ABSENT", IF(Table1_14[[#This Row],[Appearance Rate]]&lt;0.98, "LOW_RATE", IF(AND(Table1_14[[#This Row],[Appearance Rate]]=1, Table1_14[[#This Row],[Registered]]&lt;100), "SUSPICIOUS_PERFECTION", "NORMAL")))</f>
        <v>NORMAL</v>
      </c>
      <c r="M24" s="8">
        <f>Table1_14[[#This Row],[Registered]]/SUM(Table1_14[Registered])</f>
        <v>2.6570439465199536E-3</v>
      </c>
    </row>
    <row r="25" spans="1:13" x14ac:dyDescent="0.3">
      <c r="A25">
        <v>12</v>
      </c>
      <c r="B25">
        <v>2022</v>
      </c>
      <c r="C25" t="s">
        <v>13</v>
      </c>
      <c r="D25" t="s">
        <v>9</v>
      </c>
      <c r="E25">
        <v>11465</v>
      </c>
      <c r="F25">
        <v>11431</v>
      </c>
      <c r="G25">
        <v>0.99703445268207591</v>
      </c>
      <c r="H25">
        <v>2.9655473179240888E-3</v>
      </c>
      <c r="J25" t="str">
        <f>IF(Table1_14[[#This Row],[Registered]] = 0, "ABSENT", "NON_ZERO")</f>
        <v>NON_ZERO</v>
      </c>
      <c r="K25" t="str">
        <f>IF(Table1_14[[#This Row],[Registered]] = 0, "ABSENT_BASE", IF(Table1_14[[#This Row],[Registered]]&lt;100, "SMALL_BASE", "VALID_BASE"))</f>
        <v>VALID_BASE</v>
      </c>
      <c r="L25" t="str">
        <f>IF(Table1_14[[#This Row],[Registered]]=0, "ABSENT", IF(Table1_14[[#This Row],[Appearance Rate]]&lt;0.98, "LOW_RATE", IF(AND(Table1_14[[#This Row],[Appearance Rate]]=1, Table1_14[[#This Row],[Registered]]&lt;100), "SUSPICIOUS_PERFECTION", "NORMAL")))</f>
        <v>NORMAL</v>
      </c>
      <c r="M25" s="8">
        <f>Table1_14[[#This Row],[Registered]]/SUM(Table1_14[Registered])</f>
        <v>7.9683517778841931E-3</v>
      </c>
    </row>
    <row r="26" spans="1:13" x14ac:dyDescent="0.3">
      <c r="A26">
        <v>12</v>
      </c>
      <c r="B26">
        <v>2022</v>
      </c>
      <c r="C26" t="s">
        <v>14</v>
      </c>
      <c r="D26" t="s">
        <v>4</v>
      </c>
      <c r="E26">
        <v>0</v>
      </c>
      <c r="F26">
        <v>0</v>
      </c>
      <c r="I26" t="s">
        <v>35</v>
      </c>
      <c r="J26" t="str">
        <f>IF(Table1_14[[#This Row],[Registered]] = 0, "ABSENT", "NON_ZERO")</f>
        <v>ABSENT</v>
      </c>
      <c r="K26" t="str">
        <f>IF(Table1_14[[#This Row],[Registered]] = 0, "ABSENT_BASE", IF(Table1_14[[#This Row],[Registered]]&lt;100, "SMALL_BASE", "VALID_BASE"))</f>
        <v>ABSENT_BASE</v>
      </c>
      <c r="L26" t="str">
        <f>IF(Table1_14[[#This Row],[Registered]]=0, "ABSENT", IF(Table1_14[[#This Row],[Appearance Rate]]&lt;0.98, "LOW_RATE", IF(AND(Table1_14[[#This Row],[Appearance Rate]]=1, Table1_14[[#This Row],[Registered]]&lt;100), "SUSPICIOUS_PERFECTION", "NORMAL")))</f>
        <v>ABSENT</v>
      </c>
      <c r="M26" s="8">
        <f>Table1_14[[#This Row],[Registered]]/SUM(Table1_14[Registered])</f>
        <v>0</v>
      </c>
    </row>
    <row r="27" spans="1:13" x14ac:dyDescent="0.3">
      <c r="A27">
        <v>12</v>
      </c>
      <c r="B27">
        <v>2022</v>
      </c>
      <c r="C27" t="s">
        <v>14</v>
      </c>
      <c r="D27" t="s">
        <v>5</v>
      </c>
      <c r="E27">
        <v>13060</v>
      </c>
      <c r="F27">
        <v>13025</v>
      </c>
      <c r="G27">
        <v>0.99732006125574268</v>
      </c>
      <c r="H27">
        <v>2.6799387442573153E-3</v>
      </c>
      <c r="J27" t="str">
        <f>IF(Table1_14[[#This Row],[Registered]] = 0, "ABSENT", "NON_ZERO")</f>
        <v>NON_ZERO</v>
      </c>
      <c r="K27" t="str">
        <f>IF(Table1_14[[#This Row],[Registered]] = 0, "ABSENT_BASE", IF(Table1_14[[#This Row],[Registered]]&lt;100, "SMALL_BASE", "VALID_BASE"))</f>
        <v>VALID_BASE</v>
      </c>
      <c r="L27" t="str">
        <f>IF(Table1_14[[#This Row],[Registered]]=0, "ABSENT", IF(Table1_14[[#This Row],[Appearance Rate]]&lt;0.98, "LOW_RATE", IF(AND(Table1_14[[#This Row],[Appearance Rate]]=1, Table1_14[[#This Row],[Registered]]&lt;100), "SUSPICIOUS_PERFECTION", "NORMAL")))</f>
        <v>NORMAL</v>
      </c>
      <c r="M27" s="8">
        <f>Table1_14[[#This Row],[Registered]]/SUM(Table1_14[Registered])</f>
        <v>9.0769013710569162E-3</v>
      </c>
    </row>
    <row r="28" spans="1:13" x14ac:dyDescent="0.3">
      <c r="A28">
        <v>12</v>
      </c>
      <c r="B28">
        <v>2022</v>
      </c>
      <c r="C28" t="s">
        <v>14</v>
      </c>
      <c r="D28" t="s">
        <v>6</v>
      </c>
      <c r="E28">
        <v>55</v>
      </c>
      <c r="F28">
        <v>55</v>
      </c>
      <c r="G28">
        <v>1</v>
      </c>
      <c r="H28">
        <v>0</v>
      </c>
      <c r="J28" t="str">
        <f>IF(Table1_14[[#This Row],[Registered]] = 0, "ABSENT", "NON_ZERO")</f>
        <v>NON_ZERO</v>
      </c>
      <c r="K28" t="str">
        <f>IF(Table1_14[[#This Row],[Registered]] = 0, "ABSENT_BASE", IF(Table1_14[[#This Row],[Registered]]&lt;100, "SMALL_BASE", "VALID_BASE"))</f>
        <v>SMALL_BASE</v>
      </c>
      <c r="L28" t="str">
        <f>IF(Table1_14[[#This Row],[Registered]]=0, "ABSENT", IF(Table1_14[[#This Row],[Appearance Rate]]&lt;0.98, "LOW_RATE", IF(AND(Table1_14[[#This Row],[Appearance Rate]]=1, Table1_14[[#This Row],[Registered]]&lt;100), "SUSPICIOUS_PERFECTION", "NORMAL")))</f>
        <v>SUSPICIOUS_PERFECTION</v>
      </c>
      <c r="M28" s="8">
        <f>Table1_14[[#This Row],[Registered]]/SUM(Table1_14[Registered])</f>
        <v>3.8225848040438776E-5</v>
      </c>
    </row>
    <row r="29" spans="1:13" x14ac:dyDescent="0.3">
      <c r="A29">
        <v>12</v>
      </c>
      <c r="B29">
        <v>2022</v>
      </c>
      <c r="C29" t="s">
        <v>14</v>
      </c>
      <c r="D29" t="s">
        <v>7</v>
      </c>
      <c r="E29">
        <v>89637</v>
      </c>
      <c r="F29">
        <v>89317</v>
      </c>
      <c r="G29">
        <v>0.99643004562847937</v>
      </c>
      <c r="H29">
        <v>3.5699543715206339E-3</v>
      </c>
      <c r="J29" t="str">
        <f>IF(Table1_14[[#This Row],[Registered]] = 0, "ABSENT", "NON_ZERO")</f>
        <v>NON_ZERO</v>
      </c>
      <c r="K29" t="str">
        <f>IF(Table1_14[[#This Row],[Registered]] = 0, "ABSENT_BASE", IF(Table1_14[[#This Row],[Registered]]&lt;100, "SMALL_BASE", "VALID_BASE"))</f>
        <v>VALID_BASE</v>
      </c>
      <c r="L29" t="str">
        <f>IF(Table1_14[[#This Row],[Registered]]=0, "ABSENT", IF(Table1_14[[#This Row],[Appearance Rate]]&lt;0.98, "LOW_RATE", IF(AND(Table1_14[[#This Row],[Appearance Rate]]=1, Table1_14[[#This Row],[Registered]]&lt;100), "SUSPICIOUS_PERFECTION", "NORMAL")))</f>
        <v>NORMAL</v>
      </c>
      <c r="M29" s="8">
        <f>Table1_14[[#This Row],[Registered]]/SUM(Table1_14[Registered])</f>
        <v>6.2299097105469284E-2</v>
      </c>
    </row>
    <row r="30" spans="1:13" x14ac:dyDescent="0.3">
      <c r="A30">
        <v>12</v>
      </c>
      <c r="B30">
        <v>2022</v>
      </c>
      <c r="C30" t="s">
        <v>14</v>
      </c>
      <c r="D30" t="s">
        <v>8</v>
      </c>
      <c r="E30">
        <v>2549</v>
      </c>
      <c r="F30">
        <v>2537</v>
      </c>
      <c r="G30">
        <v>0.99529227147901134</v>
      </c>
      <c r="H30">
        <v>4.7077285209886632E-3</v>
      </c>
      <c r="J30" t="str">
        <f>IF(Table1_14[[#This Row],[Registered]] = 0, "ABSENT", "NON_ZERO")</f>
        <v>NON_ZERO</v>
      </c>
      <c r="K30" t="str">
        <f>IF(Table1_14[[#This Row],[Registered]] = 0, "ABSENT_BASE", IF(Table1_14[[#This Row],[Registered]]&lt;100, "SMALL_BASE", "VALID_BASE"))</f>
        <v>VALID_BASE</v>
      </c>
      <c r="L30" t="str">
        <f>IF(Table1_14[[#This Row],[Registered]]=0, "ABSENT", IF(Table1_14[[#This Row],[Appearance Rate]]&lt;0.98, "LOW_RATE", IF(AND(Table1_14[[#This Row],[Appearance Rate]]=1, Table1_14[[#This Row],[Registered]]&lt;100), "SUSPICIOUS_PERFECTION", "NORMAL")))</f>
        <v>NORMAL</v>
      </c>
      <c r="M30" s="8">
        <f>Table1_14[[#This Row],[Registered]]/SUM(Table1_14[Registered])</f>
        <v>1.771594302819608E-3</v>
      </c>
    </row>
    <row r="31" spans="1:13" x14ac:dyDescent="0.3">
      <c r="A31">
        <v>12</v>
      </c>
      <c r="B31">
        <v>2022</v>
      </c>
      <c r="C31" t="s">
        <v>14</v>
      </c>
      <c r="D31" t="s">
        <v>9</v>
      </c>
      <c r="E31">
        <v>5861</v>
      </c>
      <c r="F31">
        <v>5844</v>
      </c>
      <c r="G31">
        <v>0.99709947108002051</v>
      </c>
      <c r="H31">
        <v>2.9005289199794948E-3</v>
      </c>
      <c r="J31" t="str">
        <f>IF(Table1_14[[#This Row],[Registered]] = 0, "ABSENT", "NON_ZERO")</f>
        <v>NON_ZERO</v>
      </c>
      <c r="K31" t="str">
        <f>IF(Table1_14[[#This Row],[Registered]] = 0, "ABSENT_BASE", IF(Table1_14[[#This Row],[Registered]]&lt;100, "SMALL_BASE", "VALID_BASE"))</f>
        <v>VALID_BASE</v>
      </c>
      <c r="L31" t="str">
        <f>IF(Table1_14[[#This Row],[Registered]]=0, "ABSENT", IF(Table1_14[[#This Row],[Appearance Rate]]&lt;0.98, "LOW_RATE", IF(AND(Table1_14[[#This Row],[Appearance Rate]]=1, Table1_14[[#This Row],[Registered]]&lt;100), "SUSPICIOUS_PERFECTION", "NORMAL")))</f>
        <v>NORMAL</v>
      </c>
      <c r="M31" s="8">
        <f>Table1_14[[#This Row],[Registered]]/SUM(Table1_14[Registered])</f>
        <v>4.0734853702729399E-3</v>
      </c>
    </row>
    <row r="32" spans="1:13" x14ac:dyDescent="0.3">
      <c r="A32">
        <v>12</v>
      </c>
      <c r="B32">
        <v>2022</v>
      </c>
      <c r="C32" t="s">
        <v>21</v>
      </c>
      <c r="D32" t="s">
        <v>4</v>
      </c>
      <c r="E32">
        <v>0</v>
      </c>
      <c r="F32">
        <v>0</v>
      </c>
      <c r="I32" t="s">
        <v>35</v>
      </c>
      <c r="J32" t="str">
        <f>IF(Table1_14[[#This Row],[Registered]] = 0, "ABSENT", "NON_ZERO")</f>
        <v>ABSENT</v>
      </c>
      <c r="K32" t="str">
        <f>IF(Table1_14[[#This Row],[Registered]] = 0, "ABSENT_BASE", IF(Table1_14[[#This Row],[Registered]]&lt;100, "SMALL_BASE", "VALID_BASE"))</f>
        <v>ABSENT_BASE</v>
      </c>
      <c r="L32" t="str">
        <f>IF(Table1_14[[#This Row],[Registered]]=0, "ABSENT", IF(Table1_14[[#This Row],[Appearance Rate]]&lt;0.98, "LOW_RATE", IF(AND(Table1_14[[#This Row],[Appearance Rate]]=1, Table1_14[[#This Row],[Registered]]&lt;100), "SUSPICIOUS_PERFECTION", "NORMAL")))</f>
        <v>ABSENT</v>
      </c>
      <c r="M32" s="8">
        <f>Table1_14[[#This Row],[Registered]]/SUM(Table1_14[Registered])</f>
        <v>0</v>
      </c>
    </row>
    <row r="33" spans="1:13" x14ac:dyDescent="0.3">
      <c r="A33">
        <v>12</v>
      </c>
      <c r="B33">
        <v>2022</v>
      </c>
      <c r="C33" t="s">
        <v>21</v>
      </c>
      <c r="D33" t="s">
        <v>5</v>
      </c>
      <c r="E33">
        <v>3565</v>
      </c>
      <c r="F33">
        <v>3552</v>
      </c>
      <c r="G33">
        <v>0.99635343618513328</v>
      </c>
      <c r="H33">
        <v>3.6465638148667212E-3</v>
      </c>
      <c r="J33" t="str">
        <f>IF(Table1_14[[#This Row],[Registered]] = 0, "ABSENT", "NON_ZERO")</f>
        <v>NON_ZERO</v>
      </c>
      <c r="K33" t="str">
        <f>IF(Table1_14[[#This Row],[Registered]] = 0, "ABSENT_BASE", IF(Table1_14[[#This Row],[Registered]]&lt;100, "SMALL_BASE", "VALID_BASE"))</f>
        <v>VALID_BASE</v>
      </c>
      <c r="L33" t="str">
        <f>IF(Table1_14[[#This Row],[Registered]]=0, "ABSENT", IF(Table1_14[[#This Row],[Appearance Rate]]&lt;0.98, "LOW_RATE", IF(AND(Table1_14[[#This Row],[Appearance Rate]]=1, Table1_14[[#This Row],[Registered]]&lt;100), "SUSPICIOUS_PERFECTION", "NORMAL")))</f>
        <v>NORMAL</v>
      </c>
      <c r="M33" s="8">
        <f>Table1_14[[#This Row],[Registered]]/SUM(Table1_14[Registered])</f>
        <v>2.4777299684393497E-3</v>
      </c>
    </row>
    <row r="34" spans="1:13" x14ac:dyDescent="0.3">
      <c r="A34">
        <v>12</v>
      </c>
      <c r="B34">
        <v>2022</v>
      </c>
      <c r="C34" t="s">
        <v>21</v>
      </c>
      <c r="D34" t="s">
        <v>6</v>
      </c>
      <c r="E34">
        <v>0</v>
      </c>
      <c r="F34">
        <v>0</v>
      </c>
      <c r="I34" t="s">
        <v>35</v>
      </c>
      <c r="J34" t="str">
        <f>IF(Table1_14[[#This Row],[Registered]] = 0, "ABSENT", "NON_ZERO")</f>
        <v>ABSENT</v>
      </c>
      <c r="K34" t="str">
        <f>IF(Table1_14[[#This Row],[Registered]] = 0, "ABSENT_BASE", IF(Table1_14[[#This Row],[Registered]]&lt;100, "SMALL_BASE", "VALID_BASE"))</f>
        <v>ABSENT_BASE</v>
      </c>
      <c r="L34" t="str">
        <f>IF(Table1_14[[#This Row],[Registered]]=0, "ABSENT", IF(Table1_14[[#This Row],[Appearance Rate]]&lt;0.98, "LOW_RATE", IF(AND(Table1_14[[#This Row],[Appearance Rate]]=1, Table1_14[[#This Row],[Registered]]&lt;100), "SUSPICIOUS_PERFECTION", "NORMAL")))</f>
        <v>ABSENT</v>
      </c>
      <c r="M34" s="8">
        <f>Table1_14[[#This Row],[Registered]]/SUM(Table1_14[Registered])</f>
        <v>0</v>
      </c>
    </row>
    <row r="35" spans="1:13" x14ac:dyDescent="0.3">
      <c r="A35">
        <v>12</v>
      </c>
      <c r="B35">
        <v>2022</v>
      </c>
      <c r="C35" t="s">
        <v>21</v>
      </c>
      <c r="D35" t="s">
        <v>7</v>
      </c>
      <c r="E35">
        <v>67799</v>
      </c>
      <c r="F35">
        <v>67700</v>
      </c>
      <c r="G35">
        <v>0.99853980147199817</v>
      </c>
      <c r="H35">
        <v>1.4601985280018326E-3</v>
      </c>
      <c r="J35" t="str">
        <f>IF(Table1_14[[#This Row],[Registered]] = 0, "ABSENT", "NON_ZERO")</f>
        <v>NON_ZERO</v>
      </c>
      <c r="K35" t="str">
        <f>IF(Table1_14[[#This Row],[Registered]] = 0, "ABSENT_BASE", IF(Table1_14[[#This Row],[Registered]]&lt;100, "SMALL_BASE", "VALID_BASE"))</f>
        <v>VALID_BASE</v>
      </c>
      <c r="L35" t="str">
        <f>IF(Table1_14[[#This Row],[Registered]]=0, "ABSENT", IF(Table1_14[[#This Row],[Appearance Rate]]&lt;0.98, "LOW_RATE", IF(AND(Table1_14[[#This Row],[Appearance Rate]]=1, Table1_14[[#This Row],[Registered]]&lt;100), "SUSPICIOUS_PERFECTION", "NORMAL")))</f>
        <v>NORMAL</v>
      </c>
      <c r="M35" s="8">
        <f>Table1_14[[#This Row],[Registered]]/SUM(Table1_14[Registered])</f>
        <v>4.7121350387158339E-2</v>
      </c>
    </row>
    <row r="36" spans="1:13" x14ac:dyDescent="0.3">
      <c r="A36">
        <v>12</v>
      </c>
      <c r="B36">
        <v>2022</v>
      </c>
      <c r="C36" t="s">
        <v>21</v>
      </c>
      <c r="D36" t="s">
        <v>8</v>
      </c>
      <c r="E36">
        <v>1646</v>
      </c>
      <c r="F36">
        <v>1642</v>
      </c>
      <c r="G36">
        <v>0.99756986634264888</v>
      </c>
      <c r="H36">
        <v>2.430133657351119E-3</v>
      </c>
      <c r="J36" t="str">
        <f>IF(Table1_14[[#This Row],[Registered]] = 0, "ABSENT", "NON_ZERO")</f>
        <v>NON_ZERO</v>
      </c>
      <c r="K36" t="str">
        <f>IF(Table1_14[[#This Row],[Registered]] = 0, "ABSENT_BASE", IF(Table1_14[[#This Row],[Registered]]&lt;100, "SMALL_BASE", "VALID_BASE"))</f>
        <v>VALID_BASE</v>
      </c>
      <c r="L36" t="str">
        <f>IF(Table1_14[[#This Row],[Registered]]=0, "ABSENT", IF(Table1_14[[#This Row],[Appearance Rate]]&lt;0.98, "LOW_RATE", IF(AND(Table1_14[[#This Row],[Appearance Rate]]=1, Table1_14[[#This Row],[Registered]]&lt;100), "SUSPICIOUS_PERFECTION", "NORMAL")))</f>
        <v>NORMAL</v>
      </c>
      <c r="M36" s="8">
        <f>Table1_14[[#This Row],[Registered]]/SUM(Table1_14[Registered])</f>
        <v>1.143995379537495E-3</v>
      </c>
    </row>
    <row r="37" spans="1:13" x14ac:dyDescent="0.3">
      <c r="A37">
        <v>12</v>
      </c>
      <c r="B37">
        <v>2022</v>
      </c>
      <c r="C37" t="s">
        <v>21</v>
      </c>
      <c r="D37" t="s">
        <v>9</v>
      </c>
      <c r="E37">
        <v>6713</v>
      </c>
      <c r="F37">
        <v>6701</v>
      </c>
      <c r="G37">
        <v>0.99821242365559359</v>
      </c>
      <c r="H37">
        <v>1.7875763444064052E-3</v>
      </c>
      <c r="J37" t="str">
        <f>IF(Table1_14[[#This Row],[Registered]] = 0, "ABSENT", "NON_ZERO")</f>
        <v>NON_ZERO</v>
      </c>
      <c r="K37" t="str">
        <f>IF(Table1_14[[#This Row],[Registered]] = 0, "ABSENT_BASE", IF(Table1_14[[#This Row],[Registered]]&lt;100, "SMALL_BASE", "VALID_BASE"))</f>
        <v>VALID_BASE</v>
      </c>
      <c r="L37" t="str">
        <f>IF(Table1_14[[#This Row],[Registered]]=0, "ABSENT", IF(Table1_14[[#This Row],[Appearance Rate]]&lt;0.98, "LOW_RATE", IF(AND(Table1_14[[#This Row],[Appearance Rate]]=1, Table1_14[[#This Row],[Registered]]&lt;100), "SUSPICIOUS_PERFECTION", "NORMAL")))</f>
        <v>NORMAL</v>
      </c>
      <c r="M37" s="8">
        <f>Table1_14[[#This Row],[Registered]]/SUM(Table1_14[Registered])</f>
        <v>4.6656385071902817E-3</v>
      </c>
    </row>
    <row r="38" spans="1:13" x14ac:dyDescent="0.3">
      <c r="A38">
        <v>12</v>
      </c>
      <c r="B38">
        <v>2022</v>
      </c>
      <c r="C38" t="s">
        <v>26</v>
      </c>
      <c r="D38" t="s">
        <v>4</v>
      </c>
      <c r="E38">
        <v>164</v>
      </c>
      <c r="F38">
        <v>162</v>
      </c>
      <c r="G38">
        <v>0.98780487804878048</v>
      </c>
      <c r="H38">
        <v>1.2195121951219523E-2</v>
      </c>
      <c r="J38" t="str">
        <f>IF(Table1_14[[#This Row],[Registered]] = 0, "ABSENT", "NON_ZERO")</f>
        <v>NON_ZERO</v>
      </c>
      <c r="K38" t="str">
        <f>IF(Table1_14[[#This Row],[Registered]] = 0, "ABSENT_BASE", IF(Table1_14[[#This Row],[Registered]]&lt;100, "SMALL_BASE", "VALID_BASE"))</f>
        <v>VALID_BASE</v>
      </c>
      <c r="L38" t="str">
        <f>IF(Table1_14[[#This Row],[Registered]]=0, "ABSENT", IF(Table1_14[[#This Row],[Appearance Rate]]&lt;0.98, "LOW_RATE", IF(AND(Table1_14[[#This Row],[Appearance Rate]]=1, Table1_14[[#This Row],[Registered]]&lt;100), "SUSPICIOUS_PERFECTION", "NORMAL")))</f>
        <v>NORMAL</v>
      </c>
      <c r="M38" s="8">
        <f>Table1_14[[#This Row],[Registered]]/SUM(Table1_14[Registered])</f>
        <v>1.1398252870239926E-4</v>
      </c>
    </row>
    <row r="39" spans="1:13" x14ac:dyDescent="0.3">
      <c r="A39">
        <v>12</v>
      </c>
      <c r="B39">
        <v>2022</v>
      </c>
      <c r="C39" t="s">
        <v>26</v>
      </c>
      <c r="D39" t="s">
        <v>5</v>
      </c>
      <c r="E39">
        <v>1555</v>
      </c>
      <c r="F39">
        <v>1552</v>
      </c>
      <c r="G39">
        <v>0.99807073954983927</v>
      </c>
      <c r="H39">
        <v>1.9292604501607302E-3</v>
      </c>
      <c r="J39" t="str">
        <f>IF(Table1_14[[#This Row],[Registered]] = 0, "ABSENT", "NON_ZERO")</f>
        <v>NON_ZERO</v>
      </c>
      <c r="K39" t="str">
        <f>IF(Table1_14[[#This Row],[Registered]] = 0, "ABSENT_BASE", IF(Table1_14[[#This Row],[Registered]]&lt;100, "SMALL_BASE", "VALID_BASE"))</f>
        <v>VALID_BASE</v>
      </c>
      <c r="L39" t="str">
        <f>IF(Table1_14[[#This Row],[Registered]]=0, "ABSENT", IF(Table1_14[[#This Row],[Appearance Rate]]&lt;0.98, "LOW_RATE", IF(AND(Table1_14[[#This Row],[Appearance Rate]]=1, Table1_14[[#This Row],[Registered]]&lt;100), "SUSPICIOUS_PERFECTION", "NORMAL")))</f>
        <v>NORMAL</v>
      </c>
      <c r="M39" s="8">
        <f>Table1_14[[#This Row],[Registered]]/SUM(Table1_14[Registered])</f>
        <v>1.0807489764160419E-3</v>
      </c>
    </row>
    <row r="40" spans="1:13" x14ac:dyDescent="0.3">
      <c r="A40">
        <v>12</v>
      </c>
      <c r="B40">
        <v>2022</v>
      </c>
      <c r="C40" t="s">
        <v>26</v>
      </c>
      <c r="D40" t="s">
        <v>6</v>
      </c>
      <c r="E40">
        <v>22</v>
      </c>
      <c r="F40">
        <v>22</v>
      </c>
      <c r="G40">
        <v>1</v>
      </c>
      <c r="H40">
        <v>0</v>
      </c>
      <c r="J40" t="str">
        <f>IF(Table1_14[[#This Row],[Registered]] = 0, "ABSENT", "NON_ZERO")</f>
        <v>NON_ZERO</v>
      </c>
      <c r="K40" t="str">
        <f>IF(Table1_14[[#This Row],[Registered]] = 0, "ABSENT_BASE", IF(Table1_14[[#This Row],[Registered]]&lt;100, "SMALL_BASE", "VALID_BASE"))</f>
        <v>SMALL_BASE</v>
      </c>
      <c r="L40" t="str">
        <f>IF(Table1_14[[#This Row],[Registered]]=0, "ABSENT", IF(Table1_14[[#This Row],[Appearance Rate]]&lt;0.98, "LOW_RATE", IF(AND(Table1_14[[#This Row],[Appearance Rate]]=1, Table1_14[[#This Row],[Registered]]&lt;100), "SUSPICIOUS_PERFECTION", "NORMAL")))</f>
        <v>SUSPICIOUS_PERFECTION</v>
      </c>
      <c r="M40" s="8">
        <f>Table1_14[[#This Row],[Registered]]/SUM(Table1_14[Registered])</f>
        <v>1.5290339216175512E-5</v>
      </c>
    </row>
    <row r="41" spans="1:13" x14ac:dyDescent="0.3">
      <c r="A41">
        <v>12</v>
      </c>
      <c r="B41">
        <v>2022</v>
      </c>
      <c r="C41" t="s">
        <v>26</v>
      </c>
      <c r="D41" t="s">
        <v>7</v>
      </c>
      <c r="E41">
        <v>62473</v>
      </c>
      <c r="F41">
        <v>62094</v>
      </c>
      <c r="G41">
        <v>0.99393337921982294</v>
      </c>
      <c r="H41">
        <v>6.0666207801770566E-3</v>
      </c>
      <c r="J41" t="str">
        <f>IF(Table1_14[[#This Row],[Registered]] = 0, "ABSENT", "NON_ZERO")</f>
        <v>NON_ZERO</v>
      </c>
      <c r="K41" t="str">
        <f>IF(Table1_14[[#This Row],[Registered]] = 0, "ABSENT_BASE", IF(Table1_14[[#This Row],[Registered]]&lt;100, "SMALL_BASE", "VALID_BASE"))</f>
        <v>VALID_BASE</v>
      </c>
      <c r="L41" t="str">
        <f>IF(Table1_14[[#This Row],[Registered]]=0, "ABSENT", IF(Table1_14[[#This Row],[Appearance Rate]]&lt;0.98, "LOW_RATE", IF(AND(Table1_14[[#This Row],[Appearance Rate]]=1, Table1_14[[#This Row],[Registered]]&lt;100), "SUSPICIOUS_PERFECTION", "NORMAL")))</f>
        <v>NORMAL</v>
      </c>
      <c r="M41" s="8">
        <f>Table1_14[[#This Row],[Registered]]/SUM(Table1_14[Registered])</f>
        <v>4.3419698266006029E-2</v>
      </c>
    </row>
    <row r="42" spans="1:13" x14ac:dyDescent="0.3">
      <c r="A42">
        <v>12</v>
      </c>
      <c r="B42">
        <v>2022</v>
      </c>
      <c r="C42" t="s">
        <v>26</v>
      </c>
      <c r="D42" t="s">
        <v>8</v>
      </c>
      <c r="E42">
        <v>1120</v>
      </c>
      <c r="F42">
        <v>1117</v>
      </c>
      <c r="G42">
        <v>0.99732142857142858</v>
      </c>
      <c r="H42">
        <v>2.6785714285714191E-3</v>
      </c>
      <c r="J42" t="str">
        <f>IF(Table1_14[[#This Row],[Registered]] = 0, "ABSENT", "NON_ZERO")</f>
        <v>NON_ZERO</v>
      </c>
      <c r="K42" t="str">
        <f>IF(Table1_14[[#This Row],[Registered]] = 0, "ABSENT_BASE", IF(Table1_14[[#This Row],[Registered]]&lt;100, "SMALL_BASE", "VALID_BASE"))</f>
        <v>VALID_BASE</v>
      </c>
      <c r="L42" t="str">
        <f>IF(Table1_14[[#This Row],[Registered]]=0, "ABSENT", IF(Table1_14[[#This Row],[Appearance Rate]]&lt;0.98, "LOW_RATE", IF(AND(Table1_14[[#This Row],[Appearance Rate]]=1, Table1_14[[#This Row],[Registered]]&lt;100), "SUSPICIOUS_PERFECTION", "NORMAL")))</f>
        <v>NORMAL</v>
      </c>
      <c r="M42" s="8">
        <f>Table1_14[[#This Row],[Registered]]/SUM(Table1_14[Registered])</f>
        <v>7.7841726918711693E-4</v>
      </c>
    </row>
    <row r="43" spans="1:13" x14ac:dyDescent="0.3">
      <c r="A43">
        <v>12</v>
      </c>
      <c r="B43">
        <v>2022</v>
      </c>
      <c r="C43" t="s">
        <v>26</v>
      </c>
      <c r="D43" t="s">
        <v>9</v>
      </c>
      <c r="E43">
        <v>4312</v>
      </c>
      <c r="F43">
        <v>4307</v>
      </c>
      <c r="G43">
        <v>0.99884044526901672</v>
      </c>
      <c r="H43">
        <v>1.159554730983281E-3</v>
      </c>
      <c r="J43" t="str">
        <f>IF(Table1_14[[#This Row],[Registered]] = 0, "ABSENT", "NON_ZERO")</f>
        <v>NON_ZERO</v>
      </c>
      <c r="K43" t="str">
        <f>IF(Table1_14[[#This Row],[Registered]] = 0, "ABSENT_BASE", IF(Table1_14[[#This Row],[Registered]]&lt;100, "SMALL_BASE", "VALID_BASE"))</f>
        <v>VALID_BASE</v>
      </c>
      <c r="L43" t="str">
        <f>IF(Table1_14[[#This Row],[Registered]]=0, "ABSENT", IF(Table1_14[[#This Row],[Appearance Rate]]&lt;0.98, "LOW_RATE", IF(AND(Table1_14[[#This Row],[Appearance Rate]]=1, Table1_14[[#This Row],[Registered]]&lt;100), "SUSPICIOUS_PERFECTION", "NORMAL")))</f>
        <v>NORMAL</v>
      </c>
      <c r="M43" s="8">
        <f>Table1_14[[#This Row],[Registered]]/SUM(Table1_14[Registered])</f>
        <v>2.9969064863704003E-3</v>
      </c>
    </row>
    <row r="44" spans="1:13" x14ac:dyDescent="0.3">
      <c r="A44">
        <v>12</v>
      </c>
      <c r="B44">
        <v>2022</v>
      </c>
      <c r="C44" t="s">
        <v>15</v>
      </c>
      <c r="D44" t="s">
        <v>4</v>
      </c>
      <c r="E44">
        <v>0</v>
      </c>
      <c r="F44">
        <v>0</v>
      </c>
      <c r="I44" t="s">
        <v>35</v>
      </c>
      <c r="J44" t="str">
        <f>IF(Table1_14[[#This Row],[Registered]] = 0, "ABSENT", "NON_ZERO")</f>
        <v>ABSENT</v>
      </c>
      <c r="K44" t="str">
        <f>IF(Table1_14[[#This Row],[Registered]] = 0, "ABSENT_BASE", IF(Table1_14[[#This Row],[Registered]]&lt;100, "SMALL_BASE", "VALID_BASE"))</f>
        <v>ABSENT_BASE</v>
      </c>
      <c r="L44" t="str">
        <f>IF(Table1_14[[#This Row],[Registered]]=0, "ABSENT", IF(Table1_14[[#This Row],[Appearance Rate]]&lt;0.98, "LOW_RATE", IF(AND(Table1_14[[#This Row],[Appearance Rate]]=1, Table1_14[[#This Row],[Registered]]&lt;100), "SUSPICIOUS_PERFECTION", "NORMAL")))</f>
        <v>ABSENT</v>
      </c>
      <c r="M44" s="8">
        <f>Table1_14[[#This Row],[Registered]]/SUM(Table1_14[Registered])</f>
        <v>0</v>
      </c>
    </row>
    <row r="45" spans="1:13" x14ac:dyDescent="0.3">
      <c r="A45">
        <v>12</v>
      </c>
      <c r="B45">
        <v>2022</v>
      </c>
      <c r="C45" t="s">
        <v>15</v>
      </c>
      <c r="D45" t="s">
        <v>5</v>
      </c>
      <c r="E45">
        <v>100216</v>
      </c>
      <c r="F45">
        <v>99566</v>
      </c>
      <c r="G45">
        <v>0.99351400973896387</v>
      </c>
      <c r="H45">
        <v>6.4859902610361342E-3</v>
      </c>
      <c r="J45" t="str">
        <f>IF(Table1_14[[#This Row],[Registered]] = 0, "ABSENT", "NON_ZERO")</f>
        <v>NON_ZERO</v>
      </c>
      <c r="K45" t="str">
        <f>IF(Table1_14[[#This Row],[Registered]] = 0, "ABSENT_BASE", IF(Table1_14[[#This Row],[Registered]]&lt;100, "SMALL_BASE", "VALID_BASE"))</f>
        <v>VALID_BASE</v>
      </c>
      <c r="L45" t="str">
        <f>IF(Table1_14[[#This Row],[Registered]]=0, "ABSENT", IF(Table1_14[[#This Row],[Appearance Rate]]&lt;0.98, "LOW_RATE", IF(AND(Table1_14[[#This Row],[Appearance Rate]]=1, Table1_14[[#This Row],[Registered]]&lt;100), "SUSPICIOUS_PERFECTION", "NORMAL")))</f>
        <v>NORMAL</v>
      </c>
      <c r="M45" s="8">
        <f>Table1_14[[#This Row],[Registered]]/SUM(Table1_14[Registered])</f>
        <v>6.965166522219296E-2</v>
      </c>
    </row>
    <row r="46" spans="1:13" x14ac:dyDescent="0.3">
      <c r="A46">
        <v>12</v>
      </c>
      <c r="B46">
        <v>2022</v>
      </c>
      <c r="C46" t="s">
        <v>15</v>
      </c>
      <c r="D46" t="s">
        <v>6</v>
      </c>
      <c r="E46">
        <v>6420</v>
      </c>
      <c r="F46">
        <v>6393</v>
      </c>
      <c r="G46">
        <v>0.99579439252336444</v>
      </c>
      <c r="H46">
        <v>4.2056074766355644E-3</v>
      </c>
      <c r="J46" t="str">
        <f>IF(Table1_14[[#This Row],[Registered]] = 0, "ABSENT", "NON_ZERO")</f>
        <v>NON_ZERO</v>
      </c>
      <c r="K46" t="str">
        <f>IF(Table1_14[[#This Row],[Registered]] = 0, "ABSENT_BASE", IF(Table1_14[[#This Row],[Registered]]&lt;100, "SMALL_BASE", "VALID_BASE"))</f>
        <v>VALID_BASE</v>
      </c>
      <c r="L46" t="str">
        <f>IF(Table1_14[[#This Row],[Registered]]=0, "ABSENT", IF(Table1_14[[#This Row],[Appearance Rate]]&lt;0.98, "LOW_RATE", IF(AND(Table1_14[[#This Row],[Appearance Rate]]=1, Table1_14[[#This Row],[Registered]]&lt;100), "SUSPICIOUS_PERFECTION", "NORMAL")))</f>
        <v>NORMAL</v>
      </c>
      <c r="M46" s="8">
        <f>Table1_14[[#This Row],[Registered]]/SUM(Table1_14[Registered])</f>
        <v>4.4619989894475812E-3</v>
      </c>
    </row>
    <row r="47" spans="1:13" x14ac:dyDescent="0.3">
      <c r="A47">
        <v>12</v>
      </c>
      <c r="B47">
        <v>2022</v>
      </c>
      <c r="C47" t="s">
        <v>15</v>
      </c>
      <c r="D47" t="s">
        <v>7</v>
      </c>
      <c r="E47">
        <v>64953</v>
      </c>
      <c r="F47">
        <v>64774</v>
      </c>
      <c r="G47">
        <v>0.99724416116268688</v>
      </c>
      <c r="H47">
        <v>2.7558388373131182E-3</v>
      </c>
      <c r="J47" t="str">
        <f>IF(Table1_14[[#This Row],[Registered]] = 0, "ABSENT", "NON_ZERO")</f>
        <v>NON_ZERO</v>
      </c>
      <c r="K47" t="str">
        <f>IF(Table1_14[[#This Row],[Registered]] = 0, "ABSENT_BASE", IF(Table1_14[[#This Row],[Registered]]&lt;100, "SMALL_BASE", "VALID_BASE"))</f>
        <v>VALID_BASE</v>
      </c>
      <c r="L47" t="str">
        <f>IF(Table1_14[[#This Row],[Registered]]=0, "ABSENT", IF(Table1_14[[#This Row],[Appearance Rate]]&lt;0.98, "LOW_RATE", IF(AND(Table1_14[[#This Row],[Appearance Rate]]=1, Table1_14[[#This Row],[Registered]]&lt;100), "SUSPICIOUS_PERFECTION", "NORMAL")))</f>
        <v>NORMAL</v>
      </c>
      <c r="M47" s="8">
        <f>Table1_14[[#This Row],[Registered]]/SUM(Table1_14[Registered])</f>
        <v>4.5143336504920362E-2</v>
      </c>
    </row>
    <row r="48" spans="1:13" x14ac:dyDescent="0.3">
      <c r="A48">
        <v>12</v>
      </c>
      <c r="B48">
        <v>2022</v>
      </c>
      <c r="C48" t="s">
        <v>15</v>
      </c>
      <c r="D48" t="s">
        <v>8</v>
      </c>
      <c r="E48">
        <v>81</v>
      </c>
      <c r="F48">
        <v>81</v>
      </c>
      <c r="G48">
        <v>1</v>
      </c>
      <c r="H48">
        <v>0</v>
      </c>
      <c r="J48" t="str">
        <f>IF(Table1_14[[#This Row],[Registered]] = 0, "ABSENT", "NON_ZERO")</f>
        <v>NON_ZERO</v>
      </c>
      <c r="K48" t="str">
        <f>IF(Table1_14[[#This Row],[Registered]] = 0, "ABSENT_BASE", IF(Table1_14[[#This Row],[Registered]]&lt;100, "SMALL_BASE", "VALID_BASE"))</f>
        <v>SMALL_BASE</v>
      </c>
      <c r="L48" t="str">
        <f>IF(Table1_14[[#This Row],[Registered]]=0, "ABSENT", IF(Table1_14[[#This Row],[Appearance Rate]]&lt;0.98, "LOW_RATE", IF(AND(Table1_14[[#This Row],[Appearance Rate]]=1, Table1_14[[#This Row],[Registered]]&lt;100), "SUSPICIOUS_PERFECTION", "NORMAL")))</f>
        <v>SUSPICIOUS_PERFECTION</v>
      </c>
      <c r="M48" s="8">
        <f>Table1_14[[#This Row],[Registered]]/SUM(Table1_14[Registered])</f>
        <v>5.6296248932282561E-5</v>
      </c>
    </row>
    <row r="49" spans="1:13" x14ac:dyDescent="0.3">
      <c r="A49">
        <v>12</v>
      </c>
      <c r="B49">
        <v>2022</v>
      </c>
      <c r="C49" t="s">
        <v>15</v>
      </c>
      <c r="D49" t="s">
        <v>9</v>
      </c>
      <c r="E49">
        <v>6669</v>
      </c>
      <c r="F49">
        <v>6661</v>
      </c>
      <c r="G49">
        <v>0.99880041985305146</v>
      </c>
      <c r="H49">
        <v>1.1995801469485423E-3</v>
      </c>
      <c r="J49" t="str">
        <f>IF(Table1_14[[#This Row],[Registered]] = 0, "ABSENT", "NON_ZERO")</f>
        <v>NON_ZERO</v>
      </c>
      <c r="K49" t="str">
        <f>IF(Table1_14[[#This Row],[Registered]] = 0, "ABSENT_BASE", IF(Table1_14[[#This Row],[Registered]]&lt;100, "SMALL_BASE", "VALID_BASE"))</f>
        <v>VALID_BASE</v>
      </c>
      <c r="L49" t="str">
        <f>IF(Table1_14[[#This Row],[Registered]]=0, "ABSENT", IF(Table1_14[[#This Row],[Appearance Rate]]&lt;0.98, "LOW_RATE", IF(AND(Table1_14[[#This Row],[Appearance Rate]]=1, Table1_14[[#This Row],[Registered]]&lt;100), "SUSPICIOUS_PERFECTION", "NORMAL")))</f>
        <v>NORMAL</v>
      </c>
      <c r="M49" s="8">
        <f>Table1_14[[#This Row],[Registered]]/SUM(Table1_14[Registered])</f>
        <v>4.6350578287579309E-3</v>
      </c>
    </row>
    <row r="50" spans="1:13" x14ac:dyDescent="0.3">
      <c r="A50">
        <v>12</v>
      </c>
      <c r="B50">
        <v>2022</v>
      </c>
      <c r="C50" t="s">
        <v>27</v>
      </c>
      <c r="D50" t="s">
        <v>4</v>
      </c>
      <c r="E50">
        <v>0</v>
      </c>
      <c r="F50">
        <v>0</v>
      </c>
      <c r="I50" t="s">
        <v>35</v>
      </c>
      <c r="J50" t="str">
        <f>IF(Table1_14[[#This Row],[Registered]] = 0, "ABSENT", "NON_ZERO")</f>
        <v>ABSENT</v>
      </c>
      <c r="K50" t="str">
        <f>IF(Table1_14[[#This Row],[Registered]] = 0, "ABSENT_BASE", IF(Table1_14[[#This Row],[Registered]]&lt;100, "SMALL_BASE", "VALID_BASE"))</f>
        <v>ABSENT_BASE</v>
      </c>
      <c r="L50" t="str">
        <f>IF(Table1_14[[#This Row],[Registered]]=0, "ABSENT", IF(Table1_14[[#This Row],[Appearance Rate]]&lt;0.98, "LOW_RATE", IF(AND(Table1_14[[#This Row],[Appearance Rate]]=1, Table1_14[[#This Row],[Registered]]&lt;100), "SUSPICIOUS_PERFECTION", "NORMAL")))</f>
        <v>ABSENT</v>
      </c>
      <c r="M50" s="8">
        <f>Table1_14[[#This Row],[Registered]]/SUM(Table1_14[Registered])</f>
        <v>0</v>
      </c>
    </row>
    <row r="51" spans="1:13" x14ac:dyDescent="0.3">
      <c r="A51">
        <v>12</v>
      </c>
      <c r="B51">
        <v>2022</v>
      </c>
      <c r="C51" t="s">
        <v>27</v>
      </c>
      <c r="D51" t="s">
        <v>5</v>
      </c>
      <c r="E51">
        <v>69504</v>
      </c>
      <c r="F51">
        <v>69109</v>
      </c>
      <c r="G51">
        <v>0.99431687384898715</v>
      </c>
      <c r="H51">
        <v>5.6831261510128517E-3</v>
      </c>
      <c r="J51" t="str">
        <f>IF(Table1_14[[#This Row],[Registered]] = 0, "ABSENT", "NON_ZERO")</f>
        <v>NON_ZERO</v>
      </c>
      <c r="K51" t="str">
        <f>IF(Table1_14[[#This Row],[Registered]] = 0, "ABSENT_BASE", IF(Table1_14[[#This Row],[Registered]]&lt;100, "SMALL_BASE", "VALID_BASE"))</f>
        <v>VALID_BASE</v>
      </c>
      <c r="L51" t="str">
        <f>IF(Table1_14[[#This Row],[Registered]]=0, "ABSENT", IF(Table1_14[[#This Row],[Appearance Rate]]&lt;0.98, "LOW_RATE", IF(AND(Table1_14[[#This Row],[Appearance Rate]]=1, Table1_14[[#This Row],[Registered]]&lt;100), "SUSPICIOUS_PERFECTION", "NORMAL")))</f>
        <v>NORMAL</v>
      </c>
      <c r="M51" s="8">
        <f>Table1_14[[#This Row],[Registered]]/SUM(Table1_14[Registered])</f>
        <v>4.8306351676411945E-2</v>
      </c>
    </row>
    <row r="52" spans="1:13" x14ac:dyDescent="0.3">
      <c r="A52">
        <v>12</v>
      </c>
      <c r="B52">
        <v>2022</v>
      </c>
      <c r="C52" t="s">
        <v>27</v>
      </c>
      <c r="D52" t="s">
        <v>6</v>
      </c>
      <c r="E52">
        <v>7775</v>
      </c>
      <c r="F52">
        <v>7743</v>
      </c>
      <c r="G52">
        <v>0.99588424437299039</v>
      </c>
      <c r="H52">
        <v>4.1157556270096096E-3</v>
      </c>
      <c r="J52" t="str">
        <f>IF(Table1_14[[#This Row],[Registered]] = 0, "ABSENT", "NON_ZERO")</f>
        <v>NON_ZERO</v>
      </c>
      <c r="K52" t="str">
        <f>IF(Table1_14[[#This Row],[Registered]] = 0, "ABSENT_BASE", IF(Table1_14[[#This Row],[Registered]]&lt;100, "SMALL_BASE", "VALID_BASE"))</f>
        <v>VALID_BASE</v>
      </c>
      <c r="L52" t="str">
        <f>IF(Table1_14[[#This Row],[Registered]]=0, "ABSENT", IF(Table1_14[[#This Row],[Appearance Rate]]&lt;0.98, "LOW_RATE", IF(AND(Table1_14[[#This Row],[Appearance Rate]]=1, Table1_14[[#This Row],[Registered]]&lt;100), "SUSPICIOUS_PERFECTION", "NORMAL")))</f>
        <v>NORMAL</v>
      </c>
      <c r="M52" s="8">
        <f>Table1_14[[#This Row],[Registered]]/SUM(Table1_14[Registered])</f>
        <v>5.4037448820802086E-3</v>
      </c>
    </row>
    <row r="53" spans="1:13" x14ac:dyDescent="0.3">
      <c r="A53">
        <v>12</v>
      </c>
      <c r="B53">
        <v>2022</v>
      </c>
      <c r="C53" t="s">
        <v>27</v>
      </c>
      <c r="D53" t="s">
        <v>7</v>
      </c>
      <c r="E53">
        <v>40461</v>
      </c>
      <c r="F53">
        <v>40291</v>
      </c>
      <c r="G53">
        <v>0.99579842317293199</v>
      </c>
      <c r="H53">
        <v>4.2015768270680098E-3</v>
      </c>
      <c r="J53" t="str">
        <f>IF(Table1_14[[#This Row],[Registered]] = 0, "ABSENT", "NON_ZERO")</f>
        <v>NON_ZERO</v>
      </c>
      <c r="K53" t="str">
        <f>IF(Table1_14[[#This Row],[Registered]] = 0, "ABSENT_BASE", IF(Table1_14[[#This Row],[Registered]]&lt;100, "SMALL_BASE", "VALID_BASE"))</f>
        <v>VALID_BASE</v>
      </c>
      <c r="L53" t="str">
        <f>IF(Table1_14[[#This Row],[Registered]]=0, "ABSENT", IF(Table1_14[[#This Row],[Appearance Rate]]&lt;0.98, "LOW_RATE", IF(AND(Table1_14[[#This Row],[Appearance Rate]]=1, Table1_14[[#This Row],[Registered]]&lt;100), "SUSPICIOUS_PERFECTION", "NORMAL")))</f>
        <v>NORMAL</v>
      </c>
      <c r="M53" s="8">
        <f>Table1_14[[#This Row],[Registered]]/SUM(Table1_14[Registered])</f>
        <v>2.8121018864803515E-2</v>
      </c>
    </row>
    <row r="54" spans="1:13" x14ac:dyDescent="0.3">
      <c r="A54">
        <v>12</v>
      </c>
      <c r="B54">
        <v>2022</v>
      </c>
      <c r="C54" t="s">
        <v>27</v>
      </c>
      <c r="D54" t="s">
        <v>8</v>
      </c>
      <c r="E54">
        <v>65</v>
      </c>
      <c r="F54">
        <v>65</v>
      </c>
      <c r="G54">
        <v>1</v>
      </c>
      <c r="H54">
        <v>0</v>
      </c>
      <c r="J54" t="str">
        <f>IF(Table1_14[[#This Row],[Registered]] = 0, "ABSENT", "NON_ZERO")</f>
        <v>NON_ZERO</v>
      </c>
      <c r="K54" t="str">
        <f>IF(Table1_14[[#This Row],[Registered]] = 0, "ABSENT_BASE", IF(Table1_14[[#This Row],[Registered]]&lt;100, "SMALL_BASE", "VALID_BASE"))</f>
        <v>SMALL_BASE</v>
      </c>
      <c r="L54" t="str">
        <f>IF(Table1_14[[#This Row],[Registered]]=0, "ABSENT", IF(Table1_14[[#This Row],[Appearance Rate]]&lt;0.98, "LOW_RATE", IF(AND(Table1_14[[#This Row],[Appearance Rate]]=1, Table1_14[[#This Row],[Registered]]&lt;100), "SUSPICIOUS_PERFECTION", "NORMAL")))</f>
        <v>SUSPICIOUS_PERFECTION</v>
      </c>
      <c r="M54" s="8">
        <f>Table1_14[[#This Row],[Registered]]/SUM(Table1_14[Registered])</f>
        <v>4.5176002229609464E-5</v>
      </c>
    </row>
    <row r="55" spans="1:13" x14ac:dyDescent="0.3">
      <c r="A55">
        <v>12</v>
      </c>
      <c r="B55">
        <v>2022</v>
      </c>
      <c r="C55" t="s">
        <v>27</v>
      </c>
      <c r="D55" t="s">
        <v>9</v>
      </c>
      <c r="E55">
        <v>2872</v>
      </c>
      <c r="F55">
        <v>2872</v>
      </c>
      <c r="G55">
        <v>1</v>
      </c>
      <c r="H55">
        <v>0</v>
      </c>
      <c r="J55" t="str">
        <f>IF(Table1_14[[#This Row],[Registered]] = 0, "ABSENT", "NON_ZERO")</f>
        <v>NON_ZERO</v>
      </c>
      <c r="K55" t="str">
        <f>IF(Table1_14[[#This Row],[Registered]] = 0, "ABSENT_BASE", IF(Table1_14[[#This Row],[Registered]]&lt;100, "SMALL_BASE", "VALID_BASE"))</f>
        <v>VALID_BASE</v>
      </c>
      <c r="L55" t="str">
        <f>IF(Table1_14[[#This Row],[Registered]]=0, "ABSENT", IF(Table1_14[[#This Row],[Appearance Rate]]&lt;0.98, "LOW_RATE", IF(AND(Table1_14[[#This Row],[Appearance Rate]]=1, Table1_14[[#This Row],[Registered]]&lt;100), "SUSPICIOUS_PERFECTION", "NORMAL")))</f>
        <v>NORMAL</v>
      </c>
      <c r="M55" s="8">
        <f>Table1_14[[#This Row],[Registered]]/SUM(Table1_14[Registered])</f>
        <v>1.9960842831298212E-3</v>
      </c>
    </row>
    <row r="56" spans="1:13" x14ac:dyDescent="0.3">
      <c r="A56">
        <v>12</v>
      </c>
      <c r="B56">
        <v>2022</v>
      </c>
      <c r="C56" t="s">
        <v>17</v>
      </c>
      <c r="D56" t="s">
        <v>4</v>
      </c>
      <c r="E56">
        <v>0</v>
      </c>
      <c r="F56">
        <v>0</v>
      </c>
      <c r="I56" t="s">
        <v>35</v>
      </c>
      <c r="J56" t="str">
        <f>IF(Table1_14[[#This Row],[Registered]] = 0, "ABSENT", "NON_ZERO")</f>
        <v>ABSENT</v>
      </c>
      <c r="K56" t="str">
        <f>IF(Table1_14[[#This Row],[Registered]] = 0, "ABSENT_BASE", IF(Table1_14[[#This Row],[Registered]]&lt;100, "SMALL_BASE", "VALID_BASE"))</f>
        <v>ABSENT_BASE</v>
      </c>
      <c r="L56" t="str">
        <f>IF(Table1_14[[#This Row],[Registered]]=0, "ABSENT", IF(Table1_14[[#This Row],[Appearance Rate]]&lt;0.98, "LOW_RATE", IF(AND(Table1_14[[#This Row],[Appearance Rate]]=1, Table1_14[[#This Row],[Registered]]&lt;100), "SUSPICIOUS_PERFECTION", "NORMAL")))</f>
        <v>ABSENT</v>
      </c>
      <c r="M56" s="8">
        <f>Table1_14[[#This Row],[Registered]]/SUM(Table1_14[Registered])</f>
        <v>0</v>
      </c>
    </row>
    <row r="57" spans="1:13" x14ac:dyDescent="0.3">
      <c r="A57">
        <v>12</v>
      </c>
      <c r="B57">
        <v>2022</v>
      </c>
      <c r="C57" t="s">
        <v>17</v>
      </c>
      <c r="D57" t="s">
        <v>5</v>
      </c>
      <c r="E57">
        <v>20672</v>
      </c>
      <c r="F57">
        <v>20518</v>
      </c>
      <c r="G57">
        <v>0.99255030959752322</v>
      </c>
      <c r="H57">
        <v>7.4496904024767829E-3</v>
      </c>
      <c r="J57" t="str">
        <f>IF(Table1_14[[#This Row],[Registered]] = 0, "ABSENT", "NON_ZERO")</f>
        <v>NON_ZERO</v>
      </c>
      <c r="K57" t="str">
        <f>IF(Table1_14[[#This Row],[Registered]] = 0, "ABSENT_BASE", IF(Table1_14[[#This Row],[Registered]]&lt;100, "SMALL_BASE", "VALID_BASE"))</f>
        <v>VALID_BASE</v>
      </c>
      <c r="L57" t="str">
        <f>IF(Table1_14[[#This Row],[Registered]]=0, "ABSENT", IF(Table1_14[[#This Row],[Appearance Rate]]&lt;0.98, "LOW_RATE", IF(AND(Table1_14[[#This Row],[Appearance Rate]]=1, Table1_14[[#This Row],[Registered]]&lt;100), "SUSPICIOUS_PERFECTION", "NORMAL")))</f>
        <v>NORMAL</v>
      </c>
      <c r="M57" s="8">
        <f>Table1_14[[#This Row],[Registered]]/SUM(Table1_14[Registered])</f>
        <v>1.4367358739853644E-2</v>
      </c>
    </row>
    <row r="58" spans="1:13" x14ac:dyDescent="0.3">
      <c r="A58">
        <v>12</v>
      </c>
      <c r="B58">
        <v>2022</v>
      </c>
      <c r="C58" t="s">
        <v>17</v>
      </c>
      <c r="D58" t="s">
        <v>6</v>
      </c>
      <c r="E58">
        <v>102</v>
      </c>
      <c r="F58">
        <v>101</v>
      </c>
      <c r="G58">
        <v>0.99019607843137258</v>
      </c>
      <c r="H58">
        <v>9.8039215686274161E-3</v>
      </c>
      <c r="J58" t="str">
        <f>IF(Table1_14[[#This Row],[Registered]] = 0, "ABSENT", "NON_ZERO")</f>
        <v>NON_ZERO</v>
      </c>
      <c r="K58" t="str">
        <f>IF(Table1_14[[#This Row],[Registered]] = 0, "ABSENT_BASE", IF(Table1_14[[#This Row],[Registered]]&lt;100, "SMALL_BASE", "VALID_BASE"))</f>
        <v>VALID_BASE</v>
      </c>
      <c r="L58" t="str">
        <f>IF(Table1_14[[#This Row],[Registered]]=0, "ABSENT", IF(Table1_14[[#This Row],[Appearance Rate]]&lt;0.98, "LOW_RATE", IF(AND(Table1_14[[#This Row],[Appearance Rate]]=1, Table1_14[[#This Row],[Registered]]&lt;100), "SUSPICIOUS_PERFECTION", "NORMAL")))</f>
        <v>NORMAL</v>
      </c>
      <c r="M58" s="8">
        <f>Table1_14[[#This Row],[Registered]]/SUM(Table1_14[Registered])</f>
        <v>7.0891572729541008E-5</v>
      </c>
    </row>
    <row r="59" spans="1:13" x14ac:dyDescent="0.3">
      <c r="A59">
        <v>12</v>
      </c>
      <c r="B59">
        <v>2022</v>
      </c>
      <c r="C59" t="s">
        <v>17</v>
      </c>
      <c r="D59" t="s">
        <v>7</v>
      </c>
      <c r="E59">
        <v>20768</v>
      </c>
      <c r="F59">
        <v>20601</v>
      </c>
      <c r="G59">
        <v>0.99195878274268101</v>
      </c>
      <c r="H59">
        <v>8.0412172573189888E-3</v>
      </c>
      <c r="J59" t="str">
        <f>IF(Table1_14[[#This Row],[Registered]] = 0, "ABSENT", "NON_ZERO")</f>
        <v>NON_ZERO</v>
      </c>
      <c r="K59" t="str">
        <f>IF(Table1_14[[#This Row],[Registered]] = 0, "ABSENT_BASE", IF(Table1_14[[#This Row],[Registered]]&lt;100, "SMALL_BASE", "VALID_BASE"))</f>
        <v>VALID_BASE</v>
      </c>
      <c r="L59" t="str">
        <f>IF(Table1_14[[#This Row],[Registered]]=0, "ABSENT", IF(Table1_14[[#This Row],[Appearance Rate]]&lt;0.98, "LOW_RATE", IF(AND(Table1_14[[#This Row],[Appearance Rate]]=1, Table1_14[[#This Row],[Registered]]&lt;100), "SUSPICIOUS_PERFECTION", "NORMAL")))</f>
        <v>NORMAL</v>
      </c>
      <c r="M59" s="8">
        <f>Table1_14[[#This Row],[Registered]]/SUM(Table1_14[Registered])</f>
        <v>1.4434080220069681E-2</v>
      </c>
    </row>
    <row r="60" spans="1:13" x14ac:dyDescent="0.3">
      <c r="A60">
        <v>12</v>
      </c>
      <c r="B60">
        <v>2022</v>
      </c>
      <c r="C60" t="s">
        <v>17</v>
      </c>
      <c r="D60" t="s">
        <v>8</v>
      </c>
      <c r="E60">
        <v>4536</v>
      </c>
      <c r="F60">
        <v>4481</v>
      </c>
      <c r="G60">
        <v>0.9878747795414462</v>
      </c>
      <c r="H60">
        <v>1.2125220458553798E-2</v>
      </c>
      <c r="J60" t="str">
        <f>IF(Table1_14[[#This Row],[Registered]] = 0, "ABSENT", "NON_ZERO")</f>
        <v>NON_ZERO</v>
      </c>
      <c r="K60" t="str">
        <f>IF(Table1_14[[#This Row],[Registered]] = 0, "ABSENT_BASE", IF(Table1_14[[#This Row],[Registered]]&lt;100, "SMALL_BASE", "VALID_BASE"))</f>
        <v>VALID_BASE</v>
      </c>
      <c r="L60" t="str">
        <f>IF(Table1_14[[#This Row],[Registered]]=0, "ABSENT", IF(Table1_14[[#This Row],[Appearance Rate]]&lt;0.98, "LOW_RATE", IF(AND(Table1_14[[#This Row],[Appearance Rate]]=1, Table1_14[[#This Row],[Registered]]&lt;100), "SUSPICIOUS_PERFECTION", "NORMAL")))</f>
        <v>NORMAL</v>
      </c>
      <c r="M60" s="8">
        <f>Table1_14[[#This Row],[Registered]]/SUM(Table1_14[Registered])</f>
        <v>3.1525899402078234E-3</v>
      </c>
    </row>
    <row r="61" spans="1:13" x14ac:dyDescent="0.3">
      <c r="A61">
        <v>12</v>
      </c>
      <c r="B61">
        <v>2022</v>
      </c>
      <c r="C61" t="s">
        <v>17</v>
      </c>
      <c r="D61" t="s">
        <v>9</v>
      </c>
      <c r="E61">
        <v>6071</v>
      </c>
      <c r="F61">
        <v>6047</v>
      </c>
      <c r="G61">
        <v>0.99604677977268985</v>
      </c>
      <c r="H61">
        <v>3.9532202273101502E-3</v>
      </c>
      <c r="J61" t="str">
        <f>IF(Table1_14[[#This Row],[Registered]] = 0, "ABSENT", "NON_ZERO")</f>
        <v>NON_ZERO</v>
      </c>
      <c r="K61" t="str">
        <f>IF(Table1_14[[#This Row],[Registered]] = 0, "ABSENT_BASE", IF(Table1_14[[#This Row],[Registered]]&lt;100, "SMALL_BASE", "VALID_BASE"))</f>
        <v>VALID_BASE</v>
      </c>
      <c r="L61" t="str">
        <f>IF(Table1_14[[#This Row],[Registered]]=0, "ABSENT", IF(Table1_14[[#This Row],[Appearance Rate]]&lt;0.98, "LOW_RATE", IF(AND(Table1_14[[#This Row],[Appearance Rate]]=1, Table1_14[[#This Row],[Registered]]&lt;100), "SUSPICIOUS_PERFECTION", "NORMAL")))</f>
        <v>NORMAL</v>
      </c>
      <c r="M61" s="8">
        <f>Table1_14[[#This Row],[Registered]]/SUM(Table1_14[Registered])</f>
        <v>4.2194386082455241E-3</v>
      </c>
    </row>
    <row r="62" spans="1:13" x14ac:dyDescent="0.3">
      <c r="A62">
        <v>12</v>
      </c>
      <c r="B62">
        <v>2022</v>
      </c>
      <c r="C62" t="s">
        <v>22</v>
      </c>
      <c r="D62" t="s">
        <v>4</v>
      </c>
      <c r="E62">
        <v>0</v>
      </c>
      <c r="F62">
        <v>0</v>
      </c>
      <c r="I62" t="s">
        <v>35</v>
      </c>
      <c r="J62" t="str">
        <f>IF(Table1_14[[#This Row],[Registered]] = 0, "ABSENT", "NON_ZERO")</f>
        <v>ABSENT</v>
      </c>
      <c r="K62" t="str">
        <f>IF(Table1_14[[#This Row],[Registered]] = 0, "ABSENT_BASE", IF(Table1_14[[#This Row],[Registered]]&lt;100, "SMALL_BASE", "VALID_BASE"))</f>
        <v>ABSENT_BASE</v>
      </c>
      <c r="L62" t="str">
        <f>IF(Table1_14[[#This Row],[Registered]]=0, "ABSENT", IF(Table1_14[[#This Row],[Appearance Rate]]&lt;0.98, "LOW_RATE", IF(AND(Table1_14[[#This Row],[Appearance Rate]]=1, Table1_14[[#This Row],[Registered]]&lt;100), "SUSPICIOUS_PERFECTION", "NORMAL")))</f>
        <v>ABSENT</v>
      </c>
      <c r="M62" s="8">
        <f>Table1_14[[#This Row],[Registered]]/SUM(Table1_14[Registered])</f>
        <v>0</v>
      </c>
    </row>
    <row r="63" spans="1:13" x14ac:dyDescent="0.3">
      <c r="A63">
        <v>12</v>
      </c>
      <c r="B63">
        <v>2022</v>
      </c>
      <c r="C63" t="s">
        <v>22</v>
      </c>
      <c r="D63" t="s">
        <v>5</v>
      </c>
      <c r="E63">
        <v>278</v>
      </c>
      <c r="F63">
        <v>272</v>
      </c>
      <c r="G63">
        <v>0.97841726618705038</v>
      </c>
      <c r="H63">
        <v>2.1582733812949617E-2</v>
      </c>
      <c r="J63" t="str">
        <f>IF(Table1_14[[#This Row],[Registered]] = 0, "ABSENT", "NON_ZERO")</f>
        <v>NON_ZERO</v>
      </c>
      <c r="K63" t="str">
        <f>IF(Table1_14[[#This Row],[Registered]] = 0, "ABSENT_BASE", IF(Table1_14[[#This Row],[Registered]]&lt;100, "SMALL_BASE", "VALID_BASE"))</f>
        <v>VALID_BASE</v>
      </c>
      <c r="L63" t="str">
        <f>IF(Table1_14[[#This Row],[Registered]]=0, "ABSENT", IF(Table1_14[[#This Row],[Appearance Rate]]&lt;0.98, "LOW_RATE", IF(AND(Table1_14[[#This Row],[Appearance Rate]]=1, Table1_14[[#This Row],[Registered]]&lt;100), "SUSPICIOUS_PERFECTION", "NORMAL")))</f>
        <v>LOW_RATE</v>
      </c>
      <c r="M63" s="8">
        <f>Table1_14[[#This Row],[Registered]]/SUM(Table1_14[Registered])</f>
        <v>1.9321428645894509E-4</v>
      </c>
    </row>
    <row r="64" spans="1:13" x14ac:dyDescent="0.3">
      <c r="A64">
        <v>12</v>
      </c>
      <c r="B64">
        <v>2022</v>
      </c>
      <c r="C64" t="s">
        <v>22</v>
      </c>
      <c r="D64" t="s">
        <v>6</v>
      </c>
      <c r="E64">
        <v>921</v>
      </c>
      <c r="F64">
        <v>920</v>
      </c>
      <c r="G64">
        <v>0.998914223669924</v>
      </c>
      <c r="H64">
        <v>1.0857763300760048E-3</v>
      </c>
      <c r="J64" t="str">
        <f>IF(Table1_14[[#This Row],[Registered]] = 0, "ABSENT", "NON_ZERO")</f>
        <v>NON_ZERO</v>
      </c>
      <c r="K64" t="str">
        <f>IF(Table1_14[[#This Row],[Registered]] = 0, "ABSENT_BASE", IF(Table1_14[[#This Row],[Registered]]&lt;100, "SMALL_BASE", "VALID_BASE"))</f>
        <v>VALID_BASE</v>
      </c>
      <c r="L64" t="str">
        <f>IF(Table1_14[[#This Row],[Registered]]=0, "ABSENT", IF(Table1_14[[#This Row],[Appearance Rate]]&lt;0.98, "LOW_RATE", IF(AND(Table1_14[[#This Row],[Appearance Rate]]=1, Table1_14[[#This Row],[Registered]]&lt;100), "SUSPICIOUS_PERFECTION", "NORMAL")))</f>
        <v>NORMAL</v>
      </c>
      <c r="M64" s="8">
        <f>Table1_14[[#This Row],[Registered]]/SUM(Table1_14[Registered])</f>
        <v>6.4010920082262029E-4</v>
      </c>
    </row>
    <row r="65" spans="1:13" x14ac:dyDescent="0.3">
      <c r="A65">
        <v>12</v>
      </c>
      <c r="B65">
        <v>2022</v>
      </c>
      <c r="C65" t="s">
        <v>22</v>
      </c>
      <c r="D65" t="s">
        <v>7</v>
      </c>
      <c r="E65">
        <v>100688</v>
      </c>
      <c r="F65">
        <v>99746</v>
      </c>
      <c r="G65">
        <v>0.99064436675671386</v>
      </c>
      <c r="H65">
        <v>9.3556332432861433E-3</v>
      </c>
      <c r="J65" t="str">
        <f>IF(Table1_14[[#This Row],[Registered]] = 0, "ABSENT", "NON_ZERO")</f>
        <v>NON_ZERO</v>
      </c>
      <c r="K65" t="str">
        <f>IF(Table1_14[[#This Row],[Registered]] = 0, "ABSENT_BASE", IF(Table1_14[[#This Row],[Registered]]&lt;100, "SMALL_BASE", "VALID_BASE"))</f>
        <v>VALID_BASE</v>
      </c>
      <c r="L65" t="str">
        <f>IF(Table1_14[[#This Row],[Registered]]=0, "ABSENT", IF(Table1_14[[#This Row],[Appearance Rate]]&lt;0.98, "LOW_RATE", IF(AND(Table1_14[[#This Row],[Appearance Rate]]=1, Table1_14[[#This Row],[Registered]]&lt;100), "SUSPICIOUS_PERFECTION", "NORMAL")))</f>
        <v>NORMAL</v>
      </c>
      <c r="M65" s="8">
        <f>Table1_14[[#This Row],[Registered]]/SUM(Table1_14[Registered])</f>
        <v>6.9979712499921812E-2</v>
      </c>
    </row>
    <row r="66" spans="1:13" x14ac:dyDescent="0.3">
      <c r="A66">
        <v>12</v>
      </c>
      <c r="B66">
        <v>2022</v>
      </c>
      <c r="C66" t="s">
        <v>22</v>
      </c>
      <c r="D66" t="s">
        <v>8</v>
      </c>
      <c r="E66">
        <v>1069</v>
      </c>
      <c r="F66">
        <v>1060</v>
      </c>
      <c r="G66">
        <v>0.99158091674462112</v>
      </c>
      <c r="H66">
        <v>8.4190832553788786E-3</v>
      </c>
      <c r="J66" t="str">
        <f>IF(Table1_14[[#This Row],[Registered]] = 0, "ABSENT", "NON_ZERO")</f>
        <v>NON_ZERO</v>
      </c>
      <c r="K66" t="str">
        <f>IF(Table1_14[[#This Row],[Registered]] = 0, "ABSENT_BASE", IF(Table1_14[[#This Row],[Registered]]&lt;100, "SMALL_BASE", "VALID_BASE"))</f>
        <v>VALID_BASE</v>
      </c>
      <c r="L66" t="str">
        <f>IF(Table1_14[[#This Row],[Registered]]=0, "ABSENT", IF(Table1_14[[#This Row],[Appearance Rate]]&lt;0.98, "LOW_RATE", IF(AND(Table1_14[[#This Row],[Appearance Rate]]=1, Table1_14[[#This Row],[Registered]]&lt;100), "SUSPICIOUS_PERFECTION", "NORMAL")))</f>
        <v>NORMAL</v>
      </c>
      <c r="M66" s="8">
        <f>Table1_14[[#This Row],[Registered]]/SUM(Table1_14[Registered])</f>
        <v>7.4297148282234638E-4</v>
      </c>
    </row>
    <row r="67" spans="1:13" x14ac:dyDescent="0.3">
      <c r="A67">
        <v>12</v>
      </c>
      <c r="B67">
        <v>2022</v>
      </c>
      <c r="C67" t="s">
        <v>22</v>
      </c>
      <c r="D67" t="s">
        <v>9</v>
      </c>
      <c r="E67">
        <v>4480</v>
      </c>
      <c r="F67">
        <v>4471</v>
      </c>
      <c r="G67">
        <v>0.99799107142857146</v>
      </c>
      <c r="H67">
        <v>2.0089285714285365E-3</v>
      </c>
      <c r="J67" t="str">
        <f>IF(Table1_14[[#This Row],[Registered]] = 0, "ABSENT", "NON_ZERO")</f>
        <v>NON_ZERO</v>
      </c>
      <c r="K67" t="str">
        <f>IF(Table1_14[[#This Row],[Registered]] = 0, "ABSENT_BASE", IF(Table1_14[[#This Row],[Registered]]&lt;100, "SMALL_BASE", "VALID_BASE"))</f>
        <v>VALID_BASE</v>
      </c>
      <c r="L67" t="str">
        <f>IF(Table1_14[[#This Row],[Registered]]=0, "ABSENT", IF(Table1_14[[#This Row],[Appearance Rate]]&lt;0.98, "LOW_RATE", IF(AND(Table1_14[[#This Row],[Appearance Rate]]=1, Table1_14[[#This Row],[Registered]]&lt;100), "SUSPICIOUS_PERFECTION", "NORMAL")))</f>
        <v>NORMAL</v>
      </c>
      <c r="M67" s="8">
        <f>Table1_14[[#This Row],[Registered]]/SUM(Table1_14[Registered])</f>
        <v>3.1136690767484677E-3</v>
      </c>
    </row>
    <row r="68" spans="1:13" x14ac:dyDescent="0.3">
      <c r="A68">
        <v>12</v>
      </c>
      <c r="B68">
        <v>2022</v>
      </c>
      <c r="C68" t="s">
        <v>18</v>
      </c>
      <c r="D68" t="s">
        <v>4</v>
      </c>
      <c r="E68">
        <v>38</v>
      </c>
      <c r="F68">
        <v>38</v>
      </c>
      <c r="G68">
        <v>1</v>
      </c>
      <c r="H68">
        <v>0</v>
      </c>
      <c r="J68" t="str">
        <f>IF(Table1_14[[#This Row],[Registered]] = 0, "ABSENT", "NON_ZERO")</f>
        <v>NON_ZERO</v>
      </c>
      <c r="K68" t="str">
        <f>IF(Table1_14[[#This Row],[Registered]] = 0, "ABSENT_BASE", IF(Table1_14[[#This Row],[Registered]]&lt;100, "SMALL_BASE", "VALID_BASE"))</f>
        <v>SMALL_BASE</v>
      </c>
      <c r="L68" t="str">
        <f>IF(Table1_14[[#This Row],[Registered]]=0, "ABSENT", IF(Table1_14[[#This Row],[Appearance Rate]]&lt;0.98, "LOW_RATE", IF(AND(Table1_14[[#This Row],[Appearance Rate]]=1, Table1_14[[#This Row],[Registered]]&lt;100), "SUSPICIOUS_PERFECTION", "NORMAL")))</f>
        <v>SUSPICIOUS_PERFECTION</v>
      </c>
      <c r="M68" s="8">
        <f>Table1_14[[#This Row],[Registered]]/SUM(Table1_14[Registered])</f>
        <v>2.6410585918848608E-5</v>
      </c>
    </row>
    <row r="69" spans="1:13" x14ac:dyDescent="0.3">
      <c r="A69">
        <v>12</v>
      </c>
      <c r="B69">
        <v>2022</v>
      </c>
      <c r="C69" t="s">
        <v>18</v>
      </c>
      <c r="D69" t="s">
        <v>5</v>
      </c>
      <c r="E69">
        <v>357</v>
      </c>
      <c r="F69">
        <v>357</v>
      </c>
      <c r="G69">
        <v>1</v>
      </c>
      <c r="H69">
        <v>0</v>
      </c>
      <c r="J69" t="str">
        <f>IF(Table1_14[[#This Row],[Registered]] = 0, "ABSENT", "NON_ZERO")</f>
        <v>NON_ZERO</v>
      </c>
      <c r="K69" t="str">
        <f>IF(Table1_14[[#This Row],[Registered]] = 0, "ABSENT_BASE", IF(Table1_14[[#This Row],[Registered]]&lt;100, "SMALL_BASE", "VALID_BASE"))</f>
        <v>VALID_BASE</v>
      </c>
      <c r="L69" t="str">
        <f>IF(Table1_14[[#This Row],[Registered]]=0, "ABSENT", IF(Table1_14[[#This Row],[Appearance Rate]]&lt;0.98, "LOW_RATE", IF(AND(Table1_14[[#This Row],[Appearance Rate]]=1, Table1_14[[#This Row],[Registered]]&lt;100), "SUSPICIOUS_PERFECTION", "NORMAL")))</f>
        <v>NORMAL</v>
      </c>
      <c r="M69" s="8">
        <f>Table1_14[[#This Row],[Registered]]/SUM(Table1_14[Registered])</f>
        <v>2.4812050455339353E-4</v>
      </c>
    </row>
    <row r="70" spans="1:13" x14ac:dyDescent="0.3">
      <c r="A70">
        <v>12</v>
      </c>
      <c r="B70">
        <v>2022</v>
      </c>
      <c r="C70" t="s">
        <v>18</v>
      </c>
      <c r="D70" t="s">
        <v>6</v>
      </c>
      <c r="E70">
        <v>0</v>
      </c>
      <c r="F70">
        <v>0</v>
      </c>
      <c r="I70" t="s">
        <v>35</v>
      </c>
      <c r="J70" t="str">
        <f>IF(Table1_14[[#This Row],[Registered]] = 0, "ABSENT", "NON_ZERO")</f>
        <v>ABSENT</v>
      </c>
      <c r="K70" t="str">
        <f>IF(Table1_14[[#This Row],[Registered]] = 0, "ABSENT_BASE", IF(Table1_14[[#This Row],[Registered]]&lt;100, "SMALL_BASE", "VALID_BASE"))</f>
        <v>ABSENT_BASE</v>
      </c>
      <c r="L70" t="str">
        <f>IF(Table1_14[[#This Row],[Registered]]=0, "ABSENT", IF(Table1_14[[#This Row],[Appearance Rate]]&lt;0.98, "LOW_RATE", IF(AND(Table1_14[[#This Row],[Appearance Rate]]=1, Table1_14[[#This Row],[Registered]]&lt;100), "SUSPICIOUS_PERFECTION", "NORMAL")))</f>
        <v>ABSENT</v>
      </c>
      <c r="M70" s="8">
        <f>Table1_14[[#This Row],[Registered]]/SUM(Table1_14[Registered])</f>
        <v>0</v>
      </c>
    </row>
    <row r="71" spans="1:13" x14ac:dyDescent="0.3">
      <c r="A71">
        <v>12</v>
      </c>
      <c r="B71">
        <v>2022</v>
      </c>
      <c r="C71" t="s">
        <v>18</v>
      </c>
      <c r="D71" t="s">
        <v>7</v>
      </c>
      <c r="E71">
        <v>118675</v>
      </c>
      <c r="F71">
        <v>118046</v>
      </c>
      <c r="G71">
        <v>0.99469981040657263</v>
      </c>
      <c r="H71">
        <v>5.3001895934273735E-3</v>
      </c>
      <c r="J71" t="str">
        <f>IF(Table1_14[[#This Row],[Registered]] = 0, "ABSENT", "NON_ZERO")</f>
        <v>NON_ZERO</v>
      </c>
      <c r="K71" t="str">
        <f>IF(Table1_14[[#This Row],[Registered]] = 0, "ABSENT_BASE", IF(Table1_14[[#This Row],[Registered]]&lt;100, "SMALL_BASE", "VALID_BASE"))</f>
        <v>VALID_BASE</v>
      </c>
      <c r="L71" t="str">
        <f>IF(Table1_14[[#This Row],[Registered]]=0, "ABSENT", IF(Table1_14[[#This Row],[Appearance Rate]]&lt;0.98, "LOW_RATE", IF(AND(Table1_14[[#This Row],[Appearance Rate]]=1, Table1_14[[#This Row],[Registered]]&lt;100), "SUSPICIOUS_PERFECTION", "NORMAL")))</f>
        <v>NORMAL</v>
      </c>
      <c r="M71" s="8">
        <f>Table1_14[[#This Row],[Registered]]/SUM(Table1_14[Registered])</f>
        <v>8.248095483998312E-2</v>
      </c>
    </row>
    <row r="72" spans="1:13" x14ac:dyDescent="0.3">
      <c r="A72">
        <v>12</v>
      </c>
      <c r="B72">
        <v>2022</v>
      </c>
      <c r="C72" t="s">
        <v>18</v>
      </c>
      <c r="D72" t="s">
        <v>8</v>
      </c>
      <c r="E72">
        <v>2231</v>
      </c>
      <c r="F72">
        <v>2225</v>
      </c>
      <c r="G72">
        <v>0.99731062303899598</v>
      </c>
      <c r="H72">
        <v>2.6893769610040197E-3</v>
      </c>
      <c r="J72" t="str">
        <f>IF(Table1_14[[#This Row],[Registered]] = 0, "ABSENT", "NON_ZERO")</f>
        <v>NON_ZERO</v>
      </c>
      <c r="K72" t="str">
        <f>IF(Table1_14[[#This Row],[Registered]] = 0, "ABSENT_BASE", IF(Table1_14[[#This Row],[Registered]]&lt;100, "SMALL_BASE", "VALID_BASE"))</f>
        <v>VALID_BASE</v>
      </c>
      <c r="L72" t="str">
        <f>IF(Table1_14[[#This Row],[Registered]]=0, "ABSENT", IF(Table1_14[[#This Row],[Appearance Rate]]&lt;0.98, "LOW_RATE", IF(AND(Table1_14[[#This Row],[Appearance Rate]]=1, Table1_14[[#This Row],[Registered]]&lt;100), "SUSPICIOUS_PERFECTION", "NORMAL")))</f>
        <v>NORMAL</v>
      </c>
      <c r="M72" s="8">
        <f>Table1_14[[#This Row],[Registered]]/SUM(Table1_14[Registered])</f>
        <v>1.5505793996039802E-3</v>
      </c>
    </row>
    <row r="73" spans="1:13" x14ac:dyDescent="0.3">
      <c r="A73">
        <v>12</v>
      </c>
      <c r="B73">
        <v>2022</v>
      </c>
      <c r="C73" t="s">
        <v>18</v>
      </c>
      <c r="D73" t="s">
        <v>9</v>
      </c>
      <c r="E73">
        <v>3615</v>
      </c>
      <c r="F73">
        <v>3607</v>
      </c>
      <c r="G73">
        <v>0.99778699861687414</v>
      </c>
      <c r="H73">
        <v>2.2130013831258566E-3</v>
      </c>
      <c r="J73" t="str">
        <f>IF(Table1_14[[#This Row],[Registered]] = 0, "ABSENT", "NON_ZERO")</f>
        <v>NON_ZERO</v>
      </c>
      <c r="K73" t="str">
        <f>IF(Table1_14[[#This Row],[Registered]] = 0, "ABSENT_BASE", IF(Table1_14[[#This Row],[Registered]]&lt;100, "SMALL_BASE", "VALID_BASE"))</f>
        <v>VALID_BASE</v>
      </c>
      <c r="L73" t="str">
        <f>IF(Table1_14[[#This Row],[Registered]]=0, "ABSENT", IF(Table1_14[[#This Row],[Appearance Rate]]&lt;0.98, "LOW_RATE", IF(AND(Table1_14[[#This Row],[Appearance Rate]]=1, Table1_14[[#This Row],[Registered]]&lt;100), "SUSPICIOUS_PERFECTION", "NORMAL")))</f>
        <v>NORMAL</v>
      </c>
      <c r="M73" s="8">
        <f>Table1_14[[#This Row],[Registered]]/SUM(Table1_14[Registered])</f>
        <v>2.5124807393852033E-3</v>
      </c>
    </row>
    <row r="74" spans="1:13" x14ac:dyDescent="0.3">
      <c r="A74">
        <v>12</v>
      </c>
      <c r="B74">
        <v>2022</v>
      </c>
      <c r="C74" t="s">
        <v>23</v>
      </c>
      <c r="D74" t="s">
        <v>4</v>
      </c>
      <c r="E74">
        <v>0</v>
      </c>
      <c r="F74">
        <v>0</v>
      </c>
      <c r="I74" t="s">
        <v>35</v>
      </c>
      <c r="J74" t="str">
        <f>IF(Table1_14[[#This Row],[Registered]] = 0, "ABSENT", "NON_ZERO")</f>
        <v>ABSENT</v>
      </c>
      <c r="K74" t="str">
        <f>IF(Table1_14[[#This Row],[Registered]] = 0, "ABSENT_BASE", IF(Table1_14[[#This Row],[Registered]]&lt;100, "SMALL_BASE", "VALID_BASE"))</f>
        <v>ABSENT_BASE</v>
      </c>
      <c r="L74" t="str">
        <f>IF(Table1_14[[#This Row],[Registered]]=0, "ABSENT", IF(Table1_14[[#This Row],[Appearance Rate]]&lt;0.98, "LOW_RATE", IF(AND(Table1_14[[#This Row],[Appearance Rate]]=1, Table1_14[[#This Row],[Registered]]&lt;100), "SUSPICIOUS_PERFECTION", "NORMAL")))</f>
        <v>ABSENT</v>
      </c>
      <c r="M74" s="8">
        <f>Table1_14[[#This Row],[Registered]]/SUM(Table1_14[Registered])</f>
        <v>0</v>
      </c>
    </row>
    <row r="75" spans="1:13" x14ac:dyDescent="0.3">
      <c r="A75">
        <v>12</v>
      </c>
      <c r="B75">
        <v>2022</v>
      </c>
      <c r="C75" t="s">
        <v>23</v>
      </c>
      <c r="D75" t="s">
        <v>5</v>
      </c>
      <c r="E75">
        <v>84</v>
      </c>
      <c r="F75">
        <v>83</v>
      </c>
      <c r="G75">
        <v>0.98809523809523814</v>
      </c>
      <c r="H75">
        <v>1.1904761904761862E-2</v>
      </c>
      <c r="J75" t="str">
        <f>IF(Table1_14[[#This Row],[Registered]] = 0, "ABSENT", "NON_ZERO")</f>
        <v>NON_ZERO</v>
      </c>
      <c r="K75" t="str">
        <f>IF(Table1_14[[#This Row],[Registered]] = 0, "ABSENT_BASE", IF(Table1_14[[#This Row],[Registered]]&lt;100, "SMALL_BASE", "VALID_BASE"))</f>
        <v>SMALL_BASE</v>
      </c>
      <c r="L75" t="str">
        <f>IF(Table1_14[[#This Row],[Registered]]=0, "ABSENT", IF(Table1_14[[#This Row],[Appearance Rate]]&lt;0.98, "LOW_RATE", IF(AND(Table1_14[[#This Row],[Appearance Rate]]=1, Table1_14[[#This Row],[Registered]]&lt;100), "SUSPICIOUS_PERFECTION", "NORMAL")))</f>
        <v>NORMAL</v>
      </c>
      <c r="M75" s="8">
        <f>Table1_14[[#This Row],[Registered]]/SUM(Table1_14[Registered])</f>
        <v>5.8381295189033768E-5</v>
      </c>
    </row>
    <row r="76" spans="1:13" x14ac:dyDescent="0.3">
      <c r="A76">
        <v>12</v>
      </c>
      <c r="B76">
        <v>2022</v>
      </c>
      <c r="C76" t="s">
        <v>23</v>
      </c>
      <c r="D76" t="s">
        <v>6</v>
      </c>
      <c r="E76">
        <v>0</v>
      </c>
      <c r="F76">
        <v>0</v>
      </c>
      <c r="I76" t="s">
        <v>35</v>
      </c>
      <c r="J76" t="str">
        <f>IF(Table1_14[[#This Row],[Registered]] = 0, "ABSENT", "NON_ZERO")</f>
        <v>ABSENT</v>
      </c>
      <c r="K76" t="str">
        <f>IF(Table1_14[[#This Row],[Registered]] = 0, "ABSENT_BASE", IF(Table1_14[[#This Row],[Registered]]&lt;100, "SMALL_BASE", "VALID_BASE"))</f>
        <v>ABSENT_BASE</v>
      </c>
      <c r="L76" t="str">
        <f>IF(Table1_14[[#This Row],[Registered]]=0, "ABSENT", IF(Table1_14[[#This Row],[Appearance Rate]]&lt;0.98, "LOW_RATE", IF(AND(Table1_14[[#This Row],[Appearance Rate]]=1, Table1_14[[#This Row],[Registered]]&lt;100), "SUSPICIOUS_PERFECTION", "NORMAL")))</f>
        <v>ABSENT</v>
      </c>
      <c r="M76" s="8">
        <f>Table1_14[[#This Row],[Registered]]/SUM(Table1_14[Registered])</f>
        <v>0</v>
      </c>
    </row>
    <row r="77" spans="1:13" x14ac:dyDescent="0.3">
      <c r="A77">
        <v>12</v>
      </c>
      <c r="B77">
        <v>2022</v>
      </c>
      <c r="C77" t="s">
        <v>23</v>
      </c>
      <c r="D77" t="s">
        <v>7</v>
      </c>
      <c r="E77">
        <v>84716</v>
      </c>
      <c r="F77">
        <v>83962</v>
      </c>
      <c r="G77">
        <v>0.99109967420558098</v>
      </c>
      <c r="H77">
        <v>8.9003257944190173E-3</v>
      </c>
      <c r="J77" t="str">
        <f>IF(Table1_14[[#This Row],[Registered]] = 0, "ABSENT", "NON_ZERO")</f>
        <v>NON_ZERO</v>
      </c>
      <c r="K77" t="str">
        <f>IF(Table1_14[[#This Row],[Registered]] = 0, "ABSENT_BASE", IF(Table1_14[[#This Row],[Registered]]&lt;100, "SMALL_BASE", "VALID_BASE"))</f>
        <v>VALID_BASE</v>
      </c>
      <c r="L77" t="str">
        <f>IF(Table1_14[[#This Row],[Registered]]=0, "ABSENT", IF(Table1_14[[#This Row],[Appearance Rate]]&lt;0.98, "LOW_RATE", IF(AND(Table1_14[[#This Row],[Appearance Rate]]=1, Table1_14[[#This Row],[Registered]]&lt;100), "SUSPICIOUS_PERFECTION", "NORMAL")))</f>
        <v>NORMAL</v>
      </c>
      <c r="M77" s="8">
        <f>Table1_14[[#This Row],[Registered]]/SUM(Table1_14[Registered])</f>
        <v>5.887892622897839E-2</v>
      </c>
    </row>
    <row r="78" spans="1:13" x14ac:dyDescent="0.3">
      <c r="A78">
        <v>12</v>
      </c>
      <c r="B78">
        <v>2022</v>
      </c>
      <c r="C78" t="s">
        <v>23</v>
      </c>
      <c r="D78" t="s">
        <v>8</v>
      </c>
      <c r="E78">
        <v>3714</v>
      </c>
      <c r="F78">
        <v>3669</v>
      </c>
      <c r="G78">
        <v>0.98788368336025845</v>
      </c>
      <c r="H78">
        <v>1.2116316639741553E-2</v>
      </c>
      <c r="J78" t="str">
        <f>IF(Table1_14[[#This Row],[Registered]] = 0, "ABSENT", "NON_ZERO")</f>
        <v>NON_ZERO</v>
      </c>
      <c r="K78" t="str">
        <f>IF(Table1_14[[#This Row],[Registered]] = 0, "ABSENT_BASE", IF(Table1_14[[#This Row],[Registered]]&lt;100, "SMALL_BASE", "VALID_BASE"))</f>
        <v>VALID_BASE</v>
      </c>
      <c r="L78" t="str">
        <f>IF(Table1_14[[#This Row],[Registered]]=0, "ABSENT", IF(Table1_14[[#This Row],[Appearance Rate]]&lt;0.98, "LOW_RATE", IF(AND(Table1_14[[#This Row],[Appearance Rate]]=1, Table1_14[[#This Row],[Registered]]&lt;100), "SUSPICIOUS_PERFECTION", "NORMAL")))</f>
        <v>NORMAL</v>
      </c>
      <c r="M78" s="8">
        <f>Table1_14[[#This Row],[Registered]]/SUM(Table1_14[Registered])</f>
        <v>2.581287265857993E-3</v>
      </c>
    </row>
    <row r="79" spans="1:13" x14ac:dyDescent="0.3">
      <c r="A79">
        <v>12</v>
      </c>
      <c r="B79">
        <v>2022</v>
      </c>
      <c r="C79" t="s">
        <v>23</v>
      </c>
      <c r="D79" t="s">
        <v>9</v>
      </c>
      <c r="E79">
        <v>5409</v>
      </c>
      <c r="F79">
        <v>5398</v>
      </c>
      <c r="G79">
        <v>0.99796635237567022</v>
      </c>
      <c r="H79">
        <v>2.0336476243297819E-3</v>
      </c>
      <c r="J79" t="str">
        <f>IF(Table1_14[[#This Row],[Registered]] = 0, "ABSENT", "NON_ZERO")</f>
        <v>NON_ZERO</v>
      </c>
      <c r="K79" t="str">
        <f>IF(Table1_14[[#This Row],[Registered]] = 0, "ABSENT_BASE", IF(Table1_14[[#This Row],[Registered]]&lt;100, "SMALL_BASE", "VALID_BASE"))</f>
        <v>VALID_BASE</v>
      </c>
      <c r="L79" t="str">
        <f>IF(Table1_14[[#This Row],[Registered]]=0, "ABSENT", IF(Table1_14[[#This Row],[Appearance Rate]]&lt;0.98, "LOW_RATE", IF(AND(Table1_14[[#This Row],[Appearance Rate]]=1, Table1_14[[#This Row],[Registered]]&lt;100), "SUSPICIOUS_PERFECTION", "NORMAL")))</f>
        <v>NORMAL</v>
      </c>
      <c r="M79" s="8">
        <f>Table1_14[[#This Row],[Registered]]/SUM(Table1_14[Registered])</f>
        <v>3.7593384009224243E-3</v>
      </c>
    </row>
    <row r="80" spans="1:13" x14ac:dyDescent="0.3">
      <c r="A80">
        <v>12</v>
      </c>
      <c r="B80">
        <v>2022</v>
      </c>
      <c r="C80" t="s">
        <v>24</v>
      </c>
      <c r="D80" t="s">
        <v>4</v>
      </c>
      <c r="E80">
        <v>0</v>
      </c>
      <c r="F80">
        <v>0</v>
      </c>
      <c r="I80" t="s">
        <v>35</v>
      </c>
      <c r="J80" t="str">
        <f>IF(Table1_14[[#This Row],[Registered]] = 0, "ABSENT", "NON_ZERO")</f>
        <v>ABSENT</v>
      </c>
      <c r="K80" t="str">
        <f>IF(Table1_14[[#This Row],[Registered]] = 0, "ABSENT_BASE", IF(Table1_14[[#This Row],[Registered]]&lt;100, "SMALL_BASE", "VALID_BASE"))</f>
        <v>ABSENT_BASE</v>
      </c>
      <c r="L80" t="str">
        <f>IF(Table1_14[[#This Row],[Registered]]=0, "ABSENT", IF(Table1_14[[#This Row],[Appearance Rate]]&lt;0.98, "LOW_RATE", IF(AND(Table1_14[[#This Row],[Appearance Rate]]=1, Table1_14[[#This Row],[Registered]]&lt;100), "SUSPICIOUS_PERFECTION", "NORMAL")))</f>
        <v>ABSENT</v>
      </c>
      <c r="M80" s="8">
        <f>Table1_14[[#This Row],[Registered]]/SUM(Table1_14[Registered])</f>
        <v>0</v>
      </c>
    </row>
    <row r="81" spans="1:13" x14ac:dyDescent="0.3">
      <c r="A81">
        <v>12</v>
      </c>
      <c r="B81">
        <v>2022</v>
      </c>
      <c r="C81" t="s">
        <v>24</v>
      </c>
      <c r="D81" t="s">
        <v>5</v>
      </c>
      <c r="E81">
        <v>1336</v>
      </c>
      <c r="F81">
        <v>1272</v>
      </c>
      <c r="G81">
        <v>0.95209580838323349</v>
      </c>
      <c r="H81">
        <v>4.7904191616766512E-2</v>
      </c>
      <c r="J81" t="str">
        <f>IF(Table1_14[[#This Row],[Registered]] = 0, "ABSENT", "NON_ZERO")</f>
        <v>NON_ZERO</v>
      </c>
      <c r="K81" t="str">
        <f>IF(Table1_14[[#This Row],[Registered]] = 0, "ABSENT_BASE", IF(Table1_14[[#This Row],[Registered]]&lt;100, "SMALL_BASE", "VALID_BASE"))</f>
        <v>VALID_BASE</v>
      </c>
      <c r="L81" t="str">
        <f>IF(Table1_14[[#This Row],[Registered]]=0, "ABSENT", IF(Table1_14[[#This Row],[Appearance Rate]]&lt;0.98, "LOW_RATE", IF(AND(Table1_14[[#This Row],[Appearance Rate]]=1, Table1_14[[#This Row],[Registered]]&lt;100), "SUSPICIOUS_PERFECTION", "NORMAL")))</f>
        <v>LOW_RATE</v>
      </c>
      <c r="M81" s="8">
        <f>Table1_14[[#This Row],[Registered]]/SUM(Table1_14[Registered])</f>
        <v>9.2854059967320372E-4</v>
      </c>
    </row>
    <row r="82" spans="1:13" x14ac:dyDescent="0.3">
      <c r="A82">
        <v>12</v>
      </c>
      <c r="B82">
        <v>2022</v>
      </c>
      <c r="C82" t="s">
        <v>24</v>
      </c>
      <c r="D82" t="s">
        <v>6</v>
      </c>
      <c r="E82">
        <v>0</v>
      </c>
      <c r="F82">
        <v>0</v>
      </c>
      <c r="I82" t="s">
        <v>35</v>
      </c>
      <c r="J82" t="str">
        <f>IF(Table1_14[[#This Row],[Registered]] = 0, "ABSENT", "NON_ZERO")</f>
        <v>ABSENT</v>
      </c>
      <c r="K82" t="str">
        <f>IF(Table1_14[[#This Row],[Registered]] = 0, "ABSENT_BASE", IF(Table1_14[[#This Row],[Registered]]&lt;100, "SMALL_BASE", "VALID_BASE"))</f>
        <v>ABSENT_BASE</v>
      </c>
      <c r="L82" t="str">
        <f>IF(Table1_14[[#This Row],[Registered]]=0, "ABSENT", IF(Table1_14[[#This Row],[Appearance Rate]]&lt;0.98, "LOW_RATE", IF(AND(Table1_14[[#This Row],[Appearance Rate]]=1, Table1_14[[#This Row],[Registered]]&lt;100), "SUSPICIOUS_PERFECTION", "NORMAL")))</f>
        <v>ABSENT</v>
      </c>
      <c r="M82" s="8">
        <f>Table1_14[[#This Row],[Registered]]/SUM(Table1_14[Registered])</f>
        <v>0</v>
      </c>
    </row>
    <row r="83" spans="1:13" x14ac:dyDescent="0.3">
      <c r="A83">
        <v>12</v>
      </c>
      <c r="B83">
        <v>2022</v>
      </c>
      <c r="C83" t="s">
        <v>24</v>
      </c>
      <c r="D83" t="s">
        <v>7</v>
      </c>
      <c r="E83">
        <v>131729</v>
      </c>
      <c r="F83">
        <v>130263</v>
      </c>
      <c r="G83">
        <v>0.98887109140735907</v>
      </c>
      <c r="H83">
        <v>1.1128908592640929E-2</v>
      </c>
      <c r="J83" t="str">
        <f>IF(Table1_14[[#This Row],[Registered]] = 0, "ABSENT", "NON_ZERO")</f>
        <v>NON_ZERO</v>
      </c>
      <c r="K83" t="str">
        <f>IF(Table1_14[[#This Row],[Registered]] = 0, "ABSENT_BASE", IF(Table1_14[[#This Row],[Registered]]&lt;100, "SMALL_BASE", "VALID_BASE"))</f>
        <v>VALID_BASE</v>
      </c>
      <c r="L83" t="str">
        <f>IF(Table1_14[[#This Row],[Registered]]=0, "ABSENT", IF(Table1_14[[#This Row],[Appearance Rate]]&lt;0.98, "LOW_RATE", IF(AND(Table1_14[[#This Row],[Appearance Rate]]=1, Table1_14[[#This Row],[Registered]]&lt;100), "SUSPICIOUS_PERFECTION", "NORMAL")))</f>
        <v>NORMAL</v>
      </c>
      <c r="M83" s="8">
        <f>Table1_14[[#This Row],[Registered]]/SUM(Table1_14[Registered])</f>
        <v>9.1553686118526545E-2</v>
      </c>
    </row>
    <row r="84" spans="1:13" x14ac:dyDescent="0.3">
      <c r="A84">
        <v>12</v>
      </c>
      <c r="B84">
        <v>2022</v>
      </c>
      <c r="C84" t="s">
        <v>24</v>
      </c>
      <c r="D84" t="s">
        <v>8</v>
      </c>
      <c r="E84">
        <v>3184</v>
      </c>
      <c r="F84">
        <v>3152</v>
      </c>
      <c r="G84">
        <v>0.98994974874371855</v>
      </c>
      <c r="H84">
        <v>1.0050251256281451E-2</v>
      </c>
      <c r="J84" t="str">
        <f>IF(Table1_14[[#This Row],[Registered]] = 0, "ABSENT", "NON_ZERO")</f>
        <v>NON_ZERO</v>
      </c>
      <c r="K84" t="str">
        <f>IF(Table1_14[[#This Row],[Registered]] = 0, "ABSENT_BASE", IF(Table1_14[[#This Row],[Registered]]&lt;100, "SMALL_BASE", "VALID_BASE"))</f>
        <v>VALID_BASE</v>
      </c>
      <c r="L84" t="str">
        <f>IF(Table1_14[[#This Row],[Registered]]=0, "ABSENT", IF(Table1_14[[#This Row],[Appearance Rate]]&lt;0.98, "LOW_RATE", IF(AND(Table1_14[[#This Row],[Appearance Rate]]=1, Table1_14[[#This Row],[Registered]]&lt;100), "SUSPICIOUS_PERFECTION", "NORMAL")))</f>
        <v>NORMAL</v>
      </c>
      <c r="M84" s="8">
        <f>Table1_14[[#This Row],[Registered]]/SUM(Table1_14[Registered])</f>
        <v>2.2129290938319468E-3</v>
      </c>
    </row>
    <row r="85" spans="1:13" x14ac:dyDescent="0.3">
      <c r="A85">
        <v>12</v>
      </c>
      <c r="B85">
        <v>2022</v>
      </c>
      <c r="C85" t="s">
        <v>24</v>
      </c>
      <c r="D85" t="s">
        <v>9</v>
      </c>
      <c r="E85">
        <v>8680</v>
      </c>
      <c r="F85">
        <v>8666</v>
      </c>
      <c r="G85">
        <v>0.99838709677419357</v>
      </c>
      <c r="H85">
        <v>1.612903225806428E-3</v>
      </c>
      <c r="J85" t="str">
        <f>IF(Table1_14[[#This Row],[Registered]] = 0, "ABSENT", "NON_ZERO")</f>
        <v>NON_ZERO</v>
      </c>
      <c r="K85" t="str">
        <f>IF(Table1_14[[#This Row],[Registered]] = 0, "ABSENT_BASE", IF(Table1_14[[#This Row],[Registered]]&lt;100, "SMALL_BASE", "VALID_BASE"))</f>
        <v>VALID_BASE</v>
      </c>
      <c r="L85" t="str">
        <f>IF(Table1_14[[#This Row],[Registered]]=0, "ABSENT", IF(Table1_14[[#This Row],[Appearance Rate]]&lt;0.98, "LOW_RATE", IF(AND(Table1_14[[#This Row],[Appearance Rate]]=1, Table1_14[[#This Row],[Registered]]&lt;100), "SUSPICIOUS_PERFECTION", "NORMAL")))</f>
        <v>NORMAL</v>
      </c>
      <c r="M85" s="8">
        <f>Table1_14[[#This Row],[Registered]]/SUM(Table1_14[Registered])</f>
        <v>6.0327338362001562E-3</v>
      </c>
    </row>
    <row r="86" spans="1:13" x14ac:dyDescent="0.3">
      <c r="A86">
        <v>12</v>
      </c>
      <c r="B86">
        <v>2022</v>
      </c>
      <c r="C86" t="s">
        <v>16</v>
      </c>
      <c r="D86" t="s">
        <v>4</v>
      </c>
      <c r="E86">
        <v>0</v>
      </c>
      <c r="F86">
        <v>0</v>
      </c>
      <c r="I86" t="s">
        <v>35</v>
      </c>
      <c r="J86" t="str">
        <f>IF(Table1_14[[#This Row],[Registered]] = 0, "ABSENT", "NON_ZERO")</f>
        <v>ABSENT</v>
      </c>
      <c r="K86" t="str">
        <f>IF(Table1_14[[#This Row],[Registered]] = 0, "ABSENT_BASE", IF(Table1_14[[#This Row],[Registered]]&lt;100, "SMALL_BASE", "VALID_BASE"))</f>
        <v>ABSENT_BASE</v>
      </c>
      <c r="L86" t="str">
        <f>IF(Table1_14[[#This Row],[Registered]]=0, "ABSENT", IF(Table1_14[[#This Row],[Appearance Rate]]&lt;0.98, "LOW_RATE", IF(AND(Table1_14[[#This Row],[Appearance Rate]]=1, Table1_14[[#This Row],[Registered]]&lt;100), "SUSPICIOUS_PERFECTION", "NORMAL")))</f>
        <v>ABSENT</v>
      </c>
      <c r="M86" s="8">
        <f>Table1_14[[#This Row],[Registered]]/SUM(Table1_14[Registered])</f>
        <v>0</v>
      </c>
    </row>
    <row r="87" spans="1:13" x14ac:dyDescent="0.3">
      <c r="A87">
        <v>12</v>
      </c>
      <c r="B87">
        <v>2022</v>
      </c>
      <c r="C87" t="s">
        <v>16</v>
      </c>
      <c r="D87" t="s">
        <v>5</v>
      </c>
      <c r="E87">
        <v>1535</v>
      </c>
      <c r="F87">
        <v>1534</v>
      </c>
      <c r="G87">
        <v>0.99934853420195435</v>
      </c>
      <c r="H87">
        <v>6.514657980456473E-4</v>
      </c>
      <c r="J87" t="str">
        <f>IF(Table1_14[[#This Row],[Registered]] = 0, "ABSENT", "NON_ZERO")</f>
        <v>NON_ZERO</v>
      </c>
      <c r="K87" t="str">
        <f>IF(Table1_14[[#This Row],[Registered]] = 0, "ABSENT_BASE", IF(Table1_14[[#This Row],[Registered]]&lt;100, "SMALL_BASE", "VALID_BASE"))</f>
        <v>VALID_BASE</v>
      </c>
      <c r="L87" t="str">
        <f>IF(Table1_14[[#This Row],[Registered]]=0, "ABSENT", IF(Table1_14[[#This Row],[Appearance Rate]]&lt;0.98, "LOW_RATE", IF(AND(Table1_14[[#This Row],[Appearance Rate]]=1, Table1_14[[#This Row],[Registered]]&lt;100), "SUSPICIOUS_PERFECTION", "NORMAL")))</f>
        <v>NORMAL</v>
      </c>
      <c r="M87" s="8">
        <f>Table1_14[[#This Row],[Registered]]/SUM(Table1_14[Registered])</f>
        <v>1.0668486680377005E-3</v>
      </c>
    </row>
    <row r="88" spans="1:13" x14ac:dyDescent="0.3">
      <c r="A88">
        <v>12</v>
      </c>
      <c r="B88">
        <v>2022</v>
      </c>
      <c r="C88" t="s">
        <v>16</v>
      </c>
      <c r="D88" t="s">
        <v>6</v>
      </c>
      <c r="E88">
        <v>0</v>
      </c>
      <c r="F88">
        <v>0</v>
      </c>
      <c r="I88" t="s">
        <v>35</v>
      </c>
      <c r="J88" t="str">
        <f>IF(Table1_14[[#This Row],[Registered]] = 0, "ABSENT", "NON_ZERO")</f>
        <v>ABSENT</v>
      </c>
      <c r="K88" t="str">
        <f>IF(Table1_14[[#This Row],[Registered]] = 0, "ABSENT_BASE", IF(Table1_14[[#This Row],[Registered]]&lt;100, "SMALL_BASE", "VALID_BASE"))</f>
        <v>ABSENT_BASE</v>
      </c>
      <c r="L88" t="str">
        <f>IF(Table1_14[[#This Row],[Registered]]=0, "ABSENT", IF(Table1_14[[#This Row],[Appearance Rate]]&lt;0.98, "LOW_RATE", IF(AND(Table1_14[[#This Row],[Appearance Rate]]=1, Table1_14[[#This Row],[Registered]]&lt;100), "SUSPICIOUS_PERFECTION", "NORMAL")))</f>
        <v>ABSENT</v>
      </c>
      <c r="M88" s="8">
        <f>Table1_14[[#This Row],[Registered]]/SUM(Table1_14[Registered])</f>
        <v>0</v>
      </c>
    </row>
    <row r="89" spans="1:13" x14ac:dyDescent="0.3">
      <c r="A89">
        <v>12</v>
      </c>
      <c r="B89">
        <v>2022</v>
      </c>
      <c r="C89" t="s">
        <v>16</v>
      </c>
      <c r="D89" t="s">
        <v>7</v>
      </c>
      <c r="E89">
        <v>22801</v>
      </c>
      <c r="F89">
        <v>22742</v>
      </c>
      <c r="G89">
        <v>0.99741239419323713</v>
      </c>
      <c r="H89">
        <v>2.5876058067628716E-3</v>
      </c>
      <c r="J89" t="str">
        <f>IF(Table1_14[[#This Row],[Registered]] = 0, "ABSENT", "NON_ZERO")</f>
        <v>NON_ZERO</v>
      </c>
      <c r="K89" t="str">
        <f>IF(Table1_14[[#This Row],[Registered]] = 0, "ABSENT_BASE", IF(Table1_14[[#This Row],[Registered]]&lt;100, "SMALL_BASE", "VALID_BASE"))</f>
        <v>VALID_BASE</v>
      </c>
      <c r="L89" t="str">
        <f>IF(Table1_14[[#This Row],[Registered]]=0, "ABSENT", IF(Table1_14[[#This Row],[Appearance Rate]]&lt;0.98, "LOW_RATE", IF(AND(Table1_14[[#This Row],[Appearance Rate]]=1, Table1_14[[#This Row],[Registered]]&lt;100), "SUSPICIOUS_PERFECTION", "NORMAL")))</f>
        <v>NORMAL</v>
      </c>
      <c r="M89" s="8">
        <f>Table1_14[[#This Row],[Registered]]/SUM(Table1_14[Registered])</f>
        <v>1.5847046566728081E-2</v>
      </c>
    </row>
    <row r="90" spans="1:13" x14ac:dyDescent="0.3">
      <c r="A90">
        <v>12</v>
      </c>
      <c r="B90">
        <v>2022</v>
      </c>
      <c r="C90" t="s">
        <v>16</v>
      </c>
      <c r="D90" t="s">
        <v>8</v>
      </c>
      <c r="E90">
        <v>1673</v>
      </c>
      <c r="F90">
        <v>1662</v>
      </c>
      <c r="G90">
        <v>0.99342498505678423</v>
      </c>
      <c r="H90">
        <v>6.5750149432157734E-3</v>
      </c>
      <c r="J90" t="str">
        <f>IF(Table1_14[[#This Row],[Registered]] = 0, "ABSENT", "NON_ZERO")</f>
        <v>NON_ZERO</v>
      </c>
      <c r="K90" t="str">
        <f>IF(Table1_14[[#This Row],[Registered]] = 0, "ABSENT_BASE", IF(Table1_14[[#This Row],[Registered]]&lt;100, "SMALL_BASE", "VALID_BASE"))</f>
        <v>VALID_BASE</v>
      </c>
      <c r="L90" t="str">
        <f>IF(Table1_14[[#This Row],[Registered]]=0, "ABSENT", IF(Table1_14[[#This Row],[Appearance Rate]]&lt;0.98, "LOW_RATE", IF(AND(Table1_14[[#This Row],[Appearance Rate]]=1, Table1_14[[#This Row],[Registered]]&lt;100), "SUSPICIOUS_PERFECTION", "NORMAL")))</f>
        <v>NORMAL</v>
      </c>
      <c r="M90" s="8">
        <f>Table1_14[[#This Row],[Registered]]/SUM(Table1_14[Registered])</f>
        <v>1.1627607958482559E-3</v>
      </c>
    </row>
    <row r="91" spans="1:13" x14ac:dyDescent="0.3">
      <c r="A91">
        <v>12</v>
      </c>
      <c r="B91">
        <v>2022</v>
      </c>
      <c r="C91" t="s">
        <v>16</v>
      </c>
      <c r="D91" t="s">
        <v>9</v>
      </c>
      <c r="E91">
        <v>4859</v>
      </c>
      <c r="F91">
        <v>4849</v>
      </c>
      <c r="G91">
        <v>0.99794196336694796</v>
      </c>
      <c r="H91">
        <v>2.0580366330520405E-3</v>
      </c>
      <c r="J91" t="str">
        <f>IF(Table1_14[[#This Row],[Registered]] = 0, "ABSENT", "NON_ZERO")</f>
        <v>NON_ZERO</v>
      </c>
      <c r="K91" t="str">
        <f>IF(Table1_14[[#This Row],[Registered]] = 0, "ABSENT_BASE", IF(Table1_14[[#This Row],[Registered]]&lt;100, "SMALL_BASE", "VALID_BASE"))</f>
        <v>VALID_BASE</v>
      </c>
      <c r="L91" t="str">
        <f>IF(Table1_14[[#This Row],[Registered]]=0, "ABSENT", IF(Table1_14[[#This Row],[Appearance Rate]]&lt;0.98, "LOW_RATE", IF(AND(Table1_14[[#This Row],[Appearance Rate]]=1, Table1_14[[#This Row],[Registered]]&lt;100), "SUSPICIOUS_PERFECTION", "NORMAL")))</f>
        <v>NORMAL</v>
      </c>
      <c r="M91" s="8">
        <f>Table1_14[[#This Row],[Registered]]/SUM(Table1_14[Registered])</f>
        <v>3.3770799205180366E-3</v>
      </c>
    </row>
    <row r="92" spans="1:13" x14ac:dyDescent="0.3">
      <c r="A92">
        <v>12</v>
      </c>
      <c r="B92">
        <v>2022</v>
      </c>
      <c r="C92" t="s">
        <v>25</v>
      </c>
      <c r="D92" t="s">
        <v>4</v>
      </c>
      <c r="E92">
        <v>0</v>
      </c>
      <c r="F92">
        <v>0</v>
      </c>
      <c r="I92" t="s">
        <v>35</v>
      </c>
      <c r="J92" t="str">
        <f>IF(Table1_14[[#This Row],[Registered]] = 0, "ABSENT", "NON_ZERO")</f>
        <v>ABSENT</v>
      </c>
      <c r="K92" t="str">
        <f>IF(Table1_14[[#This Row],[Registered]] = 0, "ABSENT_BASE", IF(Table1_14[[#This Row],[Registered]]&lt;100, "SMALL_BASE", "VALID_BASE"))</f>
        <v>ABSENT_BASE</v>
      </c>
      <c r="L92" t="str">
        <f>IF(Table1_14[[#This Row],[Registered]]=0, "ABSENT", IF(Table1_14[[#This Row],[Appearance Rate]]&lt;0.98, "LOW_RATE", IF(AND(Table1_14[[#This Row],[Appearance Rate]]=1, Table1_14[[#This Row],[Registered]]&lt;100), "SUSPICIOUS_PERFECTION", "NORMAL")))</f>
        <v>ABSENT</v>
      </c>
      <c r="M92" s="8">
        <f>Table1_14[[#This Row],[Registered]]/SUM(Table1_14[Registered])</f>
        <v>0</v>
      </c>
    </row>
    <row r="93" spans="1:13" x14ac:dyDescent="0.3">
      <c r="A93">
        <v>12</v>
      </c>
      <c r="B93">
        <v>2022</v>
      </c>
      <c r="C93" t="s">
        <v>25</v>
      </c>
      <c r="D93" t="s">
        <v>5</v>
      </c>
      <c r="E93">
        <v>82</v>
      </c>
      <c r="F93">
        <v>82</v>
      </c>
      <c r="G93">
        <v>1</v>
      </c>
      <c r="H93">
        <v>0</v>
      </c>
      <c r="J93" t="str">
        <f>IF(Table1_14[[#This Row],[Registered]] = 0, "ABSENT", "NON_ZERO")</f>
        <v>NON_ZERO</v>
      </c>
      <c r="K93" t="str">
        <f>IF(Table1_14[[#This Row],[Registered]] = 0, "ABSENT_BASE", IF(Table1_14[[#This Row],[Registered]]&lt;100, "SMALL_BASE", "VALID_BASE"))</f>
        <v>SMALL_BASE</v>
      </c>
      <c r="L93" t="str">
        <f>IF(Table1_14[[#This Row],[Registered]]=0, "ABSENT", IF(Table1_14[[#This Row],[Appearance Rate]]&lt;0.98, "LOW_RATE", IF(AND(Table1_14[[#This Row],[Appearance Rate]]=1, Table1_14[[#This Row],[Registered]]&lt;100), "SUSPICIOUS_PERFECTION", "NORMAL")))</f>
        <v>SUSPICIOUS_PERFECTION</v>
      </c>
      <c r="M93" s="8">
        <f>Table1_14[[#This Row],[Registered]]/SUM(Table1_14[Registered])</f>
        <v>5.6991264351199632E-5</v>
      </c>
    </row>
    <row r="94" spans="1:13" x14ac:dyDescent="0.3">
      <c r="A94">
        <v>12</v>
      </c>
      <c r="B94">
        <v>2022</v>
      </c>
      <c r="C94" t="s">
        <v>25</v>
      </c>
      <c r="D94" t="s">
        <v>6</v>
      </c>
      <c r="E94">
        <v>0</v>
      </c>
      <c r="F94">
        <v>0</v>
      </c>
      <c r="I94" t="s">
        <v>35</v>
      </c>
      <c r="J94" t="str">
        <f>IF(Table1_14[[#This Row],[Registered]] = 0, "ABSENT", "NON_ZERO")</f>
        <v>ABSENT</v>
      </c>
      <c r="K94" t="str">
        <f>IF(Table1_14[[#This Row],[Registered]] = 0, "ABSENT_BASE", IF(Table1_14[[#This Row],[Registered]]&lt;100, "SMALL_BASE", "VALID_BASE"))</f>
        <v>ABSENT_BASE</v>
      </c>
      <c r="L94" t="str">
        <f>IF(Table1_14[[#This Row],[Registered]]=0, "ABSENT", IF(Table1_14[[#This Row],[Appearance Rate]]&lt;0.98, "LOW_RATE", IF(AND(Table1_14[[#This Row],[Appearance Rate]]=1, Table1_14[[#This Row],[Registered]]&lt;100), "SUSPICIOUS_PERFECTION", "NORMAL")))</f>
        <v>ABSENT</v>
      </c>
      <c r="M94" s="8">
        <f>Table1_14[[#This Row],[Registered]]/SUM(Table1_14[Registered])</f>
        <v>0</v>
      </c>
    </row>
    <row r="95" spans="1:13" x14ac:dyDescent="0.3">
      <c r="A95">
        <v>12</v>
      </c>
      <c r="B95">
        <v>2022</v>
      </c>
      <c r="C95" t="s">
        <v>25</v>
      </c>
      <c r="D95" t="s">
        <v>7</v>
      </c>
      <c r="E95">
        <v>33500</v>
      </c>
      <c r="F95">
        <v>33462</v>
      </c>
      <c r="G95">
        <v>0.99886567164179108</v>
      </c>
      <c r="H95">
        <v>1.1343283582089247E-3</v>
      </c>
      <c r="J95" t="str">
        <f>IF(Table1_14[[#This Row],[Registered]] = 0, "ABSENT", "NON_ZERO")</f>
        <v>NON_ZERO</v>
      </c>
      <c r="K95" t="str">
        <f>IF(Table1_14[[#This Row],[Registered]] = 0, "ABSENT_BASE", IF(Table1_14[[#This Row],[Registered]]&lt;100, "SMALL_BASE", "VALID_BASE"))</f>
        <v>VALID_BASE</v>
      </c>
      <c r="L95" t="str">
        <f>IF(Table1_14[[#This Row],[Registered]]=0, "ABSENT", IF(Table1_14[[#This Row],[Appearance Rate]]&lt;0.98, "LOW_RATE", IF(AND(Table1_14[[#This Row],[Appearance Rate]]=1, Table1_14[[#This Row],[Registered]]&lt;100), "SUSPICIOUS_PERFECTION", "NORMAL")))</f>
        <v>NORMAL</v>
      </c>
      <c r="M95" s="8">
        <f>Table1_14[[#This Row],[Registered]]/SUM(Table1_14[Registered])</f>
        <v>2.32830165337218E-2</v>
      </c>
    </row>
    <row r="96" spans="1:13" x14ac:dyDescent="0.3">
      <c r="A96">
        <v>12</v>
      </c>
      <c r="B96">
        <v>2022</v>
      </c>
      <c r="C96" t="s">
        <v>25</v>
      </c>
      <c r="D96" t="s">
        <v>8</v>
      </c>
      <c r="E96">
        <v>973</v>
      </c>
      <c r="F96">
        <v>972</v>
      </c>
      <c r="G96">
        <v>0.99897225077081198</v>
      </c>
      <c r="H96">
        <v>1.0277492291880241E-3</v>
      </c>
      <c r="J96" t="str">
        <f>IF(Table1_14[[#This Row],[Registered]] = 0, "ABSENT", "NON_ZERO")</f>
        <v>NON_ZERO</v>
      </c>
      <c r="K96" t="str">
        <f>IF(Table1_14[[#This Row],[Registered]] = 0, "ABSENT_BASE", IF(Table1_14[[#This Row],[Registered]]&lt;100, "SMALL_BASE", "VALID_BASE"))</f>
        <v>VALID_BASE</v>
      </c>
      <c r="L96" t="str">
        <f>IF(Table1_14[[#This Row],[Registered]]=0, "ABSENT", IF(Table1_14[[#This Row],[Appearance Rate]]&lt;0.98, "LOW_RATE", IF(AND(Table1_14[[#This Row],[Appearance Rate]]=1, Table1_14[[#This Row],[Registered]]&lt;100), "SUSPICIOUS_PERFECTION", "NORMAL")))</f>
        <v>NORMAL</v>
      </c>
      <c r="M96" s="8">
        <f>Table1_14[[#This Row],[Registered]]/SUM(Table1_14[Registered])</f>
        <v>6.7625000260630784E-4</v>
      </c>
    </row>
    <row r="97" spans="1:13" x14ac:dyDescent="0.3">
      <c r="A97">
        <v>12</v>
      </c>
      <c r="B97">
        <v>2022</v>
      </c>
      <c r="C97" t="s">
        <v>25</v>
      </c>
      <c r="D97" t="s">
        <v>9</v>
      </c>
      <c r="E97">
        <v>3666</v>
      </c>
      <c r="F97">
        <v>3661</v>
      </c>
      <c r="G97">
        <v>0.9986361156573923</v>
      </c>
      <c r="H97">
        <v>1.3638843426077019E-3</v>
      </c>
      <c r="J97" t="str">
        <f>IF(Table1_14[[#This Row],[Registered]] = 0, "ABSENT", "NON_ZERO")</f>
        <v>NON_ZERO</v>
      </c>
      <c r="K97" t="str">
        <f>IF(Table1_14[[#This Row],[Registered]] = 0, "ABSENT_BASE", IF(Table1_14[[#This Row],[Registered]]&lt;100, "SMALL_BASE", "VALID_BASE"))</f>
        <v>VALID_BASE</v>
      </c>
      <c r="L97" t="str">
        <f>IF(Table1_14[[#This Row],[Registered]]=0, "ABSENT", IF(Table1_14[[#This Row],[Appearance Rate]]&lt;0.98, "LOW_RATE", IF(AND(Table1_14[[#This Row],[Appearance Rate]]=1, Table1_14[[#This Row],[Registered]]&lt;100), "SUSPICIOUS_PERFECTION", "NORMAL")))</f>
        <v>NORMAL</v>
      </c>
      <c r="M97" s="8">
        <f>Table1_14[[#This Row],[Registered]]/SUM(Table1_14[Registered])</f>
        <v>2.5479265257499738E-3</v>
      </c>
    </row>
    <row r="98" spans="1:13" x14ac:dyDescent="0.3">
      <c r="C98" s="7"/>
      <c r="D98" s="7"/>
      <c r="J98" s="7"/>
      <c r="K98" s="7"/>
      <c r="L98" s="7"/>
      <c r="M98" s="8">
        <f xml:space="preserve"> SUM(Table1_14[Coverage Share])</f>
        <v>0.99999999999999978</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2B927-7CCF-43BF-88A0-70031DC8DA25}">
  <dimension ref="A1:B36"/>
  <sheetViews>
    <sheetView topLeftCell="B1" workbookViewId="0">
      <selection activeCell="B5" sqref="B5"/>
    </sheetView>
  </sheetViews>
  <sheetFormatPr defaultRowHeight="14.4" x14ac:dyDescent="0.3"/>
  <cols>
    <col min="1" max="1" width="13.77734375" bestFit="1" customWidth="1"/>
    <col min="2" max="2" width="15.21875" bestFit="1" customWidth="1"/>
  </cols>
  <sheetData>
    <row r="1" spans="1:2" x14ac:dyDescent="0.3">
      <c r="A1" s="1" t="s">
        <v>39</v>
      </c>
      <c r="B1" t="s">
        <v>40</v>
      </c>
    </row>
    <row r="3" spans="1:2" x14ac:dyDescent="0.3">
      <c r="A3" s="1" t="s">
        <v>36</v>
      </c>
      <c r="B3" t="s">
        <v>38</v>
      </c>
    </row>
    <row r="4" spans="1:2" x14ac:dyDescent="0.3">
      <c r="A4" s="2" t="s">
        <v>19</v>
      </c>
      <c r="B4" s="7">
        <v>2363</v>
      </c>
    </row>
    <row r="5" spans="1:2" x14ac:dyDescent="0.3">
      <c r="A5" s="3" t="s">
        <v>9</v>
      </c>
      <c r="B5" s="7">
        <v>2363</v>
      </c>
    </row>
    <row r="6" spans="1:2" x14ac:dyDescent="0.3">
      <c r="A6" s="2" t="s">
        <v>27</v>
      </c>
      <c r="B6" s="7">
        <v>2872</v>
      </c>
    </row>
    <row r="7" spans="1:2" x14ac:dyDescent="0.3">
      <c r="A7" s="3" t="s">
        <v>9</v>
      </c>
      <c r="B7" s="7">
        <v>2872</v>
      </c>
    </row>
    <row r="8" spans="1:2" x14ac:dyDescent="0.3">
      <c r="A8" s="2" t="s">
        <v>18</v>
      </c>
      <c r="B8" s="7">
        <v>3615</v>
      </c>
    </row>
    <row r="9" spans="1:2" x14ac:dyDescent="0.3">
      <c r="A9" s="3" t="s">
        <v>9</v>
      </c>
      <c r="B9" s="7">
        <v>3615</v>
      </c>
    </row>
    <row r="10" spans="1:2" x14ac:dyDescent="0.3">
      <c r="A10" s="2" t="s">
        <v>25</v>
      </c>
      <c r="B10" s="7">
        <v>3666</v>
      </c>
    </row>
    <row r="11" spans="1:2" x14ac:dyDescent="0.3">
      <c r="A11" s="3" t="s">
        <v>9</v>
      </c>
      <c r="B11" s="7">
        <v>3666</v>
      </c>
    </row>
    <row r="12" spans="1:2" x14ac:dyDescent="0.3">
      <c r="A12" s="2" t="s">
        <v>26</v>
      </c>
      <c r="B12" s="7">
        <v>4312</v>
      </c>
    </row>
    <row r="13" spans="1:2" x14ac:dyDescent="0.3">
      <c r="A13" s="3" t="s">
        <v>9</v>
      </c>
      <c r="B13" s="7">
        <v>4312</v>
      </c>
    </row>
    <row r="14" spans="1:2" x14ac:dyDescent="0.3">
      <c r="A14" s="2" t="s">
        <v>22</v>
      </c>
      <c r="B14" s="7">
        <v>4480</v>
      </c>
    </row>
    <row r="15" spans="1:2" x14ac:dyDescent="0.3">
      <c r="A15" s="3" t="s">
        <v>9</v>
      </c>
      <c r="B15" s="7">
        <v>4480</v>
      </c>
    </row>
    <row r="16" spans="1:2" x14ac:dyDescent="0.3">
      <c r="A16" s="2" t="s">
        <v>16</v>
      </c>
      <c r="B16" s="7">
        <v>4859</v>
      </c>
    </row>
    <row r="17" spans="1:2" x14ac:dyDescent="0.3">
      <c r="A17" s="3" t="s">
        <v>9</v>
      </c>
      <c r="B17" s="7">
        <v>4859</v>
      </c>
    </row>
    <row r="18" spans="1:2" x14ac:dyDescent="0.3">
      <c r="A18" s="2" t="s">
        <v>23</v>
      </c>
      <c r="B18" s="7">
        <v>5409</v>
      </c>
    </row>
    <row r="19" spans="1:2" x14ac:dyDescent="0.3">
      <c r="A19" s="3" t="s">
        <v>9</v>
      </c>
      <c r="B19" s="7">
        <v>5409</v>
      </c>
    </row>
    <row r="20" spans="1:2" x14ac:dyDescent="0.3">
      <c r="A20" s="2" t="s">
        <v>14</v>
      </c>
      <c r="B20" s="7">
        <v>5861</v>
      </c>
    </row>
    <row r="21" spans="1:2" x14ac:dyDescent="0.3">
      <c r="A21" s="3" t="s">
        <v>9</v>
      </c>
      <c r="B21" s="7">
        <v>5861</v>
      </c>
    </row>
    <row r="22" spans="1:2" x14ac:dyDescent="0.3">
      <c r="A22" s="2" t="s">
        <v>17</v>
      </c>
      <c r="B22" s="7">
        <v>6071</v>
      </c>
    </row>
    <row r="23" spans="1:2" x14ac:dyDescent="0.3">
      <c r="A23" s="3" t="s">
        <v>9</v>
      </c>
      <c r="B23" s="7">
        <v>6071</v>
      </c>
    </row>
    <row r="24" spans="1:2" x14ac:dyDescent="0.3">
      <c r="A24" s="2" t="s">
        <v>15</v>
      </c>
      <c r="B24" s="7">
        <v>6669</v>
      </c>
    </row>
    <row r="25" spans="1:2" x14ac:dyDescent="0.3">
      <c r="A25" s="3" t="s">
        <v>9</v>
      </c>
      <c r="B25" s="7">
        <v>6669</v>
      </c>
    </row>
    <row r="26" spans="1:2" x14ac:dyDescent="0.3">
      <c r="A26" s="2" t="s">
        <v>21</v>
      </c>
      <c r="B26" s="7">
        <v>6713</v>
      </c>
    </row>
    <row r="27" spans="1:2" x14ac:dyDescent="0.3">
      <c r="A27" s="3" t="s">
        <v>9</v>
      </c>
      <c r="B27" s="7">
        <v>6713</v>
      </c>
    </row>
    <row r="28" spans="1:2" x14ac:dyDescent="0.3">
      <c r="A28" s="2" t="s">
        <v>10</v>
      </c>
      <c r="B28" s="7">
        <v>7736</v>
      </c>
    </row>
    <row r="29" spans="1:2" x14ac:dyDescent="0.3">
      <c r="A29" s="3" t="s">
        <v>9</v>
      </c>
      <c r="B29" s="7">
        <v>7736</v>
      </c>
    </row>
    <row r="30" spans="1:2" x14ac:dyDescent="0.3">
      <c r="A30" s="2" t="s">
        <v>20</v>
      </c>
      <c r="B30" s="7">
        <v>7807</v>
      </c>
    </row>
    <row r="31" spans="1:2" x14ac:dyDescent="0.3">
      <c r="A31" s="3" t="s">
        <v>9</v>
      </c>
      <c r="B31" s="7">
        <v>7807</v>
      </c>
    </row>
    <row r="32" spans="1:2" x14ac:dyDescent="0.3">
      <c r="A32" s="2" t="s">
        <v>24</v>
      </c>
      <c r="B32" s="7">
        <v>8680</v>
      </c>
    </row>
    <row r="33" spans="1:2" x14ac:dyDescent="0.3">
      <c r="A33" s="3" t="s">
        <v>9</v>
      </c>
      <c r="B33" s="7">
        <v>8680</v>
      </c>
    </row>
    <row r="34" spans="1:2" x14ac:dyDescent="0.3">
      <c r="A34" s="2" t="s">
        <v>13</v>
      </c>
      <c r="B34" s="7">
        <v>11465</v>
      </c>
    </row>
    <row r="35" spans="1:2" x14ac:dyDescent="0.3">
      <c r="A35" s="3" t="s">
        <v>9</v>
      </c>
      <c r="B35" s="7">
        <v>11465</v>
      </c>
    </row>
    <row r="36" spans="1:2" x14ac:dyDescent="0.3">
      <c r="A36" s="2" t="s">
        <v>37</v>
      </c>
      <c r="B36" s="7">
        <v>2363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B8639-48D8-4DD6-A652-D243E2D5124C}">
  <dimension ref="A1:B7"/>
  <sheetViews>
    <sheetView workbookViewId="0">
      <selection activeCell="D6" sqref="D6"/>
    </sheetView>
  </sheetViews>
  <sheetFormatPr defaultRowHeight="14.4" x14ac:dyDescent="0.3"/>
  <cols>
    <col min="1" max="1" width="21.88671875" bestFit="1" customWidth="1"/>
  </cols>
  <sheetData>
    <row r="1" spans="1:2" x14ac:dyDescent="0.3">
      <c r="A1" s="4" t="s">
        <v>41</v>
      </c>
      <c r="B1" s="5">
        <f>_xlfn.MINIFS(fact_table!E:E,fact_table!E:E, "&gt;0")</f>
        <v>22</v>
      </c>
    </row>
    <row r="2" spans="1:2" x14ac:dyDescent="0.3">
      <c r="A2" s="4" t="s">
        <v>42</v>
      </c>
      <c r="B2" s="5" cm="1">
        <f t="array" ref="B2">_xlfn.PERCENTILE.INC(_xlfn._xlws.FILTER(fact_table!E:E, fact_table!E:E&gt;0), 0.25)</f>
        <v>1385.75</v>
      </c>
    </row>
    <row r="3" spans="1:2" x14ac:dyDescent="0.3">
      <c r="A3" s="4" t="s">
        <v>43</v>
      </c>
      <c r="B3" s="5" cm="1">
        <f t="array" ref="B3">MEDIAN(_xlfn._xlws.FILTER(fact_table!E:E, fact_table!E:E&gt;0))</f>
        <v>4067.5</v>
      </c>
    </row>
    <row r="4" spans="1:2" x14ac:dyDescent="0.3">
      <c r="A4" s="4" t="s">
        <v>44</v>
      </c>
      <c r="B4" s="5">
        <f>COUNTIFS(fact_table!E:E, "&lt;30", fact_table!E:E, "&gt;0")</f>
        <v>1</v>
      </c>
    </row>
    <row r="5" spans="1:2" x14ac:dyDescent="0.3">
      <c r="A5" s="4" t="s">
        <v>45</v>
      </c>
      <c r="B5" s="5">
        <f>COUNTIFS(fact_table!E:E, "&lt;50", fact_table!E:E, "&gt;0")</f>
        <v>2</v>
      </c>
    </row>
    <row r="6" spans="1:2" x14ac:dyDescent="0.3">
      <c r="A6" s="4" t="s">
        <v>46</v>
      </c>
      <c r="B6" s="5">
        <f>COUNTIFS(fact_table!E:E, "&lt;100", fact_table!E:E, "&gt;0")</f>
        <v>9</v>
      </c>
    </row>
    <row r="7" spans="1:2" x14ac:dyDescent="0.3">
      <c r="A7" s="4" t="s">
        <v>47</v>
      </c>
      <c r="B7" s="5">
        <f>COUNTIFS(fact_table!E:E, "&lt;1000", fact_table!E:E, "&gt;0")</f>
        <v>16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7DEB-B6BA-4CFD-B918-8D3548B37350}">
  <dimension ref="A1:B16"/>
  <sheetViews>
    <sheetView workbookViewId="0">
      <selection activeCell="B15" sqref="B15"/>
    </sheetView>
  </sheetViews>
  <sheetFormatPr defaultRowHeight="14.4" x14ac:dyDescent="0.3"/>
  <cols>
    <col min="1" max="1" width="19.6640625" bestFit="1" customWidth="1"/>
  </cols>
  <sheetData>
    <row r="1" spans="1:2" x14ac:dyDescent="0.3">
      <c r="A1" s="5" t="s">
        <v>49</v>
      </c>
      <c r="B1" s="6">
        <f>_xlfn.MINIFS(Table1_14[Appearance Rate], Table1_14[Registered], "&gt;0")</f>
        <v>0.95209580838323349</v>
      </c>
    </row>
    <row r="2" spans="1:2" x14ac:dyDescent="0.3">
      <c r="A2" s="5" t="s">
        <v>50</v>
      </c>
      <c r="B2" s="6" cm="1">
        <f t="array" ref="B2">_xlfn.PERCENTILE.INC(_xlfn._xlws.FILTER(Table1_14[Appearance Rate], Table1_14[Registered]&gt;0), 0.25)</f>
        <v>0.99344724122732919</v>
      </c>
    </row>
    <row r="3" spans="1:2" x14ac:dyDescent="0.3">
      <c r="A3" s="5" t="s">
        <v>51</v>
      </c>
      <c r="B3" s="6" cm="1">
        <f t="array" ref="B3">MEDIAN(_xlfn._xlws.FILTER(Table1_14[Appearance Rate], Table1_14[Registered]&gt;0))</f>
        <v>0.99700623733004901</v>
      </c>
    </row>
    <row r="4" spans="1:2" x14ac:dyDescent="0.3">
      <c r="A4" s="5" t="s">
        <v>52</v>
      </c>
      <c r="B4" s="6">
        <f>COUNTIFS(Table1_14[Appearance Rate], "&lt;0.90")</f>
        <v>0</v>
      </c>
    </row>
    <row r="5" spans="1:2" x14ac:dyDescent="0.3">
      <c r="A5" s="5" t="s">
        <v>53</v>
      </c>
      <c r="B5" s="6">
        <f>COUNTIFS(Table1_14[Appearance Rate], "&lt;0.95")</f>
        <v>0</v>
      </c>
    </row>
    <row r="6" spans="1:2" x14ac:dyDescent="0.3">
      <c r="A6" s="5" t="s">
        <v>64</v>
      </c>
      <c r="B6" s="6">
        <f>COUNTIFS(Table1_14[Appearance Rate], "&lt;0.96")</f>
        <v>1</v>
      </c>
    </row>
    <row r="7" spans="1:2" x14ac:dyDescent="0.3">
      <c r="A7" s="5" t="s">
        <v>54</v>
      </c>
      <c r="B7" s="6">
        <f>COUNTIFS(Table1_14[Appearance Rate], "&lt;0.98")</f>
        <v>2</v>
      </c>
    </row>
    <row r="8" spans="1:2" x14ac:dyDescent="0.3">
      <c r="A8" s="5" t="s">
        <v>56</v>
      </c>
      <c r="B8" s="6">
        <f>COUNTIFS(Table1_14[Appearance Rate], "&lt;0.985")</f>
        <v>3</v>
      </c>
    </row>
    <row r="9" spans="1:2" x14ac:dyDescent="0.3">
      <c r="A9" s="5" t="s">
        <v>57</v>
      </c>
      <c r="B9" s="6">
        <f>COUNTIFS(Table1_14[Appearance Rate], "&lt;0.986")</f>
        <v>3</v>
      </c>
    </row>
    <row r="10" spans="1:2" x14ac:dyDescent="0.3">
      <c r="A10" s="5" t="s">
        <v>58</v>
      </c>
      <c r="B10" s="6">
        <f>COUNTIFS(Table1_14[Appearance Rate], "&lt;0.987")</f>
        <v>4</v>
      </c>
    </row>
    <row r="11" spans="1:2" x14ac:dyDescent="0.3">
      <c r="A11" s="5" t="s">
        <v>59</v>
      </c>
      <c r="B11" s="6">
        <f>COUNTIFS(Table1_14[Appearance Rate], "&lt;0.988")</f>
        <v>7</v>
      </c>
    </row>
    <row r="12" spans="1:2" x14ac:dyDescent="0.3">
      <c r="A12" s="5" t="s">
        <v>60</v>
      </c>
      <c r="B12" s="6">
        <f>COUNTIFS(Table1_14[Appearance Rate], "&lt;0.989")</f>
        <v>9</v>
      </c>
    </row>
    <row r="13" spans="1:2" x14ac:dyDescent="0.3">
      <c r="A13" s="5" t="s">
        <v>55</v>
      </c>
      <c r="B13" s="6">
        <f>COUNTIFS(Table1_14[Appearance Rate], "&lt;0.99")</f>
        <v>11</v>
      </c>
    </row>
    <row r="14" spans="1:2" x14ac:dyDescent="0.3">
      <c r="A14" s="5" t="s">
        <v>62</v>
      </c>
      <c r="B14" s="6">
        <f>COUNTBLANK(Table1_14[Appearance Rate])</f>
        <v>22</v>
      </c>
    </row>
    <row r="15" spans="1:2" x14ac:dyDescent="0.3">
      <c r="A15" s="5" t="s">
        <v>63</v>
      </c>
      <c r="B15" s="6">
        <f>COUNT(Table1_14[Appearance Rate])</f>
        <v>74</v>
      </c>
    </row>
    <row r="16" spans="1:2" x14ac:dyDescent="0.3">
      <c r="A16" s="5" t="s">
        <v>61</v>
      </c>
      <c r="B16" s="6">
        <f xml:space="preserve"> B14 + B15</f>
        <v>96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B7921-FF2E-4EC2-8014-E0BCA98005AF}">
  <dimension ref="A1:E10"/>
  <sheetViews>
    <sheetView zoomScale="83" workbookViewId="0">
      <selection activeCell="B5" sqref="B5"/>
    </sheetView>
  </sheetViews>
  <sheetFormatPr defaultRowHeight="14.4" x14ac:dyDescent="0.3"/>
  <cols>
    <col min="1" max="1" width="12.88671875" bestFit="1" customWidth="1"/>
    <col min="2" max="2" width="26.109375" bestFit="1" customWidth="1"/>
    <col min="3" max="3" width="19.109375" bestFit="1" customWidth="1"/>
    <col min="4" max="4" width="18.77734375" bestFit="1" customWidth="1"/>
    <col min="5" max="5" width="25.21875" bestFit="1" customWidth="1"/>
  </cols>
  <sheetData>
    <row r="1" spans="1:5" x14ac:dyDescent="0.3">
      <c r="A1" s="10" t="s">
        <v>67</v>
      </c>
    </row>
    <row r="3" spans="1:5" x14ac:dyDescent="0.3">
      <c r="A3" s="1" t="s">
        <v>36</v>
      </c>
      <c r="B3" t="s">
        <v>68</v>
      </c>
      <c r="C3" t="s">
        <v>69</v>
      </c>
      <c r="D3" t="s">
        <v>70</v>
      </c>
      <c r="E3" s="9" t="s">
        <v>71</v>
      </c>
    </row>
    <row r="4" spans="1:5" x14ac:dyDescent="0.3">
      <c r="A4" s="2" t="s">
        <v>4</v>
      </c>
      <c r="B4" s="11">
        <v>8.0140564981311131E-3</v>
      </c>
      <c r="C4" s="11">
        <v>1</v>
      </c>
      <c r="D4" s="11">
        <v>0.98058252427184467</v>
      </c>
      <c r="E4" s="11" cm="1">
        <f t="array" ref="E4:E10">C4:C10-D4:D10</f>
        <v>1.9417475728155331E-2</v>
      </c>
    </row>
    <row r="5" spans="1:5" x14ac:dyDescent="0.3">
      <c r="A5" s="2" t="s">
        <v>5</v>
      </c>
      <c r="B5" s="11">
        <v>1.2089637108015959E-2</v>
      </c>
      <c r="C5" s="11">
        <v>1</v>
      </c>
      <c r="D5" s="11">
        <v>0.95209580838323349</v>
      </c>
      <c r="E5" s="11">
        <v>4.7904191616766512E-2</v>
      </c>
    </row>
    <row r="6" spans="1:5" x14ac:dyDescent="0.3">
      <c r="A6" s="2" t="s">
        <v>6</v>
      </c>
      <c r="B6" s="11">
        <v>3.7526405686020619E-3</v>
      </c>
      <c r="C6" s="11">
        <v>1</v>
      </c>
      <c r="D6" s="11">
        <v>0.99019607843137258</v>
      </c>
      <c r="E6" s="11">
        <v>9.8039215686274161E-3</v>
      </c>
    </row>
    <row r="7" spans="1:5" x14ac:dyDescent="0.3">
      <c r="A7" s="2" t="s">
        <v>7</v>
      </c>
      <c r="B7" s="11">
        <v>2.9169464951935668E-3</v>
      </c>
      <c r="C7" s="11">
        <v>0.99886567164179108</v>
      </c>
      <c r="D7" s="11">
        <v>0.98887109140735907</v>
      </c>
      <c r="E7" s="11">
        <v>9.9945802344320045E-3</v>
      </c>
    </row>
    <row r="8" spans="1:5" x14ac:dyDescent="0.3">
      <c r="A8" s="2" t="s">
        <v>8</v>
      </c>
      <c r="B8" s="11">
        <v>3.9583342764695738E-3</v>
      </c>
      <c r="C8" s="11">
        <v>1</v>
      </c>
      <c r="D8" s="11">
        <v>0.9878747795414462</v>
      </c>
      <c r="E8" s="11">
        <v>1.2125220458553798E-2</v>
      </c>
    </row>
    <row r="9" spans="1:5" x14ac:dyDescent="0.3">
      <c r="A9" s="2" t="s">
        <v>9</v>
      </c>
      <c r="B9" s="11">
        <v>9.2514702364829347E-4</v>
      </c>
      <c r="C9" s="11">
        <v>1</v>
      </c>
      <c r="D9" s="11">
        <v>0.99604677977268985</v>
      </c>
      <c r="E9" s="11">
        <v>3.9532202273101502E-3</v>
      </c>
    </row>
    <row r="10" spans="1:5" x14ac:dyDescent="0.3">
      <c r="A10" s="2" t="s">
        <v>37</v>
      </c>
      <c r="B10" s="11">
        <v>6.732933429234012E-3</v>
      </c>
      <c r="C10" s="11">
        <v>1</v>
      </c>
      <c r="D10" s="11">
        <v>0.95209580838323349</v>
      </c>
      <c r="E10" s="12">
        <v>4.7904191616766512E-2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5FE24-4DCC-4510-88E2-34A35A92FA14}">
  <dimension ref="A3:C9"/>
  <sheetViews>
    <sheetView tabSelected="1" zoomScale="88" workbookViewId="0">
      <selection activeCell="A3" sqref="A3:C9"/>
    </sheetView>
  </sheetViews>
  <sheetFormatPr defaultRowHeight="14.4" x14ac:dyDescent="0.3"/>
  <cols>
    <col min="1" max="1" width="12.88671875" bestFit="1" customWidth="1"/>
    <col min="2" max="2" width="24.33203125" bestFit="1" customWidth="1"/>
    <col min="3" max="3" width="25" bestFit="1" customWidth="1"/>
  </cols>
  <sheetData>
    <row r="3" spans="1:3" x14ac:dyDescent="0.3">
      <c r="A3" s="13" t="s">
        <v>29</v>
      </c>
      <c r="B3" s="13" t="s">
        <v>68</v>
      </c>
      <c r="C3" s="14" t="s">
        <v>71</v>
      </c>
    </row>
    <row r="4" spans="1:3" x14ac:dyDescent="0.3">
      <c r="A4" s="15" t="s">
        <v>4</v>
      </c>
      <c r="B4" s="16">
        <v>8.0140564981311131E-3</v>
      </c>
      <c r="C4" s="16">
        <v>1.9417475728155331E-2</v>
      </c>
    </row>
    <row r="5" spans="1:3" x14ac:dyDescent="0.3">
      <c r="A5" s="15" t="s">
        <v>5</v>
      </c>
      <c r="B5" s="16">
        <v>1.2089637108015959E-2</v>
      </c>
      <c r="C5" s="16">
        <v>4.7904191616766512E-2</v>
      </c>
    </row>
    <row r="6" spans="1:3" x14ac:dyDescent="0.3">
      <c r="A6" s="15" t="s">
        <v>6</v>
      </c>
      <c r="B6" s="16">
        <v>3.7526405686020619E-3</v>
      </c>
      <c r="C6" s="16">
        <v>9.8039215686274161E-3</v>
      </c>
    </row>
    <row r="7" spans="1:3" x14ac:dyDescent="0.3">
      <c r="A7" s="15" t="s">
        <v>7</v>
      </c>
      <c r="B7" s="16">
        <v>2.9169464951935668E-3</v>
      </c>
      <c r="C7" s="16">
        <v>9.9945802344320045E-3</v>
      </c>
    </row>
    <row r="8" spans="1:3" x14ac:dyDescent="0.3">
      <c r="A8" s="15" t="s">
        <v>8</v>
      </c>
      <c r="B8" s="16">
        <v>3.9583342764695738E-3</v>
      </c>
      <c r="C8" s="16">
        <v>1.2125220458553798E-2</v>
      </c>
    </row>
    <row r="9" spans="1:3" x14ac:dyDescent="0.3">
      <c r="A9" s="15" t="s">
        <v>9</v>
      </c>
      <c r="B9" s="16">
        <v>9.2514702364829347E-4</v>
      </c>
      <c r="C9" s="16">
        <v>3.9532202273101502E-3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CD72021-4F7A-4D54-859A-40DC5420DAC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class12-2022 dataset</vt:lpstr>
      <vt:lpstr>class 12-2022 table</vt:lpstr>
      <vt:lpstr>class12-2022 result</vt:lpstr>
      <vt:lpstr>fact_table</vt:lpstr>
      <vt:lpstr>minbase_pivot</vt:lpstr>
      <vt:lpstr>profiling_baseflag</vt:lpstr>
      <vt:lpstr>profiling_anomalyflag</vt:lpstr>
      <vt:lpstr>profiling_volatility_schooltype</vt:lpstr>
      <vt:lpstr>Charts_volatility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Ritu Verma</cp:lastModifiedBy>
  <dcterms:created xsi:type="dcterms:W3CDTF">2025-11-20T13:00:21Z</dcterms:created>
  <dcterms:modified xsi:type="dcterms:W3CDTF">2025-11-26T13:50:29Z</dcterms:modified>
</cp:coreProperties>
</file>