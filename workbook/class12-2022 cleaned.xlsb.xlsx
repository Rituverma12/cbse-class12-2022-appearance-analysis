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ACER\cbse-class12-2022-appearance-analysis\workbook\"/>
    </mc:Choice>
  </mc:AlternateContent>
  <xr:revisionPtr revIDLastSave="0" documentId="13_ncr:1_{40C63555-6AB1-49BB-9CE5-67D18E743B0D}" xr6:coauthVersionLast="47" xr6:coauthVersionMax="47" xr10:uidLastSave="{00000000-0000-0000-0000-000000000000}"/>
  <bookViews>
    <workbookView xWindow="-108" yWindow="-108" windowWidth="23256" windowHeight="12456" tabRatio="1000" firstSheet="4" activeTab="6" xr2:uid="{352D25E5-EE06-4DDB-99E1-3948CD812789}"/>
  </bookViews>
  <sheets>
    <sheet name="class12-2022 dataset" sheetId="1" state="hidden" r:id="rId1"/>
    <sheet name="01_DATA_MODEL_raw_wide" sheetId="26" r:id="rId2"/>
    <sheet name="02_FACT_APPEARANCE (VIEW)" sheetId="27" r:id="rId3"/>
    <sheet name="03_DATA_QUALITY_LOG (VIEW)" sheetId="28" r:id="rId4"/>
    <sheet name="03_DATA_QUALITY" sheetId="29" r:id="rId5"/>
    <sheet name="04_CREDIBILITY" sheetId="31" r:id="rId6"/>
    <sheet name="05_ANALYSIS" sheetId="32" r:id="rId7"/>
    <sheet name="06_VOLATILITY" sheetId="33" r:id="rId8"/>
    <sheet name="07_DASHBOARD" sheetId="34" r:id="rId9"/>
    <sheet name="99_NOTES" sheetId="35" r:id="rId10"/>
    <sheet name="class12-2022 result" sheetId="3" state="hidden" r:id="rId11"/>
  </sheets>
  <definedNames>
    <definedName name="_xlcn.WorksheetConnection_class122022cleanedversion2.xlsb.xlsx_02_FACT_APPEARANCE1" hidden="1">_02_FACT_APPEARANCE[]</definedName>
    <definedName name="ExternalData_1" localSheetId="2" hidden="1">'02_FACT_APPEARANCE (VIEW)'!$A$1:$O$97</definedName>
    <definedName name="ExternalData_1" localSheetId="10" hidden="1">'class12-2022 result'!$A$1:$I$97</definedName>
    <definedName name="ExternalData_2" localSheetId="3" hidden="1">'03_DATA_QUALITY_LOG (VIEW)'!$A$1:$G$385</definedName>
    <definedName name="_xlnm.Print_Area" localSheetId="4">'03_DATA_QUALITY'!$A$1:$H$35</definedName>
    <definedName name="_xlnm.Print_Area" localSheetId="5">'04_CREDIBILITY'!$A$1:$H$42</definedName>
    <definedName name="_xlnm.Print_Area" localSheetId="6">'05_ANALYSIS'!$A$1:$L$56</definedName>
    <definedName name="_xlnm.Print_Area" localSheetId="7">'06_VOLATILITY'!$A$1:$G$29</definedName>
    <definedName name="_xlnm.Print_Area" localSheetId="8">'07_DASHBOARD'!$A$1:$J$39</definedName>
    <definedName name="_xlnm.Print_Area" localSheetId="9">'99_NOTES'!$A$1:$N$53</definedName>
    <definedName name="Slicer_base_flag">#N/A</definedName>
    <definedName name="Slicer_Region">#N/A</definedName>
    <definedName name="Slicer_School_Typ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 cacheId="22" r:id="rId34"/>
    <pivotCache cacheId="23" r:id="rId35"/>
    <pivotCache cacheId="24" r:id="rId36"/>
    <pivotCache cacheId="25" r:id="rId37"/>
    <pivotCache cacheId="60" r:id="rId38"/>
  </pivotCaches>
  <extLst>
    <ext xmlns:x14="http://schemas.microsoft.com/office/spreadsheetml/2009/9/main" uri="{876F7934-8845-4945-9796-88D515C7AA90}">
      <x14:pivotCaches>
        <pivotCache cacheId="26" r:id="rId39"/>
      </x14:pivotCaches>
    </ext>
    <ext xmlns:x14="http://schemas.microsoft.com/office/spreadsheetml/2009/9/main" uri="{BBE1A952-AA13-448e-AADC-164F8A28A991}">
      <x14:slicerCaches>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02_FACT_APPEARANCE_9e6f38a3-ba89-485e-9a44-fe79daf12231" name="02_FACT_APPEARANCE" connection="Query - 02_FACT_APPEARANCE"/>
          <x15:modelTable id="03_DATA_QUALITY_LOG_c7bfbb99-42b6-481e-9cce-f050f5507d43" name="03_DATA_QUALITY_LOG" connection="Query - 03_DATA_QUALITY_LOG"/>
          <x15:modelTable id="_02_FACT_APPEARANCE" name="_02_FACT_APPEARANCE" connection="WorksheetConnection_class12-2022 cleaned (version 2).xlsb.xlsx!_02_FACT_APPEAR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35" l="1" a="1"/>
  <c r="N32" i="35" s="1"/>
  <c r="N31" i="35" a="1"/>
  <c r="N31" i="35" s="1"/>
  <c r="N30" i="35"/>
  <c r="N29" i="35"/>
  <c r="N28" i="35"/>
  <c r="N27" i="35"/>
  <c r="N26" i="35"/>
  <c r="N23" i="35"/>
  <c r="N25" i="35"/>
  <c r="N24" i="35"/>
  <c r="G29" i="35"/>
  <c r="G28" i="35"/>
  <c r="G27" i="35"/>
  <c r="G26" i="35"/>
  <c r="G31" i="35"/>
  <c r="G24" i="35" a="1"/>
  <c r="G24" i="35" s="1"/>
  <c r="G25" i="35" a="1"/>
  <c r="G25" i="35" s="1"/>
  <c r="G30" i="35"/>
  <c r="G23"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tc={718EEDEF-FBD9-4659-91F8-6A033CCF29D6}</author>
    <author>tc={ABCC788F-E2FB-414A-B89D-D4ECAD8EC42F}</author>
    <author>tc={D71B9A3C-365A-416E-BB37-CE8DD3553EE1}</author>
  </authors>
  <commentList>
    <comment ref="G3" authorId="0" shapeId="0" xr:uid="{718EEDEF-FBD9-4659-91F8-6A033CCF29D6}">
      <text>
        <t>[Threaded comment]
Your version of Excel allows you to read this threaded comment; however, any edits to it will get removed if the file is opened in a newer version of Excel. Learn more: https://go.microsoft.com/fwlink/?linkid=870924
Comment:
    Counts valid absence cases (not errors). Excluded from integrity failure rate.</t>
      </text>
    </comment>
    <comment ref="B6" authorId="1" shapeId="0" xr:uid="{ABCC788F-E2FB-414A-B89D-D4ECAD8EC42F}">
      <text>
        <t>[Threaded comment]
Your version of Excel allows you to read this threaded comment; however, any edits to it will get removed if the file is opened in a newer version of Excel. Learn more: https://go.microsoft.com/fwlink/?linkid=870924
Comment:
    StructuaralZeroCheck:
It shows how many zeros exist in the dataset, and whether any of them are suspicious.
In this dataset, 22 zeros exist — and all of them are valid.</t>
      </text>
    </comment>
    <comment ref="C6" authorId="2" shapeId="0" xr:uid="{D71B9A3C-365A-416E-BB37-CE8DD3553EE1}">
      <text>
        <t>[Threaded comment]
Your version of Excel allows you to read this threaded comment; however, any edits to it will get removed if the file is opened in a newer version of Excel. Learn more: https://go.microsoft.com/fwlink/?linkid=870924
Comment:
    What does Flagged Checks = 0 mean?
Out of 96 logical situations checked, there are no unexpected blanks. Every blank is logically justified.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tc={8059A4C8-5416-4C09-995D-6A8471B2A5F0}</author>
  </authors>
  <commentList>
    <comment ref="G3" authorId="0" shapeId="0" xr:uid="{8059A4C8-5416-4C09-995D-6A8471B2A5F0}">
      <text>
        <t>[Threaded comment]
Your version of Excel allows you to read this threaded comment; however, any edits to it will get removed if the file is opened in a newer version of Excel. Learn more: https://go.microsoft.com/fwlink/?linkid=870924
Comment:
    Only 67.7% of rows (65/96) carry 99.96% of weight.
SMALL_BASE and ABSENT_BASE look large in row count but they are statistically negligible.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434D30-3550-4CB6-96A5-DB6948C8A1D1}" keepAlive="1" name="ModelConnection_ExternalData_1" description="Data Model" type="5" refreshedVersion="8" minRefreshableVersion="5" saveData="1">
    <dbPr connection="Data Model Connection" command="02_FACT_APPEARANCE" commandType="3"/>
    <extLst>
      <ext xmlns:x15="http://schemas.microsoft.com/office/spreadsheetml/2010/11/main" uri="{DE250136-89BD-433C-8126-D09CA5730AF9}">
        <x15:connection id="" model="1"/>
      </ext>
    </extLst>
  </connection>
  <connection id="2" xr16:uid="{2D14D0A9-5A07-4C1C-AEFD-83760656D6FA}" keepAlive="1" name="ModelConnection_ExternalData_2" description="Data Model" type="5" refreshedVersion="8" minRefreshableVersion="5" saveData="1">
    <dbPr connection="Data Model Connection" command="03_DATA_QUALITY_LOG" commandType="3"/>
    <extLst>
      <ext xmlns:x15="http://schemas.microsoft.com/office/spreadsheetml/2010/11/main" uri="{DE250136-89BD-433C-8126-D09CA5730AF9}">
        <x15:connection id="" model="1"/>
      </ext>
    </extLst>
  </connection>
  <connection id="3" xr16:uid="{D6FB0365-2B27-4019-BB62-A49AA7287CAC}" keepAlive="1" name="Query - 01_DATA_MODEL_raw_wide" description="Connection to the '01_DATA_MODEL_raw_wide' query in the workbook." type="5" refreshedVersion="0" background="1">
    <dbPr connection="Provider=Microsoft.Mashup.OleDb.1;Data Source=$Workbook$;Location=01_DATA_MODEL_raw_wide;Extended Properties=&quot;&quot;" command="SELECT * FROM [01_DATA_MODEL_raw_wide]"/>
  </connection>
  <connection id="4" xr16:uid="{1910DDE5-BB55-4388-8840-7CEB31C6F5F2}" name="Query - 02_FACT_APPEARANCE" description="Connection to the '02_FACT_APPEARANCE' query in the workbook." type="100" refreshedVersion="8" minRefreshableVersion="5">
    <extLst>
      <ext xmlns:x15="http://schemas.microsoft.com/office/spreadsheetml/2010/11/main" uri="{DE250136-89BD-433C-8126-D09CA5730AF9}">
        <x15:connection id="2889d19c-ed21-4263-8197-c4ad40156493"/>
      </ext>
    </extLst>
  </connection>
  <connection id="5" xr16:uid="{AAB94554-1E50-458F-93E3-D91C8E7BA2BF}" name="Query - 03_DATA_QUALITY_LOG" description="Connection to the '03_DATA_QUALITY_LOG' query in the workbook." type="100" refreshedVersion="8" minRefreshableVersion="5">
    <extLst>
      <ext xmlns:x15="http://schemas.microsoft.com/office/spreadsheetml/2010/11/main" uri="{DE250136-89BD-433C-8126-D09CA5730AF9}">
        <x15:connection id="b616fecf-bb08-407b-95bf-cd94cc922aa6"/>
      </ext>
    </extLst>
  </connection>
  <connection id="6" xr16:uid="{9315A0C3-1285-4528-8030-AF6A52CABF3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7" xr16:uid="{0F72067B-A5B9-480B-81E8-50448375EFF9}" name="WorksheetConnection_class12-2022 cleaned (version 2).xlsb.xlsx!_02_FACT_APPEARANCE" type="102" refreshedVersion="8" minRefreshableVersion="5">
    <extLst>
      <ext xmlns:x15="http://schemas.microsoft.com/office/spreadsheetml/2010/11/main" uri="{DE250136-89BD-433C-8126-D09CA5730AF9}">
        <x15:connection id="_02_FACT_APPEARANCE">
          <x15:rangePr sourceName="_xlcn.WorksheetConnection_class122022cleanedversion2.xlsb.xlsx_02_FACT_APPEARANCE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02_FACT_APPEARANCE].[base_flag].[All]}"/>
    <s v="{[02_FACT_APPEARANCE].[base_flag].&amp;[VALID_BASE]}"/>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<sst xmlns="http://schemas.openxmlformats.org/spreadsheetml/2006/main" count="3408" uniqueCount="227">
  <si>
    <t>Class</t>
  </si>
  <si>
    <t>Year</t>
  </si>
  <si>
    <t xml:space="preserve">Type </t>
  </si>
  <si>
    <t>Status</t>
  </si>
  <si>
    <t>CTSA</t>
  </si>
  <si>
    <t>GOVT</t>
  </si>
  <si>
    <t>GOVT AIDED</t>
  </si>
  <si>
    <t>INDEPENDENT</t>
  </si>
  <si>
    <t>JNV</t>
  </si>
  <si>
    <t>KV</t>
  </si>
  <si>
    <t>Ajmer</t>
  </si>
  <si>
    <t>Regd.</t>
  </si>
  <si>
    <t>Appd.</t>
  </si>
  <si>
    <t>Bhubaneswar</t>
  </si>
  <si>
    <t>Chandigarh</t>
  </si>
  <si>
    <t>Delhi East</t>
  </si>
  <si>
    <t>Pune</t>
  </si>
  <si>
    <t>Guwahati</t>
  </si>
  <si>
    <t>Panchkula</t>
  </si>
  <si>
    <t>Bengaluru</t>
  </si>
  <si>
    <t>Bhopal</t>
  </si>
  <si>
    <t>Chennai</t>
  </si>
  <si>
    <t>Noida</t>
  </si>
  <si>
    <t>Patna</t>
  </si>
  <si>
    <t>Prayagraj</t>
  </si>
  <si>
    <t>Trivandrum</t>
  </si>
  <si>
    <t>Dehradun</t>
  </si>
  <si>
    <t>Delhi West</t>
  </si>
  <si>
    <t>Region</t>
  </si>
  <si>
    <t>School Type</t>
  </si>
  <si>
    <t>Registered</t>
  </si>
  <si>
    <t>Appeared</t>
  </si>
  <si>
    <t>ABSENT</t>
  </si>
  <si>
    <t>OK</t>
  </si>
  <si>
    <t>MissingCheck</t>
  </si>
  <si>
    <t>RateCheck</t>
  </si>
  <si>
    <t>RegisteredCheck</t>
  </si>
  <si>
    <t>appearance_rate</t>
  </si>
  <si>
    <t>no_show_rate</t>
  </si>
  <si>
    <t>absence_flag</t>
  </si>
  <si>
    <t>base_status</t>
  </si>
  <si>
    <t>base_flag</t>
  </si>
  <si>
    <t>anomaly_flag</t>
  </si>
  <si>
    <t>is_usable_for_analysis</t>
  </si>
  <si>
    <t>risk_bucket</t>
  </si>
  <si>
    <t>ABSENT_BASE</t>
  </si>
  <si>
    <t>NO</t>
  </si>
  <si>
    <t>EXCLUDE</t>
  </si>
  <si>
    <t>NON_ZERO</t>
  </si>
  <si>
    <t>VALID_BASE</t>
  </si>
  <si>
    <t>NORMAL</t>
  </si>
  <si>
    <t>YES</t>
  </si>
  <si>
    <t>STABLE</t>
  </si>
  <si>
    <t>SMALL_BASE</t>
  </si>
  <si>
    <t>HIGH_RISK</t>
  </si>
  <si>
    <t>SUSPICIOUS_PERFECTION</t>
  </si>
  <si>
    <t>LOW_RATE</t>
  </si>
  <si>
    <t>REVIEW</t>
  </si>
  <si>
    <t>fact_id</t>
  </si>
  <si>
    <t>2022_Ajmer_CTSA</t>
  </si>
  <si>
    <t>2022_Ajmer_GOVT</t>
  </si>
  <si>
    <t>2022_Ajmer_GOVT AIDED</t>
  </si>
  <si>
    <t>2022_Ajmer_INDEPENDENT</t>
  </si>
  <si>
    <t>2022_Ajmer_JNV</t>
  </si>
  <si>
    <t>2022_Ajmer_KV</t>
  </si>
  <si>
    <t>2022_Bengaluru_CTSA</t>
  </si>
  <si>
    <t>2022_Bengaluru_GOVT</t>
  </si>
  <si>
    <t>2022_Bengaluru_GOVT AIDED</t>
  </si>
  <si>
    <t>2022_Bengaluru_INDEPENDENT</t>
  </si>
  <si>
    <t>2022_Bengaluru_JNV</t>
  </si>
  <si>
    <t>2022_Bengaluru_KV</t>
  </si>
  <si>
    <t>2022_Bhopal_CTSA</t>
  </si>
  <si>
    <t>2022_Bhopal_GOVT</t>
  </si>
  <si>
    <t>2022_Bhopal_GOVT AIDED</t>
  </si>
  <si>
    <t>2022_Bhopal_INDEPENDENT</t>
  </si>
  <si>
    <t>2022_Bhopal_JNV</t>
  </si>
  <si>
    <t>2022_Bhopal_KV</t>
  </si>
  <si>
    <t>2022_Bhubaneswar_CTSA</t>
  </si>
  <si>
    <t>2022_Bhubaneswar_GOVT</t>
  </si>
  <si>
    <t>2022_Bhubaneswar_GOVT AIDED</t>
  </si>
  <si>
    <t>2022_Bhubaneswar_INDEPENDENT</t>
  </si>
  <si>
    <t>2022_Bhubaneswar_JNV</t>
  </si>
  <si>
    <t>2022_Bhubaneswar_KV</t>
  </si>
  <si>
    <t>2022_Chandigarh_CTSA</t>
  </si>
  <si>
    <t>2022_Chandigarh_GOVT</t>
  </si>
  <si>
    <t>2022_Chandigarh_GOVT AIDED</t>
  </si>
  <si>
    <t>2022_Chandigarh_INDEPENDENT</t>
  </si>
  <si>
    <t>2022_Chandigarh_JNV</t>
  </si>
  <si>
    <t>2022_Chandigarh_KV</t>
  </si>
  <si>
    <t>2022_Chennai_CTSA</t>
  </si>
  <si>
    <t>2022_Chennai_GOVT</t>
  </si>
  <si>
    <t>2022_Chennai_GOVT AIDED</t>
  </si>
  <si>
    <t>2022_Chennai_INDEPENDENT</t>
  </si>
  <si>
    <t>2022_Chennai_JNV</t>
  </si>
  <si>
    <t>2022_Chennai_KV</t>
  </si>
  <si>
    <t>2022_Dehradun_CTSA</t>
  </si>
  <si>
    <t>2022_Dehradun_GOVT</t>
  </si>
  <si>
    <t>2022_Dehradun_GOVT AIDED</t>
  </si>
  <si>
    <t>2022_Dehradun_INDEPENDENT</t>
  </si>
  <si>
    <t>2022_Dehradun_JNV</t>
  </si>
  <si>
    <t>2022_Dehradun_KV</t>
  </si>
  <si>
    <t>2022_Delhi East_CTSA</t>
  </si>
  <si>
    <t>2022_Delhi East_GOVT</t>
  </si>
  <si>
    <t>2022_Delhi East_GOVT AIDED</t>
  </si>
  <si>
    <t>2022_Delhi East_INDEPENDENT</t>
  </si>
  <si>
    <t>2022_Delhi East_JNV</t>
  </si>
  <si>
    <t>2022_Delhi East_KV</t>
  </si>
  <si>
    <t>2022_Delhi West_CTSA</t>
  </si>
  <si>
    <t>2022_Delhi West_GOVT</t>
  </si>
  <si>
    <t>2022_Delhi West_GOVT AIDED</t>
  </si>
  <si>
    <t>2022_Delhi West_INDEPENDENT</t>
  </si>
  <si>
    <t>2022_Delhi West_JNV</t>
  </si>
  <si>
    <t>2022_Delhi West_KV</t>
  </si>
  <si>
    <t>2022_Guwahati_CTSA</t>
  </si>
  <si>
    <t>2022_Guwahati_GOVT</t>
  </si>
  <si>
    <t>2022_Guwahati_GOVT AIDED</t>
  </si>
  <si>
    <t>2022_Guwahati_INDEPENDENT</t>
  </si>
  <si>
    <t>2022_Guwahati_JNV</t>
  </si>
  <si>
    <t>2022_Guwahati_KV</t>
  </si>
  <si>
    <t>2022_Noida_CTSA</t>
  </si>
  <si>
    <t>2022_Noida_GOVT</t>
  </si>
  <si>
    <t>2022_Noida_GOVT AIDED</t>
  </si>
  <si>
    <t>2022_Noida_INDEPENDENT</t>
  </si>
  <si>
    <t>2022_Noida_JNV</t>
  </si>
  <si>
    <t>2022_Noida_KV</t>
  </si>
  <si>
    <t>2022_Panchkula_CTSA</t>
  </si>
  <si>
    <t>2022_Panchkula_GOVT</t>
  </si>
  <si>
    <t>2022_Panchkula_GOVT AIDED</t>
  </si>
  <si>
    <t>2022_Panchkula_INDEPENDENT</t>
  </si>
  <si>
    <t>2022_Panchkula_JNV</t>
  </si>
  <si>
    <t>2022_Panchkula_KV</t>
  </si>
  <si>
    <t>2022_Patna_CTSA</t>
  </si>
  <si>
    <t>2022_Patna_GOVT</t>
  </si>
  <si>
    <t>2022_Patna_GOVT AIDED</t>
  </si>
  <si>
    <t>2022_Patna_INDEPENDENT</t>
  </si>
  <si>
    <t>2022_Patna_JNV</t>
  </si>
  <si>
    <t>2022_Patna_KV</t>
  </si>
  <si>
    <t>2022_Prayagraj_CTSA</t>
  </si>
  <si>
    <t>2022_Prayagraj_GOVT</t>
  </si>
  <si>
    <t>2022_Prayagraj_GOVT AIDED</t>
  </si>
  <si>
    <t>2022_Prayagraj_INDEPENDENT</t>
  </si>
  <si>
    <t>2022_Prayagraj_JNV</t>
  </si>
  <si>
    <t>2022_Prayagraj_KV</t>
  </si>
  <si>
    <t>2022_Pune_CTSA</t>
  </si>
  <si>
    <t>2022_Pune_GOVT</t>
  </si>
  <si>
    <t>2022_Pune_GOVT AIDED</t>
  </si>
  <si>
    <t>2022_Pune_INDEPENDENT</t>
  </si>
  <si>
    <t>2022_Pune_JNV</t>
  </si>
  <si>
    <t>2022_Pune_KV</t>
  </si>
  <si>
    <t>2022_Trivandrum_CTSA</t>
  </si>
  <si>
    <t>2022_Trivandrum_GOVT</t>
  </si>
  <si>
    <t>2022_Trivandrum_GOVT AIDED</t>
  </si>
  <si>
    <t>2022_Trivandrum_INDEPENDENT</t>
  </si>
  <si>
    <t>2022_Trivandrum_JNV</t>
  </si>
  <si>
    <t>2022_Trivandrum_KV</t>
  </si>
  <si>
    <t>Integrity_Check</t>
  </si>
  <si>
    <t>Integrity_Result</t>
  </si>
  <si>
    <t>StructuralZeroCheck</t>
  </si>
  <si>
    <t>SKIP</t>
  </si>
  <si>
    <t>STRUCTURAL_ZERO</t>
  </si>
  <si>
    <t>Row Labels</t>
  </si>
  <si>
    <t>Grand Total</t>
  </si>
  <si>
    <t>Flagged Checks</t>
  </si>
  <si>
    <t>Total Checks</t>
  </si>
  <si>
    <t>Percent Flagged</t>
  </si>
  <si>
    <t>Pivot 1 - Integrity Overview</t>
  </si>
  <si>
    <t>Pivot 2 - Integrity by Region</t>
  </si>
  <si>
    <t>Column Labels</t>
  </si>
  <si>
    <t>Structural Zeros</t>
  </si>
  <si>
    <t>Count of base_flag</t>
  </si>
  <si>
    <t>Total Registered</t>
  </si>
  <si>
    <t>Coverage Share</t>
  </si>
  <si>
    <t>Data Credibility &amp; Coverage Weight</t>
  </si>
  <si>
    <t>Data Integrity &amp; Quality Audit</t>
  </si>
  <si>
    <t>Regions</t>
  </si>
  <si>
    <t>Analysis — Anomalies &amp; Risk</t>
  </si>
  <si>
    <t>Row Count</t>
  </si>
  <si>
    <t>Avg Appearance Rate</t>
  </si>
  <si>
    <t>Appearance Rate Std Dev</t>
  </si>
  <si>
    <t>Attendance Volatility by School Type</t>
  </si>
  <si>
    <t>CBSE Class 12 (2022) — Data Credibility &amp; Attendance Overview</t>
  </si>
  <si>
    <t>Integrity Score</t>
  </si>
  <si>
    <t>Usable Coverage Share</t>
  </si>
  <si>
    <t>Valid Base Rows</t>
  </si>
  <si>
    <t>Total Rows</t>
  </si>
  <si>
    <t>Low Rate Coverage (%)</t>
  </si>
  <si>
    <t>Suspicious Perfection Coverage (%)</t>
  </si>
  <si>
    <t>Total Anomalous Coverage (%)</t>
  </si>
  <si>
    <t>All</t>
  </si>
  <si>
    <t>Assumptions, Thresholds &amp; Methodology</t>
  </si>
  <si>
    <t>CBSE Class 12 (2022) | Data Credibility &amp; Attendance Analysis</t>
  </si>
  <si>
    <t>SMALL_BASE Threshold Justification</t>
  </si>
  <si>
    <t>Metric</t>
  </si>
  <si>
    <t>Value</t>
  </si>
  <si>
    <t>Smallest non-zero base</t>
  </si>
  <si>
    <t>25th percentile (non-zero)</t>
  </si>
  <si>
    <t>Median (non-zero)</t>
  </si>
  <si>
    <t>Count &lt; 30</t>
  </si>
  <si>
    <t>Count &lt; 50</t>
  </si>
  <si>
    <t>Count &lt; 100</t>
  </si>
  <si>
    <t>Count &lt; 1000</t>
  </si>
  <si>
    <t>Total non-zero rows</t>
  </si>
  <si>
    <t>Total rows</t>
  </si>
  <si>
    <t>Non-empty appearance rates</t>
  </si>
  <si>
    <t>Blank rows</t>
  </si>
  <si>
    <t>Count below 0.95</t>
  </si>
  <si>
    <t>Count below 0.96</t>
  </si>
  <si>
    <t>Count below 0.98</t>
  </si>
  <si>
    <t>Count below 0.985</t>
  </si>
  <si>
    <t>Count below 0.99</t>
  </si>
  <si>
    <t>25th percentile (non-blank)</t>
  </si>
  <si>
    <t>Median</t>
  </si>
  <si>
    <t>LOW_RATE Threshold Justification</t>
  </si>
  <si>
    <t>Interpretation Boundaries</t>
  </si>
  <si>
    <t>Where These Thresholds Are Applied</t>
  </si>
  <si>
    <t>Threshold</t>
  </si>
  <si>
    <t>Applied In</t>
  </si>
  <si>
    <t>Purpose</t>
  </si>
  <si>
    <t>Integrity Checks</t>
  </si>
  <si>
    <t>Power Query</t>
  </si>
  <si>
    <t>Power Pivot</t>
  </si>
  <si>
    <t>Data Quality Log</t>
  </si>
  <si>
    <t>Base stability classification</t>
  </si>
  <si>
    <t>Anomaly flagging</t>
  </si>
  <si>
    <t>Weight-aware interpretation</t>
  </si>
  <si>
    <t>Logical validity</t>
  </si>
  <si>
    <t>Overall Appearance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</si>
</sst>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_ ;\-#,##0\ "/>
    <numFmt numFmtId="166" formatCode="0.00%;\-0.00%;0.00%"/>
    <numFmt numFmtId="167" formatCode="0.000000"/>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1"/>
      <name val="Aptos Narrow"/>
      <family val="2"/>
      <scheme val="minor"/>
    </font>
    <font>
      <b/>
      <sz val="24"/>
      <color theme="1"/>
      <name val="Aptos Narrow"/>
      <family val="2"/>
      <scheme val="minor"/>
    </font>
    <font>
      <sz val="24"/>
      <color theme="1"/>
      <name val="Aptos Narrow"/>
      <family val="2"/>
      <scheme val="minor"/>
    </font>
    <font>
      <sz val="14"/>
      <color theme="1"/>
      <name val="Aptos Narrow"/>
      <family val="2"/>
      <scheme val="minor"/>
    </font>
    <font>
      <sz val="9"/>
      <color theme="1"/>
      <name val="Segoe UI"/>
      <family val="2"/>
    </font>
    <font>
      <b/>
      <sz val="30"/>
      <color theme="1"/>
      <name val="Aptos Narrow"/>
      <family val="2"/>
      <scheme val="minor"/>
    </font>
    <font>
      <b/>
      <sz val="30"/>
      <color theme="0"/>
      <name val="Aptos Narrow"/>
      <family val="2"/>
      <scheme val="minor"/>
    </font>
    <font>
      <b/>
      <sz val="14"/>
      <color theme="0"/>
      <name val="Aptos Narrow"/>
      <family val="2"/>
      <scheme val="minor"/>
    </font>
    <font>
      <b/>
      <sz val="24"/>
      <color theme="0"/>
      <name val="Aptos Narrow"/>
      <family val="2"/>
      <scheme val="minor"/>
    </font>
    <font>
      <sz val="16"/>
      <color theme="1"/>
      <name val="Aptos Narrow"/>
      <family val="2"/>
      <scheme val="minor"/>
    </font>
    <font>
      <b/>
      <sz val="20"/>
      <color theme="0"/>
      <name val="Aptos Narrow"/>
      <family val="2"/>
      <scheme val="minor"/>
    </font>
    <font>
      <b/>
      <sz val="16"/>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
      <patternFill patternType="solid">
        <fgColor theme="2" tint="-0.249977111117893"/>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6">
    <xf numFmtId="0" fontId="0" fillId="0" borderId="0" xfId="0"/>
    <xf numFmtId="0" fontId="0" fillId="0" borderId="0" xfId="0" pivotButton="1"/>
    <xf numFmtId="0" fontId="0" fillId="0" borderId="0" xfId="0" applyAlignment="1">
      <alignment horizontal="left"/>
    </xf>
    <xf numFmtId="164" fontId="0" fillId="0" borderId="0" xfId="0" applyNumberFormat="1"/>
    <xf numFmtId="0" fontId="16" fillId="0" borderId="0" xfId="0" applyFont="1"/>
    <xf numFmtId="0" fontId="0" fillId="0" borderId="10" xfId="0" applyBorder="1"/>
    <xf numFmtId="10" fontId="0" fillId="0" borderId="0" xfId="0" applyNumberFormat="1"/>
    <xf numFmtId="165" fontId="0" fillId="0" borderId="0" xfId="0" applyNumberFormat="1"/>
    <xf numFmtId="3" fontId="0" fillId="0" borderId="0" xfId="0" applyNumberFormat="1"/>
    <xf numFmtId="0" fontId="24" fillId="0" borderId="10" xfId="0" applyFont="1" applyBorder="1"/>
    <xf numFmtId="9" fontId="0" fillId="33" borderId="0" xfId="42" applyFont="1" applyFill="1"/>
    <xf numFmtId="0" fontId="0" fillId="33" borderId="0" xfId="0" applyFill="1"/>
    <xf numFmtId="0" fontId="23" fillId="33" borderId="0" xfId="0" applyFont="1" applyFill="1"/>
    <xf numFmtId="0" fontId="26" fillId="35" borderId="11" xfId="0" applyFont="1" applyFill="1" applyBorder="1" applyAlignment="1">
      <alignment horizontal="center"/>
    </xf>
    <xf numFmtId="9" fontId="26" fillId="35" borderId="11" xfId="0" applyNumberFormat="1" applyFont="1" applyFill="1" applyBorder="1" applyAlignment="1">
      <alignment horizontal="center"/>
    </xf>
    <xf numFmtId="0" fontId="17" fillId="34" borderId="0" xfId="0" applyFont="1" applyFill="1"/>
    <xf numFmtId="0" fontId="26" fillId="35" borderId="11" xfId="0" applyFont="1" applyFill="1" applyBorder="1"/>
    <xf numFmtId="10" fontId="22" fillId="0" borderId="0" xfId="42" applyNumberFormat="1" applyFont="1" applyFill="1" applyBorder="1"/>
    <xf numFmtId="0" fontId="22" fillId="0" borderId="0" xfId="0" applyFont="1"/>
    <xf numFmtId="0" fontId="19" fillId="0" borderId="0" xfId="0" applyFont="1"/>
    <xf numFmtId="0" fontId="21" fillId="0" borderId="0" xfId="0" applyFont="1"/>
    <xf numFmtId="10" fontId="26" fillId="35" borderId="11" xfId="0" applyNumberFormat="1" applyFont="1" applyFill="1" applyBorder="1" applyAlignment="1">
      <alignment horizontal="center"/>
    </xf>
    <xf numFmtId="10" fontId="19" fillId="33" borderId="0" xfId="42" applyNumberFormat="1" applyFont="1" applyFill="1" applyBorder="1"/>
    <xf numFmtId="0" fontId="19" fillId="33" borderId="0" xfId="0" applyFont="1" applyFill="1"/>
    <xf numFmtId="166" fontId="26" fillId="35" borderId="11" xfId="0" applyNumberFormat="1" applyFont="1" applyFill="1" applyBorder="1" applyAlignment="1">
      <alignment horizontal="center"/>
    </xf>
    <xf numFmtId="0" fontId="20" fillId="0" borderId="0" xfId="0" applyFont="1"/>
    <xf numFmtId="167" fontId="22" fillId="0" borderId="0" xfId="0" applyNumberFormat="1" applyFont="1"/>
    <xf numFmtId="0" fontId="27" fillId="34" borderId="0" xfId="0" applyFont="1" applyFill="1"/>
    <xf numFmtId="10" fontId="26" fillId="35" borderId="11" xfId="0" applyNumberFormat="1" applyFont="1" applyFill="1" applyBorder="1"/>
    <xf numFmtId="0" fontId="25" fillId="34" borderId="10" xfId="0" applyFont="1" applyFill="1" applyBorder="1" applyAlignment="1">
      <alignment horizontal="center"/>
    </xf>
    <xf numFmtId="0" fontId="25" fillId="34" borderId="0" xfId="0" applyFont="1" applyFill="1" applyAlignment="1">
      <alignment horizontal="center"/>
    </xf>
    <xf numFmtId="0" fontId="30" fillId="0" borderId="13" xfId="0" applyFont="1" applyBorder="1"/>
    <xf numFmtId="0" fontId="30" fillId="0" borderId="15" xfId="0" applyFont="1" applyBorder="1"/>
    <xf numFmtId="0" fontId="28" fillId="0" borderId="17" xfId="0" applyFont="1" applyBorder="1"/>
    <xf numFmtId="0" fontId="28" fillId="0" borderId="18" xfId="0" applyFont="1" applyBorder="1"/>
    <xf numFmtId="0" fontId="28" fillId="0" borderId="0" xfId="0" applyFont="1"/>
    <xf numFmtId="0" fontId="28" fillId="0" borderId="20" xfId="0" applyFont="1" applyBorder="1"/>
    <xf numFmtId="0" fontId="28" fillId="0" borderId="14" xfId="0" applyFont="1" applyBorder="1"/>
    <xf numFmtId="0" fontId="28" fillId="0" borderId="22" xfId="0" applyFont="1" applyBorder="1"/>
    <xf numFmtId="0" fontId="30" fillId="0" borderId="12" xfId="0" applyFont="1" applyBorder="1"/>
    <xf numFmtId="0" fontId="28" fillId="0" borderId="16" xfId="0" applyFont="1" applyBorder="1"/>
    <xf numFmtId="0" fontId="28" fillId="0" borderId="19" xfId="0" applyFont="1" applyBorder="1"/>
    <xf numFmtId="0" fontId="28" fillId="0" borderId="21" xfId="0" applyFont="1" applyBorder="1"/>
    <xf numFmtId="0" fontId="29" fillId="35" borderId="0" xfId="0" applyFont="1" applyFill="1" applyAlignment="1">
      <alignment horizontal="center"/>
    </xf>
    <xf numFmtId="0" fontId="0" fillId="0" borderId="0" xfId="0" applyNumberFormat="1"/>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20">
    <dxf>
      <numFmt numFmtId="14" formatCode="0.00%"/>
    </dxf>
    <dxf>
      <numFmt numFmtId="170" formatCode="0.0000%"/>
    </dxf>
    <dxf>
      <numFmt numFmtId="14" formatCode="0.00%"/>
    </dxf>
    <dxf>
      <numFmt numFmtId="170" formatCode="0.0000%"/>
    </dxf>
    <dxf>
      <numFmt numFmtId="14" formatCode="0.00%"/>
    </dxf>
    <dxf>
      <numFmt numFmtId="14" formatCode="0.00%"/>
    </dxf>
    <dxf>
      <numFmt numFmtId="170" formatCode="0.0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ont>
        <b/>
      </font>
    </dxf>
    <dxf>
      <alignment horizontal="center"/>
    </dxf>
    <dxf>
      <alignment horizontal="center"/>
    </dxf>
    <dxf>
      <alignment horizontal="center"/>
    </dxf>
    <dxf>
      <border>
        <bottom style="medium">
          <color indexed="64"/>
        </bottom>
      </border>
    </dxf>
    <dxf>
      <fill>
        <patternFill>
          <bgColor theme="2" tint="-0.249977111117893"/>
        </patternFill>
      </fill>
    </dxf>
    <dxf>
      <fill>
        <patternFill>
          <bgColor theme="2" tint="-0.249977111117893"/>
        </patternFill>
      </fill>
    </dxf>
    <dxf>
      <fill>
        <patternFill>
          <bgColor theme="2" tint="-0.249977111117893"/>
        </patternFill>
      </fill>
    </dxf>
    <dxf>
      <font>
        <color theme="0"/>
      </font>
    </dxf>
    <dxf>
      <font>
        <color theme="0"/>
      </font>
    </dxf>
    <dxf>
      <font>
        <color theme="0"/>
      </font>
    </dxf>
    <dxf>
      <font>
        <sz val="14"/>
      </font>
    </dxf>
    <dxf>
      <font>
        <sz val="14"/>
      </font>
    </dxf>
    <dxf>
      <font>
        <sz val="14"/>
      </font>
    </dxf>
    <dxf>
      <numFmt numFmtId="170" formatCode="0.0000%"/>
    </dxf>
    <dxf>
      <numFmt numFmtId="14" formatCode="0.00%"/>
    </dxf>
    <dxf>
      <numFmt numFmtId="0" formatCode="General"/>
    </dxf>
    <dxf>
      <numFmt numFmtId="0" formatCode="General"/>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b/>
        <strike val="0"/>
        <outline val="0"/>
        <shadow val="0"/>
        <u val="none"/>
        <vertAlign val="baseline"/>
        <sz val="14"/>
        <color theme="1"/>
        <name val="Aptos Narrow"/>
        <family val="2"/>
        <scheme val="minor"/>
      </font>
    </dxf>
    <dxf>
      <fill>
        <patternFill>
          <bgColor theme="2" tint="-0.249977111117893"/>
        </patternFill>
      </fill>
    </dxf>
    <dxf>
      <fill>
        <patternFill>
          <bgColor theme="2" tint="-0.249977111117893"/>
        </patternFill>
      </fill>
    </dxf>
    <dxf>
      <fill>
        <patternFill>
          <bgColor theme="2" tint="-0.249977111117893"/>
        </patternFill>
      </fill>
    </dxf>
    <dxf>
      <font>
        <color theme="0"/>
      </font>
    </dxf>
    <dxf>
      <font>
        <color theme="0"/>
      </font>
    </dxf>
    <dxf>
      <font>
        <color theme="0"/>
      </font>
    </dxf>
    <dxf>
      <border>
        <bottom style="medium">
          <color indexed="64"/>
        </bottom>
      </border>
    </dxf>
    <dxf>
      <font>
        <b/>
      </font>
    </dxf>
    <dxf>
      <font>
        <b/>
      </font>
    </dxf>
    <dxf>
      <font>
        <b/>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font>
        <b/>
      </font>
    </dxf>
    <dxf>
      <font>
        <b/>
      </font>
    </dxf>
    <dxf>
      <font>
        <b/>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3" formatCode="0%"/>
    </dxf>
    <dxf>
      <fill>
        <patternFill>
          <bgColor theme="2" tint="-0.249977111117893"/>
        </patternFill>
      </fill>
    </dxf>
    <dxf>
      <fill>
        <patternFill>
          <bgColor theme="2" tint="-0.249977111117893"/>
        </patternFill>
      </fill>
    </dxf>
    <dxf>
      <fill>
        <patternFill>
          <bgColor theme="2" tint="-0.249977111117893"/>
        </patternFill>
      </fill>
    </dxf>
    <dxf>
      <font>
        <color theme="0"/>
      </font>
    </dxf>
    <dxf>
      <font>
        <color theme="0"/>
      </font>
    </dxf>
    <dxf>
      <font>
        <color theme="0"/>
      </font>
    </dxf>
    <dxf>
      <border>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sz val="14"/>
      </font>
    </dxf>
    <dxf>
      <font>
        <sz val="14"/>
      </font>
    </dxf>
    <dxf>
      <font>
        <sz val="14"/>
      </font>
    </dxf>
    <dxf>
      <alignment horizontal="center"/>
    </dxf>
    <dxf>
      <alignment horizontal="center"/>
    </dxf>
    <dxf>
      <alignment horizontal="center"/>
    </dxf>
    <dxf>
      <numFmt numFmtId="14" formatCode="0.00%"/>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b/>
      </font>
    </dxf>
    <dxf>
      <font>
        <b/>
      </font>
    </dxf>
    <dxf>
      <font>
        <b/>
      </font>
    </dxf>
    <dxf>
      <alignment horizontal="center"/>
    </dxf>
    <dxf>
      <alignment horizont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color theme="0"/>
      </font>
    </dxf>
    <dxf>
      <font>
        <color theme="0"/>
      </font>
    </dxf>
    <dxf>
      <font>
        <color theme="0"/>
      </font>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sz val="14"/>
      </font>
    </dxf>
    <dxf>
      <font>
        <sz val="14"/>
      </font>
    </dxf>
    <dxf>
      <font>
        <sz val="14"/>
      </font>
    </dxf>
    <dxf>
      <numFmt numFmtId="14" formatCode="0.00%"/>
    </dxf>
    <dxf>
      <numFmt numFmtId="14" formatCode="0.00%"/>
    </dxf>
    <dxf>
      <font>
        <sz val="14"/>
      </font>
    </dxf>
    <dxf>
      <font>
        <sz val="14"/>
      </font>
    </dxf>
    <dxf>
      <font>
        <sz val="14"/>
      </font>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alignment horizontal="center"/>
    </dxf>
    <dxf>
      <alignment horizontal="center"/>
    </dxf>
    <dxf>
      <alignment horizontal="center"/>
    </dxf>
    <dxf>
      <font>
        <b/>
      </font>
    </dxf>
    <dxf>
      <font>
        <b/>
      </font>
    </dxf>
    <dxf>
      <font>
        <b/>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font>
        <sz val="14"/>
      </font>
    </dxf>
    <dxf>
      <font>
        <sz val="14"/>
      </font>
    </dxf>
    <dxf>
      <font>
        <sz val="14"/>
      </font>
    </dxf>
    <dxf>
      <fill>
        <patternFill>
          <bgColor theme="0"/>
        </patternFill>
      </fill>
    </dxf>
    <dxf>
      <fill>
        <patternFill>
          <bgColor theme="0"/>
        </patternFill>
      </fill>
    </dxf>
    <dxf>
      <fill>
        <patternFill>
          <bgColor theme="0"/>
        </patternFill>
      </fill>
    </dxf>
    <dxf>
      <border>
        <bottom style="medium">
          <color indexed="64"/>
        </bottom>
      </bord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numFmt numFmtId="14" formatCode="0.00%"/>
    </dxf>
    <dxf>
      <numFmt numFmtId="14" formatCode="0.00%"/>
    </dxf>
    <dxf>
      <numFmt numFmtId="14" formatCode="0.00%"/>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sz val="14"/>
      </font>
    </dxf>
    <dxf>
      <font>
        <sz val="14"/>
      </font>
    </dxf>
    <dxf>
      <font>
        <sz val="14"/>
      </font>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sz val="14"/>
      </font>
    </dxf>
    <dxf>
      <font>
        <sz val="14"/>
      </font>
    </dxf>
    <dxf>
      <font>
        <sz val="14"/>
      </font>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numFmt numFmtId="14" formatCode="0.00%"/>
    </dxf>
    <dxf>
      <numFmt numFmtId="14" formatCode="0.00%"/>
    </dxf>
    <dxf>
      <numFmt numFmtId="165" formatCode="#,##0_ ;\-#,##0\ "/>
    </dxf>
    <dxf>
      <numFmt numFmtId="14" formatCode="0.00%"/>
    </dxf>
    <dxf>
      <numFmt numFmtId="14" formatCode="0.00%"/>
    </dxf>
    <dxf>
      <numFmt numFmtId="3" formatCode="#,##0"/>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sz val="14"/>
      </font>
    </dxf>
    <dxf>
      <font>
        <sz val="14"/>
      </font>
    </dxf>
    <dxf>
      <font>
        <sz val="14"/>
      </font>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border>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border>
        <bottom style="medium">
          <color indexed="64"/>
        </bottom>
      </border>
    </dxf>
    <dxf>
      <border>
        <bottom style="medium">
          <color indexed="64"/>
        </bottom>
      </border>
    </dxf>
    <dxf>
      <border>
        <bottom style="medium">
          <color indexed="64"/>
        </bottom>
      </border>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font>
        <sz val="14"/>
      </font>
    </dxf>
    <dxf>
      <font>
        <sz val="14"/>
      </font>
    </dxf>
    <dxf>
      <font>
        <sz val="14"/>
      </font>
    </dxf>
    <dxf>
      <fill>
        <patternFill>
          <bgColor theme="0" tint="-0.14999847407452621"/>
        </patternFill>
      </fill>
    </dxf>
    <dxf>
      <fill>
        <patternFill>
          <bgColor theme="0" tint="-0.14999847407452621"/>
        </patternFill>
      </fill>
    </dxf>
    <dxf>
      <fill>
        <patternFill>
          <bgColor theme="0" tint="-0.14999847407452621"/>
        </patternFill>
      </fill>
    </dxf>
    <dxf>
      <border>
        <bottom style="medium">
          <color indexed="64"/>
        </bottom>
      </border>
    </dxf>
    <dxf>
      <alignment horizontal="center"/>
    </dxf>
    <dxf>
      <alignment horizontal="center"/>
    </dxf>
    <dxf>
      <alignment horizontal="center"/>
    </dxf>
    <dxf>
      <font>
        <b/>
      </font>
    </dxf>
    <dxf>
      <font>
        <b/>
      </font>
    </dxf>
    <dxf>
      <font>
        <b/>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3" formatCode="0%"/>
    </dxf>
    <dxf>
      <border>
        <bottom style="medium">
          <color indexed="64"/>
        </bottom>
      </border>
    </dxf>
    <dxf>
      <border>
        <bottom style="medium">
          <color indexed="64"/>
        </bottom>
      </border>
    </dxf>
    <dxf>
      <border>
        <bottom style="medium">
          <color indexed="64"/>
        </bottom>
      </border>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font>
        <sz val="14"/>
      </font>
    </dxf>
    <dxf>
      <font>
        <sz val="14"/>
      </font>
    </dxf>
    <dxf>
      <font>
        <sz val="14"/>
      </font>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center"/>
    </dxf>
    <dxf>
      <border>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border>
        <bottom style="medium">
          <color indexed="64"/>
        </bottom>
      </border>
    </dxf>
    <dxf>
      <border>
        <bottom style="medium">
          <color indexed="64"/>
        </bottom>
      </border>
    </dxf>
    <dxf>
      <border>
        <bottom style="medium">
          <color indexed="64"/>
        </bottom>
      </border>
    </dxf>
    <dxf>
      <font>
        <color theme="0"/>
      </font>
    </dxf>
    <dxf>
      <font>
        <color theme="0"/>
      </font>
    </dxf>
    <dxf>
      <font>
        <color theme="0"/>
      </font>
    </dxf>
    <dxf>
      <fill>
        <patternFill>
          <bgColor theme="2" tint="-0.249977111117893"/>
        </patternFill>
      </fill>
    </dxf>
    <dxf>
      <fill>
        <patternFill>
          <bgColor theme="2" tint="-0.249977111117893"/>
        </patternFill>
      </fill>
    </dxf>
    <dxf>
      <fill>
        <patternFill>
          <bgColor theme="2" tint="-0.249977111117893"/>
        </patternFill>
      </fill>
    </dxf>
    <dxf>
      <font>
        <sz val="14"/>
      </font>
    </dxf>
    <dxf>
      <font>
        <sz val="14"/>
      </font>
    </dxf>
    <dxf>
      <font>
        <sz val="14"/>
      </font>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center"/>
    </dxf>
    <dxf>
      <border>
        <bottom style="medium">
          <color indexed="64"/>
        </bottom>
      </border>
    </dxf>
    <dxf>
      <font>
        <b/>
      </font>
    </dxf>
    <dxf>
      <font>
        <b/>
      </font>
    </dxf>
    <dxf>
      <font>
        <b/>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700"/>
      <color rgb="FFFFBF00"/>
      <color rgb="FFD79334"/>
      <color rgb="FFFFB0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117" Type="http://schemas.openxmlformats.org/officeDocument/2006/relationships/customXml" Target="../customXml/item67.xml"/><Relationship Id="rId21" Type="http://schemas.openxmlformats.org/officeDocument/2006/relationships/pivotCacheDefinition" Target="pivotCache/pivotCacheDefinition10.xml"/><Relationship Id="rId42" Type="http://schemas.microsoft.com/office/2007/relationships/slicerCache" Target="slicerCaches/slicerCache3.xml"/><Relationship Id="rId47" Type="http://schemas.openxmlformats.org/officeDocument/2006/relationships/sheetMetadata" Target="metadata.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12" Type="http://schemas.openxmlformats.org/officeDocument/2006/relationships/customXml" Target="../customXml/item62.xml"/><Relationship Id="rId16" Type="http://schemas.openxmlformats.org/officeDocument/2006/relationships/pivotCacheDefinition" Target="pivotCache/pivotCacheDefinition5.xml"/><Relationship Id="rId107" Type="http://schemas.openxmlformats.org/officeDocument/2006/relationships/customXml" Target="../customXml/item57.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102" Type="http://schemas.openxmlformats.org/officeDocument/2006/relationships/customXml" Target="../customXml/item52.xml"/><Relationship Id="rId123" Type="http://schemas.openxmlformats.org/officeDocument/2006/relationships/customXml" Target="../customXml/item73.xml"/><Relationship Id="rId128" Type="http://schemas.openxmlformats.org/officeDocument/2006/relationships/customXml" Target="../customXml/item78.xml"/><Relationship Id="rId5" Type="http://schemas.openxmlformats.org/officeDocument/2006/relationships/worksheet" Target="worksheets/sheet5.xml"/><Relationship Id="rId90" Type="http://schemas.openxmlformats.org/officeDocument/2006/relationships/customXml" Target="../customXml/item40.xml"/><Relationship Id="rId95" Type="http://schemas.openxmlformats.org/officeDocument/2006/relationships/customXml" Target="../customXml/item45.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theme" Target="theme/theme1.xml"/><Relationship Id="rId48" Type="http://schemas.openxmlformats.org/officeDocument/2006/relationships/powerPivotData" Target="model/item.data"/><Relationship Id="rId64" Type="http://schemas.openxmlformats.org/officeDocument/2006/relationships/customXml" Target="../customXml/item14.xml"/><Relationship Id="rId69" Type="http://schemas.openxmlformats.org/officeDocument/2006/relationships/customXml" Target="../customXml/item19.xml"/><Relationship Id="rId113" Type="http://schemas.openxmlformats.org/officeDocument/2006/relationships/customXml" Target="../customXml/item63.xml"/><Relationship Id="rId118" Type="http://schemas.openxmlformats.org/officeDocument/2006/relationships/customXml" Target="../customXml/item68.xml"/><Relationship Id="rId80" Type="http://schemas.openxmlformats.org/officeDocument/2006/relationships/customXml" Target="../customXml/item30.xml"/><Relationship Id="rId85" Type="http://schemas.openxmlformats.org/officeDocument/2006/relationships/customXml" Target="../customXml/item35.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59" Type="http://schemas.openxmlformats.org/officeDocument/2006/relationships/customXml" Target="../customXml/item9.xml"/><Relationship Id="rId103" Type="http://schemas.openxmlformats.org/officeDocument/2006/relationships/customXml" Target="../customXml/item53.xml"/><Relationship Id="rId108" Type="http://schemas.openxmlformats.org/officeDocument/2006/relationships/customXml" Target="../customXml/item58.xml"/><Relationship Id="rId124" Type="http://schemas.openxmlformats.org/officeDocument/2006/relationships/customXml" Target="../customXml/item74.xml"/><Relationship Id="rId54" Type="http://schemas.openxmlformats.org/officeDocument/2006/relationships/customXml" Target="../customXml/item4.xml"/><Relationship Id="rId70" Type="http://schemas.openxmlformats.org/officeDocument/2006/relationships/customXml" Target="../customXml/item20.xml"/><Relationship Id="rId75" Type="http://schemas.openxmlformats.org/officeDocument/2006/relationships/customXml" Target="../customXml/item25.xml"/><Relationship Id="rId91" Type="http://schemas.openxmlformats.org/officeDocument/2006/relationships/customXml" Target="../customXml/item41.xml"/><Relationship Id="rId96"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49" Type="http://schemas.microsoft.com/office/2017/10/relationships/person" Target="persons/person.xml"/><Relationship Id="rId114" Type="http://schemas.openxmlformats.org/officeDocument/2006/relationships/customXml" Target="../customXml/item64.xml"/><Relationship Id="rId119" Type="http://schemas.openxmlformats.org/officeDocument/2006/relationships/customXml" Target="../customXml/item69.xml"/><Relationship Id="rId44" Type="http://schemas.openxmlformats.org/officeDocument/2006/relationships/connections" Target="connections.xml"/><Relationship Id="rId60" Type="http://schemas.openxmlformats.org/officeDocument/2006/relationships/customXml" Target="../customXml/item10.xml"/><Relationship Id="rId65" Type="http://schemas.openxmlformats.org/officeDocument/2006/relationships/customXml" Target="../customXml/item15.xml"/><Relationship Id="rId81" Type="http://schemas.openxmlformats.org/officeDocument/2006/relationships/customXml" Target="../customXml/item31.xml"/><Relationship Id="rId86" Type="http://schemas.openxmlformats.org/officeDocument/2006/relationships/customXml" Target="../customXml/item36.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109" Type="http://schemas.openxmlformats.org/officeDocument/2006/relationships/customXml" Target="../customXml/item59.xml"/><Relationship Id="rId34" Type="http://schemas.openxmlformats.org/officeDocument/2006/relationships/pivotCacheDefinition" Target="pivotCache/pivotCacheDefinition23.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97" Type="http://schemas.openxmlformats.org/officeDocument/2006/relationships/customXml" Target="../customXml/item47.xml"/><Relationship Id="rId104" Type="http://schemas.openxmlformats.org/officeDocument/2006/relationships/customXml" Target="../customXml/item54.xml"/><Relationship Id="rId120" Type="http://schemas.openxmlformats.org/officeDocument/2006/relationships/customXml" Target="../customXml/item70.xml"/><Relationship Id="rId125" Type="http://schemas.openxmlformats.org/officeDocument/2006/relationships/customXml" Target="../customXml/item75.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microsoft.com/office/2007/relationships/slicerCache" Target="slicerCaches/slicerCache1.xml"/><Relationship Id="rId45" Type="http://schemas.openxmlformats.org/officeDocument/2006/relationships/styles" Target="styles.xml"/><Relationship Id="rId66" Type="http://schemas.openxmlformats.org/officeDocument/2006/relationships/customXml" Target="../customXml/item16.xml"/><Relationship Id="rId87" Type="http://schemas.openxmlformats.org/officeDocument/2006/relationships/customXml" Target="../customXml/item37.xml"/><Relationship Id="rId110" Type="http://schemas.openxmlformats.org/officeDocument/2006/relationships/customXml" Target="../customXml/item60.xml"/><Relationship Id="rId115" Type="http://schemas.openxmlformats.org/officeDocument/2006/relationships/customXml" Target="../customXml/item65.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customXml" Target="../customXml/item6.xml"/><Relationship Id="rId77" Type="http://schemas.openxmlformats.org/officeDocument/2006/relationships/customXml" Target="../customXml/item27.xml"/><Relationship Id="rId100" Type="http://schemas.openxmlformats.org/officeDocument/2006/relationships/customXml" Target="../customXml/item50.xml"/><Relationship Id="rId105" Type="http://schemas.openxmlformats.org/officeDocument/2006/relationships/customXml" Target="../customXml/item55.xml"/><Relationship Id="rId126" Type="http://schemas.openxmlformats.org/officeDocument/2006/relationships/customXml" Target="../customXml/item76.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93" Type="http://schemas.openxmlformats.org/officeDocument/2006/relationships/customXml" Target="../customXml/item43.xml"/><Relationship Id="rId98" Type="http://schemas.openxmlformats.org/officeDocument/2006/relationships/customXml" Target="../customXml/item48.xml"/><Relationship Id="rId121" Type="http://schemas.openxmlformats.org/officeDocument/2006/relationships/customXml" Target="../customXml/item71.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sharedStrings" Target="sharedStrings.xml"/><Relationship Id="rId67" Type="http://schemas.openxmlformats.org/officeDocument/2006/relationships/customXml" Target="../customXml/item17.xml"/><Relationship Id="rId116" Type="http://schemas.openxmlformats.org/officeDocument/2006/relationships/customXml" Target="../customXml/item66.xml"/><Relationship Id="rId20" Type="http://schemas.openxmlformats.org/officeDocument/2006/relationships/pivotCacheDefinition" Target="pivotCache/pivotCacheDefinition9.xml"/><Relationship Id="rId41" Type="http://schemas.microsoft.com/office/2007/relationships/slicerCache" Target="slicerCaches/slicerCache2.xml"/><Relationship Id="rId62" Type="http://schemas.openxmlformats.org/officeDocument/2006/relationships/customXml" Target="../customXml/item12.xml"/><Relationship Id="rId83" Type="http://schemas.openxmlformats.org/officeDocument/2006/relationships/customXml" Target="../customXml/item33.xml"/><Relationship Id="rId88" Type="http://schemas.openxmlformats.org/officeDocument/2006/relationships/customXml" Target="../customXml/item38.xml"/><Relationship Id="rId111" Type="http://schemas.openxmlformats.org/officeDocument/2006/relationships/customXml" Target="../customXml/item61.xml"/><Relationship Id="rId15" Type="http://schemas.openxmlformats.org/officeDocument/2006/relationships/pivotCacheDefinition" Target="pivotCache/pivotCacheDefinition4.xml"/><Relationship Id="rId36" Type="http://schemas.openxmlformats.org/officeDocument/2006/relationships/pivotCacheDefinition" Target="pivotCache/pivotCacheDefinition25.xml"/><Relationship Id="rId57" Type="http://schemas.openxmlformats.org/officeDocument/2006/relationships/customXml" Target="../customXml/item7.xml"/><Relationship Id="rId106" Type="http://schemas.openxmlformats.org/officeDocument/2006/relationships/customXml" Target="../customXml/item56.xml"/><Relationship Id="rId127" Type="http://schemas.openxmlformats.org/officeDocument/2006/relationships/customXml" Target="../customXml/item77.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customXml" Target="../customXml/item2.xml"/><Relationship Id="rId73" Type="http://schemas.openxmlformats.org/officeDocument/2006/relationships/customXml" Target="../customXml/item23.xml"/><Relationship Id="rId78" Type="http://schemas.openxmlformats.org/officeDocument/2006/relationships/customXml" Target="../customXml/item28.xml"/><Relationship Id="rId94" Type="http://schemas.openxmlformats.org/officeDocument/2006/relationships/customXml" Target="../customXml/item44.xml"/><Relationship Id="rId99" Type="http://schemas.openxmlformats.org/officeDocument/2006/relationships/customXml" Target="../customXml/item49.xml"/><Relationship Id="rId101" Type="http://schemas.openxmlformats.org/officeDocument/2006/relationships/customXml" Target="../customXml/item51.xml"/><Relationship Id="rId122" Type="http://schemas.openxmlformats.org/officeDocument/2006/relationships/customXml" Target="../customXml/item72.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cleaned.xlsb.xlsx]03_DATA_QUALITY!PivotTable7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Structural</a:t>
            </a:r>
            <a:r>
              <a:rPr lang="en-US" baseline="0"/>
              <a:t> Zeros (Information only)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'03_DATA_QUALITY'!$H$8</c:f>
              <c:strCache>
                <c:ptCount val="1"/>
                <c:pt idx="0">
                  <c:v>Total</c:v>
                </c:pt>
              </c:strCache>
            </c:strRef>
          </c:tx>
          <c:spPr>
            <a:solidFill>
              <a:schemeClr val="accent1"/>
            </a:solidFill>
            <a:ln>
              <a:noFill/>
            </a:ln>
            <a:effectLst/>
          </c:spPr>
          <c:invertIfNegative val="0"/>
          <c:cat>
            <c:strRef>
              <c:f>'03_DATA_QUALITY'!$G$9:$G$12</c:f>
              <c:strCache>
                <c:ptCount val="4"/>
                <c:pt idx="0">
                  <c:v>MissingCheck</c:v>
                </c:pt>
                <c:pt idx="1">
                  <c:v>RateCheck</c:v>
                </c:pt>
                <c:pt idx="2">
                  <c:v>RegisteredCheck</c:v>
                </c:pt>
                <c:pt idx="3">
                  <c:v>StructuralZeroCheck</c:v>
                </c:pt>
              </c:strCache>
            </c:strRef>
          </c:cat>
          <c:val>
            <c:numRef>
              <c:f>'03_DATA_QUALITY'!$H$9:$H$12</c:f>
              <c:numCache>
                <c:formatCode>General</c:formatCode>
                <c:ptCount val="4"/>
                <c:pt idx="3">
                  <c:v>22</c:v>
                </c:pt>
              </c:numCache>
            </c:numRef>
          </c:val>
          <c:extLst>
            <c:ext xmlns:c16="http://schemas.microsoft.com/office/drawing/2014/chart" uri="{C3380CC4-5D6E-409C-BE32-E72D297353CC}">
              <c16:uniqueId val="{00000000-1260-4522-9CA7-15BC77A89ADC}"/>
            </c:ext>
          </c:extLst>
        </c:ser>
        <c:dLbls>
          <c:showLegendKey val="0"/>
          <c:showVal val="0"/>
          <c:showCatName val="0"/>
          <c:showSerName val="0"/>
          <c:showPercent val="0"/>
          <c:showBubbleSize val="0"/>
        </c:dLbls>
        <c:gapWidth val="219"/>
        <c:overlap val="-27"/>
        <c:axId val="1679739551"/>
        <c:axId val="1679739071"/>
      </c:barChart>
      <c:catAx>
        <c:axId val="167973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39071"/>
        <c:crosses val="autoZero"/>
        <c:auto val="1"/>
        <c:lblAlgn val="ctr"/>
        <c:lblOffset val="100"/>
        <c:noMultiLvlLbl val="0"/>
      </c:catAx>
      <c:valAx>
        <c:axId val="167973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3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cleaned.xlsb.xlsx]04_CREDIBILITY!PivotTable9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a:t>
            </a:r>
            <a:r>
              <a:rPr lang="en-IN" baseline="0"/>
              <a:t> Stability: Frequency vs Statistical Weight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'04_CREDIBILITY'!$B$12</c:f>
              <c:strCache>
                <c:ptCount val="1"/>
                <c:pt idx="0">
                  <c:v>Count of base_flag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'04_CREDIBILITY'!$A$13:$A$16</c:f>
              <c:strCache>
                <c:ptCount val="3"/>
                <c:pt idx="0">
                  <c:v>ABSENT_BASE</c:v>
                </c:pt>
                <c:pt idx="1">
                  <c:v>SMALL_BASE</c:v>
                </c:pt>
                <c:pt idx="2">
                  <c:v>VALID_BASE</c:v>
                </c:pt>
              </c:strCache>
            </c:strRef>
          </c:cat>
          <c:val>
            <c:numRef>
              <c:f>'04_CREDIBILITY'!$B$13:$B$16</c:f>
              <c:numCache>
                <c:formatCode>General</c:formatCode>
                <c:ptCount val="3"/>
                <c:pt idx="0">
                  <c:v>22</c:v>
                </c:pt>
                <c:pt idx="1">
                  <c:v>9</c:v>
                </c:pt>
                <c:pt idx="2">
                  <c:v>65</c:v>
                </c:pt>
              </c:numCache>
            </c:numRef>
          </c:val>
          <c:extLst>
            <c:ext xmlns:c16="http://schemas.microsoft.com/office/drawing/2014/chart" uri="{C3380CC4-5D6E-409C-BE32-E72D297353CC}">
              <c16:uniqueId val="{00000000-DF6B-4D98-97E0-2554F4914B32}"/>
            </c:ext>
          </c:extLst>
        </c:ser>
        <c:dLbls>
          <c:showLegendKey val="0"/>
          <c:showVal val="1"/>
          <c:showCatName val="0"/>
          <c:showSerName val="0"/>
          <c:showPercent val="0"/>
          <c:showBubbleSize val="0"/>
        </c:dLbls>
        <c:gapWidth val="219"/>
        <c:axId val="1641106143"/>
        <c:axId val="1641103743"/>
      </c:barChart>
      <c:lineChart>
        <c:grouping val="standard"/>
        <c:varyColors val="0"/>
        <c:ser>
          <c:idx val="1"/>
          <c:order val="1"/>
          <c:tx>
            <c:strRef>
              <c:f>'04_CREDIBILITY'!$C$12</c:f>
              <c:strCache>
                <c:ptCount val="1"/>
                <c:pt idx="0">
                  <c:v>Coverage Share</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DF6B-4D98-97E0-2554F4914B32}"/>
              </c:ext>
            </c:extLst>
          </c:dPt>
          <c:dPt>
            <c:idx val="1"/>
            <c:marker>
              <c:symbol val="none"/>
            </c:marker>
            <c:bubble3D val="0"/>
            <c:extLst>
              <c:ext xmlns:c16="http://schemas.microsoft.com/office/drawing/2014/chart" uri="{C3380CC4-5D6E-409C-BE32-E72D297353CC}">
                <c16:uniqueId val="{00000002-DF6B-4D98-97E0-2554F4914B32}"/>
              </c:ext>
            </c:extLst>
          </c:dPt>
          <c:dLbls>
            <c:dLbl>
              <c:idx val="0"/>
              <c:layout>
                <c:manualLayout>
                  <c:x val="2.7769614531511298E-2"/>
                  <c:y val="-6.4107741388361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6B-4D98-97E0-2554F4914B32}"/>
                </c:ext>
              </c:extLst>
            </c:dLbl>
            <c:dLbl>
              <c:idx val="1"/>
              <c:layout>
                <c:manualLayout>
                  <c:x val="3.6100498890964686E-2"/>
                  <c:y val="-5.0370368233712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6B-4D98-97E0-2554F4914B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'04_CREDIBILITY'!$A$13:$A$16</c:f>
              <c:strCache>
                <c:ptCount val="3"/>
                <c:pt idx="0">
                  <c:v>ABSENT_BASE</c:v>
                </c:pt>
                <c:pt idx="1">
                  <c:v>SMALL_BASE</c:v>
                </c:pt>
                <c:pt idx="2">
                  <c:v>VALID_BASE</c:v>
                </c:pt>
              </c:strCache>
            </c:strRef>
          </c:cat>
          <c:val>
            <c:numRef>
              <c:f>'04_CREDIBILITY'!$C$13:$C$16</c:f>
              <c:numCache>
                <c:formatCode>0.00%</c:formatCode>
                <c:ptCount val="3"/>
                <c:pt idx="0">
                  <c:v>0</c:v>
                </c:pt>
                <c:pt idx="1">
                  <c:v>4.1005909716107053E-4</c:v>
                </c:pt>
                <c:pt idx="2">
                  <c:v>0.99958994090283892</c:v>
                </c:pt>
              </c:numCache>
            </c:numRef>
          </c:val>
          <c:smooth val="0"/>
          <c:extLst>
            <c:ext xmlns:c16="http://schemas.microsoft.com/office/drawing/2014/chart" uri="{C3380CC4-5D6E-409C-BE32-E72D297353CC}">
              <c16:uniqueId val="{00000003-DF6B-4D98-97E0-2554F4914B32}"/>
            </c:ext>
          </c:extLst>
        </c:ser>
        <c:dLbls>
          <c:showLegendKey val="0"/>
          <c:showVal val="1"/>
          <c:showCatName val="0"/>
          <c:showSerName val="0"/>
          <c:showPercent val="0"/>
          <c:showBubbleSize val="0"/>
        </c:dLbls>
        <c:marker val="1"/>
        <c:smooth val="0"/>
        <c:axId val="206008735"/>
        <c:axId val="1641107103"/>
      </c:lineChart>
      <c:catAx>
        <c:axId val="164110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base_flag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03743"/>
        <c:crosses val="autoZero"/>
        <c:auto val="1"/>
        <c:lblAlgn val="ctr"/>
        <c:lblOffset val="100"/>
        <c:noMultiLvlLbl val="0"/>
      </c:catAx>
      <c:valAx>
        <c:axId val="164110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base flag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06143"/>
        <c:crosses val="autoZero"/>
        <c:crossBetween val="between"/>
      </c:valAx>
      <c:valAx>
        <c:axId val="16411071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Coverage</a:t>
                </a:r>
                <a:r>
                  <a:rPr lang="en-IN" baseline="0"/>
                  <a:t> Share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8735"/>
        <c:crosses val="max"/>
        <c:crossBetween val="between"/>
      </c:valAx>
      <c:catAx>
        <c:axId val="206008735"/>
        <c:scaling>
          <c:orientation val="minMax"/>
        </c:scaling>
        <c:delete val="1"/>
        <c:axPos val="b"/>
        <c:numFmt formatCode="General" sourceLinked="1"/>
        <c:majorTickMark val="out"/>
        <c:minorTickMark val="none"/>
        <c:tickLblPos val="nextTo"/>
        <c:crossAx val="1641107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cleaned.xlsb.xlsx]04_CREDIBILITY!PivotTable12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a:t>
            </a:r>
            <a:r>
              <a:rPr lang="en-US" baseline="0"/>
              <a:t> Contributions by School Type (Valid Base)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'04_CREDIBILITY'!$G$20</c:f>
              <c:strCache>
                <c:ptCount val="1"/>
                <c:pt idx="0">
                  <c:v>Total</c:v>
                </c:pt>
              </c:strCache>
            </c:strRef>
          </c:tx>
          <c:spPr>
            <a:solidFill>
              <a:schemeClr val="accent1"/>
            </a:solidFill>
            <a:ln>
              <a:noFill/>
            </a:ln>
            <a:effectLst/>
          </c:spPr>
          <c:invertIfNegative val="0"/>
          <c:cat>
            <c:strRef>
              <c:f>'04_CREDIBILITY'!$F$21:$F$27</c:f>
              <c:strCache>
                <c:ptCount val="6"/>
                <c:pt idx="0">
                  <c:v>CTSA</c:v>
                </c:pt>
                <c:pt idx="1">
                  <c:v>GOVT AIDED</c:v>
                </c:pt>
                <c:pt idx="2">
                  <c:v>JNV</c:v>
                </c:pt>
                <c:pt idx="3">
                  <c:v>KV</c:v>
                </c:pt>
                <c:pt idx="4">
                  <c:v>GOVT</c:v>
                </c:pt>
                <c:pt idx="5">
                  <c:v>INDEPENDENT</c:v>
                </c:pt>
              </c:strCache>
            </c:strRef>
          </c:cat>
          <c:val>
            <c:numRef>
              <c:f>'04_CREDIBILITY'!$G$21:$G$27</c:f>
              <c:numCache>
                <c:formatCode>0.00%</c:formatCode>
                <c:ptCount val="6"/>
                <c:pt idx="0">
                  <c:v>2.7661613672899334E-4</c:v>
                </c:pt>
                <c:pt idx="1">
                  <c:v>1.0630260832336565E-2</c:v>
                </c:pt>
                <c:pt idx="2">
                  <c:v>2.4983024248392952E-2</c:v>
                </c:pt>
                <c:pt idx="3">
                  <c:v>6.434313745250439E-2</c:v>
                </c:pt>
                <c:pt idx="4">
                  <c:v>0.15830574701299749</c:v>
                </c:pt>
                <c:pt idx="5">
                  <c:v>0.7414612143170396</c:v>
                </c:pt>
              </c:numCache>
            </c:numRef>
          </c:val>
          <c:extLst>
            <c:ext xmlns:c16="http://schemas.microsoft.com/office/drawing/2014/chart" uri="{C3380CC4-5D6E-409C-BE32-E72D297353CC}">
              <c16:uniqueId val="{00000000-76C8-416A-9552-C92599E0E65F}"/>
            </c:ext>
          </c:extLst>
        </c:ser>
        <c:dLbls>
          <c:showLegendKey val="0"/>
          <c:showVal val="0"/>
          <c:showCatName val="0"/>
          <c:showSerName val="0"/>
          <c:showPercent val="0"/>
          <c:showBubbleSize val="0"/>
        </c:dLbls>
        <c:gapWidth val="182"/>
        <c:axId val="1674333615"/>
        <c:axId val="1674331695"/>
      </c:barChart>
      <c:catAx>
        <c:axId val="167433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331695"/>
        <c:crosses val="autoZero"/>
        <c:auto val="1"/>
        <c:lblAlgn val="ctr"/>
        <c:lblOffset val="100"/>
        <c:noMultiLvlLbl val="0"/>
      </c:catAx>
      <c:valAx>
        <c:axId val="16743316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33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cleaned.xlsb.xlsx]05_ANALYSIS!PivotTable4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Share</a:t>
            </a:r>
            <a:r>
              <a:rPr lang="en-US" baseline="0"/>
              <a:t> by Anomaly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1041697011852102E-3"/>
              <c:y val="-0.100837010804502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'05_ANALYSIS'!$B$34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0C7-4B5C-BB83-D52BD7C0D904}"/>
              </c:ext>
            </c:extLst>
          </c:dPt>
          <c:dLbls>
            <c:dLbl>
              <c:idx val="0"/>
              <c:layout>
                <c:manualLayout>
                  <c:x val="-8.1041697011852102E-3"/>
                  <c:y val="-0.100837010804502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C7-4B5C-BB83-D52BD7C0D9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'05_ANALYSIS'!$A$35:$A$39</c:f>
              <c:strCache>
                <c:ptCount val="4"/>
                <c:pt idx="0">
                  <c:v>NORMAL</c:v>
                </c:pt>
                <c:pt idx="1">
                  <c:v>LOW_RATE</c:v>
                </c:pt>
                <c:pt idx="2">
                  <c:v>SUSPICIOUS_PERFECTION</c:v>
                </c:pt>
                <c:pt idx="3">
                  <c:v>ABSENT</c:v>
                </c:pt>
              </c:strCache>
            </c:strRef>
          </c:cat>
          <c:val>
            <c:numRef>
              <c:f>'05_ANALYSIS'!$B$35:$B$39</c:f>
              <c:numCache>
                <c:formatCode>0.00%</c:formatCode>
                <c:ptCount val="4"/>
                <c:pt idx="0">
                  <c:v>0.99859120374585508</c:v>
                </c:pt>
                <c:pt idx="1">
                  <c:v>1.1217548861321488E-3</c:v>
                </c:pt>
                <c:pt idx="2">
                  <c:v>2.8704136801274938E-4</c:v>
                </c:pt>
                <c:pt idx="3">
                  <c:v>0</c:v>
                </c:pt>
              </c:numCache>
            </c:numRef>
          </c:val>
          <c:extLst>
            <c:ext xmlns:c16="http://schemas.microsoft.com/office/drawing/2014/chart" uri="{C3380CC4-5D6E-409C-BE32-E72D297353CC}">
              <c16:uniqueId val="{00000000-3574-4685-87BF-FD7AAC2325AC}"/>
            </c:ext>
          </c:extLst>
        </c:ser>
        <c:dLbls>
          <c:dLblPos val="outEnd"/>
          <c:showLegendKey val="0"/>
          <c:showVal val="1"/>
          <c:showCatName val="0"/>
          <c:showSerName val="0"/>
          <c:showPercent val="0"/>
          <c:showBubbleSize val="0"/>
        </c:dLbls>
        <c:gapWidth val="182"/>
        <c:axId val="405371296"/>
        <c:axId val="405378496"/>
      </c:barChart>
      <c:catAx>
        <c:axId val="40537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78496"/>
        <c:crosses val="autoZero"/>
        <c:auto val="1"/>
        <c:lblAlgn val="ctr"/>
        <c:lblOffset val="100"/>
        <c:noMultiLvlLbl val="0"/>
      </c:catAx>
      <c:valAx>
        <c:axId val="40537849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7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cleaned.xlsb.xlsx]06_VOLATILITY!PivotTable12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vs Volatility by School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'06_VOLATILITY'!$B$6</c:f>
              <c:strCache>
                <c:ptCount val="1"/>
                <c:pt idx="0">
                  <c:v>Avg Appearance Rate</c:v>
                </c:pt>
              </c:strCache>
            </c:strRef>
          </c:tx>
          <c:spPr>
            <a:solidFill>
              <a:schemeClr val="accent1"/>
            </a:solidFill>
            <a:ln>
              <a:noFill/>
            </a:ln>
            <a:effectLst/>
          </c:spPr>
          <c:invertIfNegative val="0"/>
          <c:cat>
            <c:strRef>
              <c:f>'06_VOLATILITY'!$A$7:$A$13</c:f>
              <c:strCache>
                <c:ptCount val="6"/>
                <c:pt idx="0">
                  <c:v>GOVT</c:v>
                </c:pt>
                <c:pt idx="1">
                  <c:v>CTSA</c:v>
                </c:pt>
                <c:pt idx="2">
                  <c:v>JNV</c:v>
                </c:pt>
                <c:pt idx="3">
                  <c:v>GOVT AIDED</c:v>
                </c:pt>
                <c:pt idx="4">
                  <c:v>INDEPENDENT</c:v>
                </c:pt>
                <c:pt idx="5">
                  <c:v>KV</c:v>
                </c:pt>
              </c:strCache>
            </c:strRef>
          </c:cat>
          <c:val>
            <c:numRef>
              <c:f>'06_VOLATILITY'!$B$7:$B$13</c:f>
              <c:numCache>
                <c:formatCode>0.00%</c:formatCode>
                <c:ptCount val="6"/>
                <c:pt idx="0">
                  <c:v>0.9917125971351558</c:v>
                </c:pt>
                <c:pt idx="1">
                  <c:v>0.98940867853714554</c:v>
                </c:pt>
                <c:pt idx="2">
                  <c:v>0.9952421167097254</c:v>
                </c:pt>
                <c:pt idx="3">
                  <c:v>0.99679815649960857</c:v>
                </c:pt>
                <c:pt idx="4">
                  <c:v>0.99495995267478055</c:v>
                </c:pt>
                <c:pt idx="5">
                  <c:v>0.99817563206612459</c:v>
                </c:pt>
              </c:numCache>
            </c:numRef>
          </c:val>
          <c:extLst>
            <c:ext xmlns:c16="http://schemas.microsoft.com/office/drawing/2014/chart" uri="{C3380CC4-5D6E-409C-BE32-E72D297353CC}">
              <c16:uniqueId val="{00000000-1AAD-4847-98D0-559B528AA57E}"/>
            </c:ext>
          </c:extLst>
        </c:ser>
        <c:dLbls>
          <c:showLegendKey val="0"/>
          <c:showVal val="0"/>
          <c:showCatName val="0"/>
          <c:showSerName val="0"/>
          <c:showPercent val="0"/>
          <c:showBubbleSize val="0"/>
        </c:dLbls>
        <c:gapWidth val="219"/>
        <c:overlap val="-27"/>
        <c:axId val="1454396895"/>
        <c:axId val="1454387775"/>
      </c:barChart>
      <c:lineChart>
        <c:grouping val="standard"/>
        <c:varyColors val="0"/>
        <c:ser>
          <c:idx val="1"/>
          <c:order val="1"/>
          <c:tx>
            <c:strRef>
              <c:f>'06_VOLATILITY'!$C$6</c:f>
              <c:strCache>
                <c:ptCount val="1"/>
                <c:pt idx="0">
                  <c:v>Appearance Rate Std Dev</c:v>
                </c:pt>
              </c:strCache>
            </c:strRef>
          </c:tx>
          <c:spPr>
            <a:ln w="28575" cap="rnd">
              <a:solidFill>
                <a:schemeClr val="accent2"/>
              </a:solidFill>
              <a:round/>
            </a:ln>
            <a:effectLst/>
          </c:spPr>
          <c:marker>
            <c:symbol val="none"/>
          </c:marker>
          <c:cat>
            <c:strRef>
              <c:f>'06_VOLATILITY'!$A$7:$A$13</c:f>
              <c:strCache>
                <c:ptCount val="6"/>
                <c:pt idx="0">
                  <c:v>GOVT</c:v>
                </c:pt>
                <c:pt idx="1">
                  <c:v>CTSA</c:v>
                </c:pt>
                <c:pt idx="2">
                  <c:v>JNV</c:v>
                </c:pt>
                <c:pt idx="3">
                  <c:v>GOVT AIDED</c:v>
                </c:pt>
                <c:pt idx="4">
                  <c:v>INDEPENDENT</c:v>
                </c:pt>
                <c:pt idx="5">
                  <c:v>KV</c:v>
                </c:pt>
              </c:strCache>
            </c:strRef>
          </c:cat>
          <c:val>
            <c:numRef>
              <c:f>'06_VOLATILITY'!$C$7:$C$13</c:f>
              <c:numCache>
                <c:formatCode>0.00%</c:formatCode>
                <c:ptCount val="6"/>
                <c:pt idx="0">
                  <c:v>1.1705740795259253E-2</c:v>
                </c:pt>
                <c:pt idx="1">
                  <c:v>6.9403765147453018E-3</c:v>
                </c:pt>
                <c:pt idx="2">
                  <c:v>3.8326406828721607E-3</c:v>
                </c:pt>
                <c:pt idx="3">
                  <c:v>3.4256764827206034E-3</c:v>
                </c:pt>
                <c:pt idx="4">
                  <c:v>2.8243212994156944E-3</c:v>
                </c:pt>
                <c:pt idx="5">
                  <c:v>8.9576975384579995E-4</c:v>
                </c:pt>
              </c:numCache>
            </c:numRef>
          </c:val>
          <c:smooth val="0"/>
          <c:extLst>
            <c:ext xmlns:c16="http://schemas.microsoft.com/office/drawing/2014/chart" uri="{C3380CC4-5D6E-409C-BE32-E72D297353CC}">
              <c16:uniqueId val="{00000001-1AAD-4847-98D0-559B528AA57E}"/>
            </c:ext>
          </c:extLst>
        </c:ser>
        <c:dLbls>
          <c:showLegendKey val="0"/>
          <c:showVal val="0"/>
          <c:showCatName val="0"/>
          <c:showSerName val="0"/>
          <c:showPercent val="0"/>
          <c:showBubbleSize val="0"/>
        </c:dLbls>
        <c:marker val="1"/>
        <c:smooth val="0"/>
        <c:axId val="1454394015"/>
        <c:axId val="1454390655"/>
      </c:lineChart>
      <c:catAx>
        <c:axId val="145439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87775"/>
        <c:crosses val="autoZero"/>
        <c:auto val="1"/>
        <c:lblAlgn val="ctr"/>
        <c:lblOffset val="100"/>
        <c:noMultiLvlLbl val="0"/>
      </c:catAx>
      <c:valAx>
        <c:axId val="1454387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96895"/>
        <c:crosses val="autoZero"/>
        <c:crossBetween val="between"/>
      </c:valAx>
      <c:valAx>
        <c:axId val="14543906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94015"/>
        <c:crosses val="max"/>
        <c:crossBetween val="between"/>
      </c:valAx>
      <c:catAx>
        <c:axId val="1454394015"/>
        <c:scaling>
          <c:orientation val="minMax"/>
        </c:scaling>
        <c:delete val="1"/>
        <c:axPos val="b"/>
        <c:numFmt formatCode="General" sourceLinked="1"/>
        <c:majorTickMark val="out"/>
        <c:minorTickMark val="none"/>
        <c:tickLblPos val="nextTo"/>
        <c:crossAx val="14543906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cleaned.xlsb.xlsx]04_CREDIBILITY!PivotTable9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a:t>
            </a:r>
            <a:r>
              <a:rPr lang="en-IN" baseline="0"/>
              <a:t> Stability: Frequency vs Statistical Weight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2.7769614531511298E-2"/>
              <c:y val="-6.410774138836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3.6100498890964686E-2"/>
              <c:y val="-5.0370368233712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'04_CREDIBILITY'!$B$12</c:f>
              <c:strCache>
                <c:ptCount val="1"/>
                <c:pt idx="0">
                  <c:v>Count of base_flag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'04_CREDIBILITY'!$A$13:$A$16</c:f>
              <c:strCache>
                <c:ptCount val="3"/>
                <c:pt idx="0">
                  <c:v>ABSENT_BASE</c:v>
                </c:pt>
                <c:pt idx="1">
                  <c:v>SMALL_BASE</c:v>
                </c:pt>
                <c:pt idx="2">
                  <c:v>VALID_BASE</c:v>
                </c:pt>
              </c:strCache>
            </c:strRef>
          </c:cat>
          <c:val>
            <c:numRef>
              <c:f>'04_CREDIBILITY'!$B$13:$B$16</c:f>
              <c:numCache>
                <c:formatCode>General</c:formatCode>
                <c:ptCount val="3"/>
                <c:pt idx="0">
                  <c:v>22</c:v>
                </c:pt>
                <c:pt idx="1">
                  <c:v>9</c:v>
                </c:pt>
                <c:pt idx="2">
                  <c:v>65</c:v>
                </c:pt>
              </c:numCache>
            </c:numRef>
          </c:val>
          <c:extLst>
            <c:ext xmlns:c16="http://schemas.microsoft.com/office/drawing/2014/chart" uri="{C3380CC4-5D6E-409C-BE32-E72D297353CC}">
              <c16:uniqueId val="{00000000-D8CC-4598-9BAE-5D74D9FD426B}"/>
            </c:ext>
          </c:extLst>
        </c:ser>
        <c:dLbls>
          <c:showLegendKey val="0"/>
          <c:showVal val="1"/>
          <c:showCatName val="0"/>
          <c:showSerName val="0"/>
          <c:showPercent val="0"/>
          <c:showBubbleSize val="0"/>
        </c:dLbls>
        <c:gapWidth val="219"/>
        <c:axId val="1641106143"/>
        <c:axId val="1641103743"/>
      </c:barChart>
      <c:lineChart>
        <c:grouping val="standard"/>
        <c:varyColors val="0"/>
        <c:ser>
          <c:idx val="1"/>
          <c:order val="1"/>
          <c:tx>
            <c:strRef>
              <c:f>'04_CREDIBILITY'!$C$12</c:f>
              <c:strCache>
                <c:ptCount val="1"/>
                <c:pt idx="0">
                  <c:v>Coverage Share</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D8CC-4598-9BAE-5D74D9FD426B}"/>
              </c:ext>
            </c:extLst>
          </c:dPt>
          <c:dPt>
            <c:idx val="1"/>
            <c:marker>
              <c:symbol val="none"/>
            </c:marker>
            <c:bubble3D val="0"/>
            <c:extLst>
              <c:ext xmlns:c16="http://schemas.microsoft.com/office/drawing/2014/chart" uri="{C3380CC4-5D6E-409C-BE32-E72D297353CC}">
                <c16:uniqueId val="{00000002-D8CC-4598-9BAE-5D74D9FD426B}"/>
              </c:ext>
            </c:extLst>
          </c:dPt>
          <c:dLbls>
            <c:dLbl>
              <c:idx val="0"/>
              <c:layout>
                <c:manualLayout>
                  <c:x val="2.7769614531511298E-2"/>
                  <c:y val="-6.4107741388361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C-4598-9BAE-5D74D9FD426B}"/>
                </c:ext>
              </c:extLst>
            </c:dLbl>
            <c:dLbl>
              <c:idx val="1"/>
              <c:layout>
                <c:manualLayout>
                  <c:x val="3.6100498890964686E-2"/>
                  <c:y val="-5.0370368233712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CC-4598-9BAE-5D74D9FD42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'04_CREDIBILITY'!$A$13:$A$16</c:f>
              <c:strCache>
                <c:ptCount val="3"/>
                <c:pt idx="0">
                  <c:v>ABSENT_BASE</c:v>
                </c:pt>
                <c:pt idx="1">
                  <c:v>SMALL_BASE</c:v>
                </c:pt>
                <c:pt idx="2">
                  <c:v>VALID_BASE</c:v>
                </c:pt>
              </c:strCache>
            </c:strRef>
          </c:cat>
          <c:val>
            <c:numRef>
              <c:f>'04_CREDIBILITY'!$C$13:$C$16</c:f>
              <c:numCache>
                <c:formatCode>0.00%</c:formatCode>
                <c:ptCount val="3"/>
                <c:pt idx="0">
                  <c:v>0</c:v>
                </c:pt>
                <c:pt idx="1">
                  <c:v>4.1005909716107053E-4</c:v>
                </c:pt>
                <c:pt idx="2">
                  <c:v>0.99958994090283892</c:v>
                </c:pt>
              </c:numCache>
            </c:numRef>
          </c:val>
          <c:smooth val="0"/>
          <c:extLst>
            <c:ext xmlns:c16="http://schemas.microsoft.com/office/drawing/2014/chart" uri="{C3380CC4-5D6E-409C-BE32-E72D297353CC}">
              <c16:uniqueId val="{00000003-D8CC-4598-9BAE-5D74D9FD426B}"/>
            </c:ext>
          </c:extLst>
        </c:ser>
        <c:dLbls>
          <c:showLegendKey val="0"/>
          <c:showVal val="1"/>
          <c:showCatName val="0"/>
          <c:showSerName val="0"/>
          <c:showPercent val="0"/>
          <c:showBubbleSize val="0"/>
        </c:dLbls>
        <c:marker val="1"/>
        <c:smooth val="0"/>
        <c:axId val="206008735"/>
        <c:axId val="1641107103"/>
      </c:lineChart>
      <c:catAx>
        <c:axId val="164110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base_flag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03743"/>
        <c:crosses val="autoZero"/>
        <c:auto val="1"/>
        <c:lblAlgn val="ctr"/>
        <c:lblOffset val="100"/>
        <c:noMultiLvlLbl val="0"/>
      </c:catAx>
      <c:valAx>
        <c:axId val="164110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base flag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06143"/>
        <c:crosses val="autoZero"/>
        <c:crossBetween val="between"/>
      </c:valAx>
      <c:valAx>
        <c:axId val="16411071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Coverage</a:t>
                </a:r>
                <a:r>
                  <a:rPr lang="en-IN" baseline="0"/>
                  <a:t> Share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8735"/>
        <c:crosses val="max"/>
        <c:crossBetween val="between"/>
      </c:valAx>
      <c:catAx>
        <c:axId val="206008735"/>
        <c:scaling>
          <c:orientation val="minMax"/>
        </c:scaling>
        <c:delete val="1"/>
        <c:axPos val="b"/>
        <c:numFmt formatCode="General" sourceLinked="1"/>
        <c:majorTickMark val="out"/>
        <c:minorTickMark val="none"/>
        <c:tickLblPos val="nextTo"/>
        <c:crossAx val="1641107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cleaned.xlsb.xlsx]06_VOLATILITY!PivotTable12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vs Volatility by School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5.4703770468147979E-3"/>
              <c:y val="-6.284466481313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0144543655088337E-17"/>
              <c:y val="-2.69334277770590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'06_VOLATILITY'!$B$6</c:f>
              <c:strCache>
                <c:ptCount val="1"/>
                <c:pt idx="0">
                  <c:v>Avg Appearance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'06_VOLATILITY'!$A$7:$A$13</c:f>
              <c:strCache>
                <c:ptCount val="6"/>
                <c:pt idx="0">
                  <c:v>GOVT</c:v>
                </c:pt>
                <c:pt idx="1">
                  <c:v>CTSA</c:v>
                </c:pt>
                <c:pt idx="2">
                  <c:v>JNV</c:v>
                </c:pt>
                <c:pt idx="3">
                  <c:v>GOVT AIDED</c:v>
                </c:pt>
                <c:pt idx="4">
                  <c:v>INDEPENDENT</c:v>
                </c:pt>
                <c:pt idx="5">
                  <c:v>KV</c:v>
                </c:pt>
              </c:strCache>
            </c:strRef>
          </c:cat>
          <c:val>
            <c:numRef>
              <c:f>'06_VOLATILITY'!$B$7:$B$13</c:f>
              <c:numCache>
                <c:formatCode>0.00%</c:formatCode>
                <c:ptCount val="6"/>
                <c:pt idx="0">
                  <c:v>0.9917125971351558</c:v>
                </c:pt>
                <c:pt idx="1">
                  <c:v>0.98940867853714554</c:v>
                </c:pt>
                <c:pt idx="2">
                  <c:v>0.9952421167097254</c:v>
                </c:pt>
                <c:pt idx="3">
                  <c:v>0.99679815649960857</c:v>
                </c:pt>
                <c:pt idx="4">
                  <c:v>0.99495995267478055</c:v>
                </c:pt>
                <c:pt idx="5">
                  <c:v>0.99817563206612459</c:v>
                </c:pt>
              </c:numCache>
            </c:numRef>
          </c:val>
          <c:extLst>
            <c:ext xmlns:c16="http://schemas.microsoft.com/office/drawing/2014/chart" uri="{C3380CC4-5D6E-409C-BE32-E72D297353CC}">
              <c16:uniqueId val="{00000000-6CA7-4F5A-B83A-1AD265B0E18F}"/>
            </c:ext>
          </c:extLst>
        </c:ser>
        <c:dLbls>
          <c:showLegendKey val="0"/>
          <c:showVal val="1"/>
          <c:showCatName val="0"/>
          <c:showSerName val="0"/>
          <c:showPercent val="0"/>
          <c:showBubbleSize val="0"/>
        </c:dLbls>
        <c:gapWidth val="219"/>
        <c:overlap val="-27"/>
        <c:axId val="1454396895"/>
        <c:axId val="1454387775"/>
      </c:barChart>
      <c:lineChart>
        <c:grouping val="standard"/>
        <c:varyColors val="0"/>
        <c:ser>
          <c:idx val="1"/>
          <c:order val="1"/>
          <c:tx>
            <c:strRef>
              <c:f>'06_VOLATILITY'!$C$6</c:f>
              <c:strCache>
                <c:ptCount val="1"/>
                <c:pt idx="0">
                  <c:v>Appearance Rate Std Dev</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1-44F5-47CD-B603-9B2ACAB24190}"/>
              </c:ext>
            </c:extLst>
          </c:dPt>
          <c:dPt>
            <c:idx val="2"/>
            <c:marker>
              <c:symbol val="none"/>
            </c:marker>
            <c:bubble3D val="0"/>
            <c:extLst>
              <c:ext xmlns:c16="http://schemas.microsoft.com/office/drawing/2014/chart" uri="{C3380CC4-5D6E-409C-BE32-E72D297353CC}">
                <c16:uniqueId val="{00000000-44F5-47CD-B603-9B2ACAB24190}"/>
              </c:ext>
            </c:extLst>
          </c:dPt>
          <c:dLbls>
            <c:dLbl>
              <c:idx val="1"/>
              <c:layout>
                <c:manualLayout>
                  <c:x val="-5.0144543655088337E-17"/>
                  <c:y val="-2.69334277770590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F5-47CD-B603-9B2ACAB24190}"/>
                </c:ext>
              </c:extLst>
            </c:dLbl>
            <c:dLbl>
              <c:idx val="2"/>
              <c:layout>
                <c:manualLayout>
                  <c:x val="5.4703770468147979E-3"/>
                  <c:y val="-6.2844664813137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F5-47CD-B603-9B2ACAB241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'06_VOLATILITY'!$A$7:$A$13</c:f>
              <c:strCache>
                <c:ptCount val="6"/>
                <c:pt idx="0">
                  <c:v>GOVT</c:v>
                </c:pt>
                <c:pt idx="1">
                  <c:v>CTSA</c:v>
                </c:pt>
                <c:pt idx="2">
                  <c:v>JNV</c:v>
                </c:pt>
                <c:pt idx="3">
                  <c:v>GOVT AIDED</c:v>
                </c:pt>
                <c:pt idx="4">
                  <c:v>INDEPENDENT</c:v>
                </c:pt>
                <c:pt idx="5">
                  <c:v>KV</c:v>
                </c:pt>
              </c:strCache>
            </c:strRef>
          </c:cat>
          <c:val>
            <c:numRef>
              <c:f>'06_VOLATILITY'!$C$7:$C$13</c:f>
              <c:numCache>
                <c:formatCode>0.00%</c:formatCode>
                <c:ptCount val="6"/>
                <c:pt idx="0">
                  <c:v>1.1705740795259253E-2</c:v>
                </c:pt>
                <c:pt idx="1">
                  <c:v>6.9403765147453018E-3</c:v>
                </c:pt>
                <c:pt idx="2">
                  <c:v>3.8326406828721607E-3</c:v>
                </c:pt>
                <c:pt idx="3">
                  <c:v>3.4256764827206034E-3</c:v>
                </c:pt>
                <c:pt idx="4">
                  <c:v>2.8243212994156944E-3</c:v>
                </c:pt>
                <c:pt idx="5">
                  <c:v>8.9576975384579995E-4</c:v>
                </c:pt>
              </c:numCache>
            </c:numRef>
          </c:val>
          <c:smooth val="0"/>
          <c:extLst>
            <c:ext xmlns:c16="http://schemas.microsoft.com/office/drawing/2014/chart" uri="{C3380CC4-5D6E-409C-BE32-E72D297353CC}">
              <c16:uniqueId val="{00000001-6CA7-4F5A-B83A-1AD265B0E18F}"/>
            </c:ext>
          </c:extLst>
        </c:ser>
        <c:dLbls>
          <c:showLegendKey val="0"/>
          <c:showVal val="1"/>
          <c:showCatName val="0"/>
          <c:showSerName val="0"/>
          <c:showPercent val="0"/>
          <c:showBubbleSize val="0"/>
        </c:dLbls>
        <c:marker val="1"/>
        <c:smooth val="0"/>
        <c:axId val="1454394015"/>
        <c:axId val="1454390655"/>
      </c:lineChart>
      <c:catAx>
        <c:axId val="145439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87775"/>
        <c:crosses val="autoZero"/>
        <c:auto val="1"/>
        <c:lblAlgn val="ctr"/>
        <c:lblOffset val="100"/>
        <c:noMultiLvlLbl val="0"/>
      </c:catAx>
      <c:valAx>
        <c:axId val="1454387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96895"/>
        <c:crosses val="autoZero"/>
        <c:crossBetween val="between"/>
      </c:valAx>
      <c:valAx>
        <c:axId val="14543906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94015"/>
        <c:crosses val="max"/>
        <c:crossBetween val="between"/>
      </c:valAx>
      <c:catAx>
        <c:axId val="1454394015"/>
        <c:scaling>
          <c:orientation val="minMax"/>
        </c:scaling>
        <c:delete val="1"/>
        <c:axPos val="b"/>
        <c:numFmt formatCode="General" sourceLinked="1"/>
        <c:majorTickMark val="out"/>
        <c:minorTickMark val="none"/>
        <c:tickLblPos val="nextTo"/>
        <c:crossAx val="14543906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cleaned.xlsb.xlsx]05_ANALYSIS!PivotTable4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Share</a:t>
            </a:r>
            <a:r>
              <a:rPr lang="en-US" baseline="0"/>
              <a:t> by Anomaly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057256526929812E-2"/>
              <c:y val="-8.2833375156235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'05_ANALYSIS'!$B$34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DDA-4CD3-8088-E8E4261EFA80}"/>
              </c:ext>
            </c:extLst>
          </c:dPt>
          <c:dLbls>
            <c:dLbl>
              <c:idx val="0"/>
              <c:layout>
                <c:manualLayout>
                  <c:x val="-2.057256526929812E-2"/>
                  <c:y val="-8.28333751562350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DA-4CD3-8088-E8E4261EFA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'05_ANALYSIS'!$A$35:$A$39</c:f>
              <c:strCache>
                <c:ptCount val="4"/>
                <c:pt idx="0">
                  <c:v>NORMAL</c:v>
                </c:pt>
                <c:pt idx="1">
                  <c:v>LOW_RATE</c:v>
                </c:pt>
                <c:pt idx="2">
                  <c:v>SUSPICIOUS_PERFECTION</c:v>
                </c:pt>
                <c:pt idx="3">
                  <c:v>ABSENT</c:v>
                </c:pt>
              </c:strCache>
            </c:strRef>
          </c:cat>
          <c:val>
            <c:numRef>
              <c:f>'05_ANALYSIS'!$B$35:$B$39</c:f>
              <c:numCache>
                <c:formatCode>0.00%</c:formatCode>
                <c:ptCount val="4"/>
                <c:pt idx="0">
                  <c:v>0.99859120374585508</c:v>
                </c:pt>
                <c:pt idx="1">
                  <c:v>1.1217548861321488E-3</c:v>
                </c:pt>
                <c:pt idx="2">
                  <c:v>2.8704136801274938E-4</c:v>
                </c:pt>
                <c:pt idx="3">
                  <c:v>0</c:v>
                </c:pt>
              </c:numCache>
            </c:numRef>
          </c:val>
          <c:extLst>
            <c:ext xmlns:c16="http://schemas.microsoft.com/office/drawing/2014/chart" uri="{C3380CC4-5D6E-409C-BE32-E72D297353CC}">
              <c16:uniqueId val="{00000000-ACF9-412D-9304-9E12EBFE6678}"/>
            </c:ext>
          </c:extLst>
        </c:ser>
        <c:dLbls>
          <c:dLblPos val="outEnd"/>
          <c:showLegendKey val="0"/>
          <c:showVal val="1"/>
          <c:showCatName val="0"/>
          <c:showSerName val="0"/>
          <c:showPercent val="0"/>
          <c:showBubbleSize val="0"/>
        </c:dLbls>
        <c:gapWidth val="182"/>
        <c:axId val="405371296"/>
        <c:axId val="405378496"/>
      </c:barChart>
      <c:catAx>
        <c:axId val="40537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78496"/>
        <c:crosses val="autoZero"/>
        <c:auto val="1"/>
        <c:lblAlgn val="ctr"/>
        <c:lblOffset val="100"/>
        <c:noMultiLvlLbl val="0"/>
      </c:catAx>
      <c:valAx>
        <c:axId val="40537849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7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2</xdr:col>
      <xdr:colOff>92033</xdr:colOff>
      <xdr:row>15</xdr:row>
      <xdr:rowOff>175406</xdr:rowOff>
    </xdr:from>
    <xdr:to>
      <xdr:col>4</xdr:col>
      <xdr:colOff>1032759</xdr:colOff>
      <xdr:row>34</xdr:row>
      <xdr:rowOff>154459</xdr:rowOff>
    </xdr:to>
    <xdr:sp macro="" textlink="">
      <xdr:nvSpPr>
        <xdr:cNvPr id="2" name="TextBox 1">
          <a:extLst>
            <a:ext uri="{FF2B5EF4-FFF2-40B4-BE49-F238E27FC236}">
              <a16:creationId xmlns:a16="http://schemas.microsoft.com/office/drawing/2014/main" id="{79D42763-AD42-3AB2-9E97-667C29B9BE4B}"/>
            </a:ext>
          </a:extLst>
        </xdr:cNvPr>
        <xdr:cNvSpPr txBox="1"/>
      </xdr:nvSpPr>
      <xdr:spPr>
        <a:xfrm>
          <a:off x="2470709" y="3377865"/>
          <a:ext cx="2979591" cy="35007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Interpretation</a:t>
          </a:r>
          <a:r>
            <a:rPr lang="en-IN" sz="1400" b="1" baseline="0"/>
            <a:t> Note</a:t>
          </a:r>
        </a:p>
        <a:p>
          <a:endParaRPr lang="en-IN" sz="1400" b="1" baseline="0"/>
        </a:p>
        <a:p>
          <a:r>
            <a:rPr lang="en-IN" sz="1400" b="0" baseline="0"/>
            <a:t>No integrity failures detected across Missing, Rate, or Registered checks.</a:t>
          </a:r>
        </a:p>
        <a:p>
          <a:endParaRPr lang="en-IN" sz="1400" b="0" baseline="0"/>
        </a:p>
        <a:p>
          <a:r>
            <a:rPr lang="en-IN" sz="1400" b="0" baseline="0"/>
            <a:t>Structural zeros represent valid absence of school types in certain regions.</a:t>
          </a:r>
        </a:p>
        <a:p>
          <a:endParaRPr lang="en-IN" sz="1400" b="0" baseline="0"/>
        </a:p>
        <a:p>
          <a:r>
            <a:rPr lang="en-IN" sz="1400" b="0"/>
            <a:t>These</a:t>
          </a:r>
          <a:r>
            <a:rPr lang="en-IN" sz="1400" b="0" baseline="0"/>
            <a:t> are informational and excluded from failure metrics.</a:t>
          </a:r>
          <a:endParaRPr lang="en-IN" sz="1400" b="0"/>
        </a:p>
      </xdr:txBody>
    </xdr:sp>
    <xdr:clientData/>
  </xdr:twoCellAnchor>
  <xdr:twoCellAnchor editAs="oneCell">
    <xdr:from>
      <xdr:col>5</xdr:col>
      <xdr:colOff>61311</xdr:colOff>
      <xdr:row>15</xdr:row>
      <xdr:rowOff>149678</xdr:rowOff>
    </xdr:from>
    <xdr:to>
      <xdr:col>7</xdr:col>
      <xdr:colOff>1225379</xdr:colOff>
      <xdr:row>34</xdr:row>
      <xdr:rowOff>144161</xdr:rowOff>
    </xdr:to>
    <xdr:graphicFrame macro="">
      <xdr:nvGraphicFramePr>
        <xdr:cNvPr id="8" name="Chart 7">
          <a:extLst>
            <a:ext uri="{FF2B5EF4-FFF2-40B4-BE49-F238E27FC236}">
              <a16:creationId xmlns:a16="http://schemas.microsoft.com/office/drawing/2014/main" id="{9BA501DB-028E-F786-09D9-FD3FD800C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23576</xdr:colOff>
      <xdr:row>31</xdr:row>
      <xdr:rowOff>64265</xdr:rowOff>
    </xdr:from>
    <xdr:to>
      <xdr:col>2</xdr:col>
      <xdr:colOff>1339645</xdr:colOff>
      <xdr:row>41</xdr:row>
      <xdr:rowOff>130309</xdr:rowOff>
    </xdr:to>
    <xdr:sp macro="" textlink="">
      <xdr:nvSpPr>
        <xdr:cNvPr id="4" name="TextBox 3">
          <a:extLst>
            <a:ext uri="{FF2B5EF4-FFF2-40B4-BE49-F238E27FC236}">
              <a16:creationId xmlns:a16="http://schemas.microsoft.com/office/drawing/2014/main" id="{43687CDB-38C3-A6E4-A09F-81F1FC3AD281}"/>
            </a:ext>
          </a:extLst>
        </xdr:cNvPr>
        <xdr:cNvSpPr txBox="1"/>
      </xdr:nvSpPr>
      <xdr:spPr>
        <a:xfrm>
          <a:off x="23576" y="6197136"/>
          <a:ext cx="4781940" cy="1909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Interpretation Note</a:t>
          </a:r>
        </a:p>
        <a:p>
          <a:endParaRPr lang="en-IN" sz="1100"/>
        </a:p>
        <a:p>
          <a:r>
            <a:rPr lang="en-IN" sz="1400"/>
            <a:t>VALID_BASE rows dominate statistical weight</a:t>
          </a:r>
          <a:r>
            <a:rPr lang="en-IN" sz="1400" baseline="0"/>
            <a:t> even if SMALL_BASE appears frequently, preventing fragile denominators from distorting conclusions.</a:t>
          </a:r>
        </a:p>
        <a:p>
          <a:endParaRPr lang="en-IN" sz="1400" baseline="0"/>
        </a:p>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tx1"/>
              </a:solidFill>
              <a:effectLst/>
              <a:latin typeface="+mn-lt"/>
              <a:ea typeface="+mn-ea"/>
              <a:cs typeface="+mn-cs"/>
            </a:rPr>
            <a:t>Analysis conclusions are driven primarily by</a:t>
          </a:r>
          <a:r>
            <a:rPr lang="en-IN" sz="1400" baseline="0">
              <a:solidFill>
                <a:schemeClr val="tx1"/>
              </a:solidFill>
              <a:effectLst/>
              <a:latin typeface="+mn-lt"/>
              <a:ea typeface="+mn-ea"/>
              <a:cs typeface="+mn-cs"/>
            </a:rPr>
            <a:t> VALID_BASE observations (99.96% of coverage).</a:t>
          </a:r>
          <a:endParaRPr lang="en-IN" sz="1400">
            <a:effectLst/>
          </a:endParaRPr>
        </a:p>
        <a:p>
          <a:endParaRPr lang="en-IN" sz="1400"/>
        </a:p>
      </xdr:txBody>
    </xdr:sp>
    <xdr:clientData/>
  </xdr:twoCellAnchor>
  <xdr:twoCellAnchor editAs="oneCell">
    <xdr:from>
      <xdr:col>0</xdr:col>
      <xdr:colOff>36722</xdr:colOff>
      <xdr:row>16</xdr:row>
      <xdr:rowOff>82628</xdr:rowOff>
    </xdr:from>
    <xdr:to>
      <xdr:col>2</xdr:col>
      <xdr:colOff>1351934</xdr:colOff>
      <xdr:row>31</xdr:row>
      <xdr:rowOff>1</xdr:rowOff>
    </xdr:to>
    <xdr:graphicFrame macro="">
      <xdr:nvGraphicFramePr>
        <xdr:cNvPr id="7" name="Chart 6">
          <a:extLst>
            <a:ext uri="{FF2B5EF4-FFF2-40B4-BE49-F238E27FC236}">
              <a16:creationId xmlns:a16="http://schemas.microsoft.com/office/drawing/2014/main" id="{0AD62F3C-2B36-461D-8702-98C42AEEC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36872</xdr:colOff>
      <xdr:row>27</xdr:row>
      <xdr:rowOff>23421</xdr:rowOff>
    </xdr:from>
    <xdr:to>
      <xdr:col>7</xdr:col>
      <xdr:colOff>1274346</xdr:colOff>
      <xdr:row>41</xdr:row>
      <xdr:rowOff>125421</xdr:rowOff>
    </xdr:to>
    <xdr:graphicFrame macro="">
      <xdr:nvGraphicFramePr>
        <xdr:cNvPr id="8" name="Chart 7">
          <a:extLst>
            <a:ext uri="{FF2B5EF4-FFF2-40B4-BE49-F238E27FC236}">
              <a16:creationId xmlns:a16="http://schemas.microsoft.com/office/drawing/2014/main" id="{8F00B337-28EC-C2F0-095B-1785B43B9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xdr:colOff>
      <xdr:row>12</xdr:row>
      <xdr:rowOff>0</xdr:rowOff>
    </xdr:from>
    <xdr:to>
      <xdr:col>2</xdr:col>
      <xdr:colOff>1299148</xdr:colOff>
      <xdr:row>32</xdr:row>
      <xdr:rowOff>76200</xdr:rowOff>
    </xdr:to>
    <xdr:sp macro="" textlink="">
      <xdr:nvSpPr>
        <xdr:cNvPr id="7" name="TextBox 6">
          <a:extLst>
            <a:ext uri="{FF2B5EF4-FFF2-40B4-BE49-F238E27FC236}">
              <a16:creationId xmlns:a16="http://schemas.microsoft.com/office/drawing/2014/main" id="{408AC992-1CC6-4DED-BA54-CCF1FBB88CB6}"/>
            </a:ext>
          </a:extLst>
        </xdr:cNvPr>
        <xdr:cNvSpPr txBox="1"/>
      </xdr:nvSpPr>
      <xdr:spPr>
        <a:xfrm>
          <a:off x="1" y="2660754"/>
          <a:ext cx="4671934" cy="3823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Interpretation Note</a:t>
          </a:r>
        </a:p>
        <a:p>
          <a:endParaRPr lang="en-IN" sz="1400"/>
        </a:p>
        <a:p>
          <a:r>
            <a:rPr lang="en-IN" sz="1400"/>
            <a:t>The dataset is dominated by NORMAL observations, both in</a:t>
          </a:r>
          <a:r>
            <a:rPr lang="en-IN" sz="1400" baseline="0"/>
            <a:t> count and coverage, indicating overall stability.</a:t>
          </a:r>
        </a:p>
        <a:p>
          <a:endParaRPr lang="en-IN" sz="1400" baseline="0"/>
        </a:p>
        <a:p>
          <a:r>
            <a:rPr lang="en-IN" sz="1400" baseline="0"/>
            <a:t>However, a small number of LOW_RATE segments accounts for a disproportionately large share of registrations, suggesting localized performance risks that are warrant deeper investigations.</a:t>
          </a:r>
        </a:p>
        <a:p>
          <a:endParaRPr lang="en-IN" sz="1400" baseline="0"/>
        </a:p>
        <a:p>
          <a:r>
            <a:rPr lang="en-IN" sz="1400" baseline="0"/>
            <a:t>Instances of SUSPICIOUS_PERFECTION are limited in impact and occur mostly in small bases.</a:t>
          </a:r>
        </a:p>
        <a:p>
          <a:endParaRPr lang="en-IN" sz="1400" baseline="0"/>
        </a:p>
        <a:p>
          <a:r>
            <a:rPr lang="en-IN" sz="1400" baseline="0"/>
            <a:t>ABSENT cases represent structural absence of school types rather than performance issues and are excluded from evaluative conclusions.</a:t>
          </a:r>
          <a:endParaRPr lang="en-IN" sz="1400"/>
        </a:p>
      </xdr:txBody>
    </xdr:sp>
    <xdr:clientData/>
  </xdr:twoCellAnchor>
  <xdr:twoCellAnchor editAs="oneCell">
    <xdr:from>
      <xdr:col>0</xdr:col>
      <xdr:colOff>0</xdr:colOff>
      <xdr:row>39</xdr:row>
      <xdr:rowOff>63500</xdr:rowOff>
    </xdr:from>
    <xdr:to>
      <xdr:col>3</xdr:col>
      <xdr:colOff>1041400</xdr:colOff>
      <xdr:row>55</xdr:row>
      <xdr:rowOff>149901</xdr:rowOff>
    </xdr:to>
    <xdr:graphicFrame macro="">
      <xdr:nvGraphicFramePr>
        <xdr:cNvPr id="16" name="Chart 15">
          <a:extLst>
            <a:ext uri="{FF2B5EF4-FFF2-40B4-BE49-F238E27FC236}">
              <a16:creationId xmlns:a16="http://schemas.microsoft.com/office/drawing/2014/main" id="{E3EEFF11-FD2D-4E5C-B67A-D73294CA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101393</xdr:colOff>
      <xdr:row>6</xdr:row>
      <xdr:rowOff>176135</xdr:rowOff>
    </xdr:from>
    <xdr:to>
      <xdr:col>11</xdr:col>
      <xdr:colOff>2370667</xdr:colOff>
      <xdr:row>31</xdr:row>
      <xdr:rowOff>112426</xdr:rowOff>
    </xdr:to>
    <xdr:sp macro="" textlink="">
      <xdr:nvSpPr>
        <xdr:cNvPr id="19" name="TextBox 18">
          <a:extLst>
            <a:ext uri="{FF2B5EF4-FFF2-40B4-BE49-F238E27FC236}">
              <a16:creationId xmlns:a16="http://schemas.microsoft.com/office/drawing/2014/main" id="{D00C29EB-28C0-4A3D-94BD-E1644E807CBB}"/>
            </a:ext>
          </a:extLst>
        </xdr:cNvPr>
        <xdr:cNvSpPr txBox="1"/>
      </xdr:nvSpPr>
      <xdr:spPr>
        <a:xfrm>
          <a:off x="15997560" y="1689552"/>
          <a:ext cx="3094774" cy="4434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Interpretation Note</a:t>
          </a:r>
        </a:p>
        <a:p>
          <a:endParaRPr lang="en-IN" sz="1400"/>
        </a:p>
        <a:p>
          <a:r>
            <a:rPr lang="en-IN" sz="1400"/>
            <a:t>Only Dehradun has no ABSENCE</a:t>
          </a:r>
          <a:r>
            <a:rPr lang="en-IN" sz="1400" baseline="0"/>
            <a:t> case. That means, all school types are present in Dehradun.</a:t>
          </a:r>
        </a:p>
        <a:p>
          <a:endParaRPr lang="en-IN" sz="1400" baseline="0"/>
        </a:p>
        <a:p>
          <a:r>
            <a:rPr lang="en-IN" sz="1400" baseline="0"/>
            <a:t>Only Noida and Prayagraj has LOW_RATES among all regions. That means, they have low attendace on valid bases. In other words, base (denominator) is large enough to matter. We should pay attention to these cases.</a:t>
          </a:r>
        </a:p>
        <a:p>
          <a:endParaRPr lang="en-IN" sz="1400"/>
        </a:p>
        <a:p>
          <a:r>
            <a:rPr lang="en-IN" sz="1400"/>
            <a:t>Though, there are quite a few regions</a:t>
          </a:r>
          <a:r>
            <a:rPr lang="en-IN" sz="1400" baseline="0"/>
            <a:t> with </a:t>
          </a:r>
          <a:r>
            <a:rPr lang="en-IN" sz="1400"/>
            <a:t>SUSPICIOUS_PERFECTION flag,</a:t>
          </a:r>
          <a:r>
            <a:rPr lang="en-IN" sz="1400" baseline="0"/>
            <a:t> they do not carry statistical weight. They are not important for the whole system.</a:t>
          </a:r>
        </a:p>
        <a:p>
          <a:endParaRPr lang="en-IN" sz="1400"/>
        </a:p>
        <a:p>
          <a:r>
            <a:rPr lang="en-IN" sz="1400"/>
            <a:t>Majority of the system operates</a:t>
          </a:r>
          <a:r>
            <a:rPr lang="en-IN" sz="1400" baseline="0"/>
            <a:t> normally and carries most of the statistical weight. </a:t>
          </a:r>
          <a:endParaRPr lang="en-IN" sz="1400"/>
        </a:p>
      </xdr:txBody>
    </xdr:sp>
    <xdr:clientData/>
  </xdr:twoCellAnchor>
  <xdr:twoCellAnchor editAs="absolute">
    <xdr:from>
      <xdr:col>3</xdr:col>
      <xdr:colOff>1325880</xdr:colOff>
      <xdr:row>38</xdr:row>
      <xdr:rowOff>63500</xdr:rowOff>
    </xdr:from>
    <xdr:to>
      <xdr:col>8</xdr:col>
      <xdr:colOff>2316480</xdr:colOff>
      <xdr:row>55</xdr:row>
      <xdr:rowOff>139959</xdr:rowOff>
    </xdr:to>
    <xdr:sp macro="" textlink="">
      <xdr:nvSpPr>
        <xdr:cNvPr id="20" name="TextBox 19">
          <a:extLst>
            <a:ext uri="{FF2B5EF4-FFF2-40B4-BE49-F238E27FC236}">
              <a16:creationId xmlns:a16="http://schemas.microsoft.com/office/drawing/2014/main" id="{4FD27FDA-A338-45DF-BDCD-07709E608AF0}"/>
            </a:ext>
          </a:extLst>
        </xdr:cNvPr>
        <xdr:cNvSpPr txBox="1"/>
      </xdr:nvSpPr>
      <xdr:spPr>
        <a:xfrm>
          <a:off x="6050280" y="7470140"/>
          <a:ext cx="8610600" cy="31854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Interpretation Note</a:t>
          </a:r>
        </a:p>
        <a:p>
          <a:endParaRPr lang="en-IN" sz="1400"/>
        </a:p>
        <a:p>
          <a:r>
            <a:rPr lang="en-IN" sz="1400"/>
            <a:t>CTSA</a:t>
          </a:r>
          <a:r>
            <a:rPr lang="en-IN" sz="1400" baseline="0"/>
            <a:t> and GOVT AIDED school types does not exist in some regions. </a:t>
          </a:r>
          <a:r>
            <a:rPr lang="en-IN" sz="1400"/>
            <a:t>Only</a:t>
          </a:r>
          <a:r>
            <a:rPr lang="en-IN" sz="1400" baseline="0"/>
            <a:t> GOVT school type has LOW_RATE, which shows that they have large student populations but low appearance rate. In other words, attendance drops at scale happen mostly in GOVT schools.</a:t>
          </a:r>
        </a:p>
        <a:p>
          <a:endParaRPr lang="en-IN" sz="1400" baseline="0"/>
        </a:p>
        <a:p>
          <a:r>
            <a:rPr lang="en-IN" sz="1400" baseline="0"/>
            <a:t>Only INDEPENDENT and KV schools never shows 100% appearance on small bases. Their appearance data behaves naturally, without suspicious extremes.</a:t>
          </a:r>
        </a:p>
        <a:p>
          <a:endParaRPr lang="en-IN" sz="1400" baseline="0"/>
        </a:p>
        <a:p>
          <a:r>
            <a:rPr lang="en-IN" sz="1400" baseline="0"/>
            <a:t>Structural absence is limited to CTSA and GOVT AIDED, reflecting institutional presence rather than performance issues. Low attendance risk is concentrated in GOVT schools, driven by their large student bases rather than widespread underperformance. Perfect attendance cases are rare and school-type specific, while normal attendance behavior is cosistently observed across all school types and regions.</a:t>
          </a:r>
          <a:endParaRPr lang="en-IN"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27543</xdr:colOff>
      <xdr:row>13</xdr:row>
      <xdr:rowOff>156899</xdr:rowOff>
    </xdr:from>
    <xdr:to>
      <xdr:col>3</xdr:col>
      <xdr:colOff>31262</xdr:colOff>
      <xdr:row>28</xdr:row>
      <xdr:rowOff>156899</xdr:rowOff>
    </xdr:to>
    <xdr:graphicFrame macro="">
      <xdr:nvGraphicFramePr>
        <xdr:cNvPr id="2" name="Chart 1">
          <a:extLst>
            <a:ext uri="{FF2B5EF4-FFF2-40B4-BE49-F238E27FC236}">
              <a16:creationId xmlns:a16="http://schemas.microsoft.com/office/drawing/2014/main" id="{BCFDB0B4-BF9B-FA16-96DF-FD27F01A3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45904</xdr:colOff>
      <xdr:row>4</xdr:row>
      <xdr:rowOff>62672</xdr:rowOff>
    </xdr:from>
    <xdr:to>
      <xdr:col>6</xdr:col>
      <xdr:colOff>1971040</xdr:colOff>
      <xdr:row>28</xdr:row>
      <xdr:rowOff>132079</xdr:rowOff>
    </xdr:to>
    <xdr:sp macro="" textlink="">
      <xdr:nvSpPr>
        <xdr:cNvPr id="3" name="TextBox 2">
          <a:extLst>
            <a:ext uri="{FF2B5EF4-FFF2-40B4-BE49-F238E27FC236}">
              <a16:creationId xmlns:a16="http://schemas.microsoft.com/office/drawing/2014/main" id="{E4987433-CE58-9078-517B-D090444FCE6C}"/>
            </a:ext>
          </a:extLst>
        </xdr:cNvPr>
        <xdr:cNvSpPr txBox="1"/>
      </xdr:nvSpPr>
      <xdr:spPr>
        <a:xfrm>
          <a:off x="3916864" y="1220912"/>
          <a:ext cx="3753936" cy="4458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Note</a:t>
          </a:r>
        </a:p>
        <a:p>
          <a:endParaRPr lang="en-IN"/>
        </a:p>
        <a:p>
          <a:r>
            <a:rPr lang="en-IN" sz="1200" b="0"/>
            <a:t>School types with high average appearance rates but low standard deviation indicate stable and predictable attendance behavior.</a:t>
          </a:r>
        </a:p>
        <a:p>
          <a:endParaRPr lang="en-IN" sz="1200" b="0"/>
        </a:p>
        <a:p>
          <a:r>
            <a:rPr lang="en-IN" sz="1200" b="0"/>
            <a:t>Higher volatility (standard deviation) suggests uneven attendance performance across regions, even if the average appears acceptable.</a:t>
          </a:r>
        </a:p>
        <a:p>
          <a:endParaRPr lang="en-IN" sz="1200" b="0"/>
        </a:p>
        <a:p>
          <a:r>
            <a:rPr lang="en-IN" sz="1200" b="0"/>
            <a:t>This helps distinguish consistently strong systems from those whose performance depends on local conditions.</a:t>
          </a:r>
        </a:p>
        <a:p>
          <a:endParaRPr lang="en-IN" sz="1100"/>
        </a:p>
        <a:p>
          <a:r>
            <a:rPr lang="en-IN" sz="1200"/>
            <a:t>In the chart, line represnts risks,</a:t>
          </a:r>
          <a:r>
            <a:rPr lang="en-IN" sz="1200" baseline="0"/>
            <a:t> while column represents performance.</a:t>
          </a:r>
          <a:endParaRPr lang="en-IN" sz="12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25686</xdr:colOff>
      <xdr:row>4</xdr:row>
      <xdr:rowOff>119360</xdr:rowOff>
    </xdr:from>
    <xdr:to>
      <xdr:col>5</xdr:col>
      <xdr:colOff>304633</xdr:colOff>
      <xdr:row>22</xdr:row>
      <xdr:rowOff>154111</xdr:rowOff>
    </xdr:to>
    <xdr:graphicFrame macro="">
      <xdr:nvGraphicFramePr>
        <xdr:cNvPr id="2" name="Chart 1">
          <a:extLst>
            <a:ext uri="{FF2B5EF4-FFF2-40B4-BE49-F238E27FC236}">
              <a16:creationId xmlns:a16="http://schemas.microsoft.com/office/drawing/2014/main" id="{B1DB729A-097F-4359-B9E1-71185B95E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25685</xdr:colOff>
      <xdr:row>23</xdr:row>
      <xdr:rowOff>17123</xdr:rowOff>
    </xdr:from>
    <xdr:to>
      <xdr:col>4</xdr:col>
      <xdr:colOff>497631</xdr:colOff>
      <xdr:row>38</xdr:row>
      <xdr:rowOff>136988</xdr:rowOff>
    </xdr:to>
    <xdr:graphicFrame macro="">
      <xdr:nvGraphicFramePr>
        <xdr:cNvPr id="9" name="Chart 8">
          <a:extLst>
            <a:ext uri="{FF2B5EF4-FFF2-40B4-BE49-F238E27FC236}">
              <a16:creationId xmlns:a16="http://schemas.microsoft.com/office/drawing/2014/main" id="{5DBB7F29-9182-42F1-AA34-A72220111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349269</xdr:colOff>
      <xdr:row>4</xdr:row>
      <xdr:rowOff>111304</xdr:rowOff>
    </xdr:from>
    <xdr:to>
      <xdr:col>8</xdr:col>
      <xdr:colOff>1195</xdr:colOff>
      <xdr:row>22</xdr:row>
      <xdr:rowOff>155509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2FA823E-E750-0B48-27B8-5CF19E9918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58139" y="1353547"/>
              <a:ext cx="4372607" cy="3329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26304</xdr:colOff>
      <xdr:row>4</xdr:row>
      <xdr:rowOff>127000</xdr:rowOff>
    </xdr:from>
    <xdr:to>
      <xdr:col>9</xdr:col>
      <xdr:colOff>1275708</xdr:colOff>
      <xdr:row>11</xdr:row>
      <xdr:rowOff>1927</xdr:rowOff>
    </xdr:to>
    <mc:AlternateContent xmlns:mc="http://schemas.openxmlformats.org/markup-compatibility/2006" xmlns:a14="http://schemas.microsoft.com/office/drawing/2010/main">
      <mc:Choice Requires="a14">
        <xdr:graphicFrame macro="">
          <xdr:nvGraphicFramePr>
            <xdr:cNvPr id="12" name="base_flag">
              <a:extLst>
                <a:ext uri="{FF2B5EF4-FFF2-40B4-BE49-F238E27FC236}">
                  <a16:creationId xmlns:a16="http://schemas.microsoft.com/office/drawing/2014/main" id="{04AE185F-0D6A-5F63-51D8-665ABDE18B30}"/>
                </a:ext>
              </a:extLst>
            </xdr:cNvPr>
            <xdr:cNvGraphicFramePr/>
          </xdr:nvGraphicFramePr>
          <xdr:xfrm>
            <a:off x="0" y="0"/>
            <a:ext cx="0" cy="0"/>
          </xdr:xfrm>
          <a:graphic>
            <a:graphicData uri="http://schemas.microsoft.com/office/drawing/2010/slicer">
              <sle:slicer xmlns:sle="http://schemas.microsoft.com/office/drawing/2010/slicer" name="base_flag"/>
            </a:graphicData>
          </a:graphic>
        </xdr:graphicFrame>
      </mc:Choice>
      <mc:Fallback xmlns="">
        <xdr:sp macro="" textlink="">
          <xdr:nvSpPr>
            <xdr:cNvPr id="0" name=""/>
            <xdr:cNvSpPr>
              <a:spLocks noTextEdit="1"/>
            </xdr:cNvSpPr>
          </xdr:nvSpPr>
          <xdr:spPr>
            <a:xfrm>
              <a:off x="8461778" y="1290053"/>
              <a:ext cx="1864351" cy="1185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25218</xdr:colOff>
      <xdr:row>11</xdr:row>
      <xdr:rowOff>29254</xdr:rowOff>
    </xdr:from>
    <xdr:to>
      <xdr:col>9</xdr:col>
      <xdr:colOff>1267146</xdr:colOff>
      <xdr:row>22</xdr:row>
      <xdr:rowOff>127000</xdr:rowOff>
    </xdr:to>
    <mc:AlternateContent xmlns:mc="http://schemas.openxmlformats.org/markup-compatibility/2006" xmlns:a14="http://schemas.microsoft.com/office/drawing/2010/main">
      <mc:Choice Requires="a14">
        <xdr:graphicFrame macro="">
          <xdr:nvGraphicFramePr>
            <xdr:cNvPr id="13" name="School Type">
              <a:extLst>
                <a:ext uri="{FF2B5EF4-FFF2-40B4-BE49-F238E27FC236}">
                  <a16:creationId xmlns:a16="http://schemas.microsoft.com/office/drawing/2014/main" id="{94D773C1-DE16-292C-11DF-7BC57F203823}"/>
                </a:ext>
              </a:extLst>
            </xdr:cNvPr>
            <xdr:cNvGraphicFramePr/>
          </xdr:nvGraphicFramePr>
          <xdr:xfrm>
            <a:off x="0" y="0"/>
            <a:ext cx="0" cy="0"/>
          </xdr:xfrm>
          <a:graphic>
            <a:graphicData uri="http://schemas.microsoft.com/office/drawing/2010/slicer">
              <sle:slicer xmlns:sle="http://schemas.microsoft.com/office/drawing/2010/slicer" name="School Type"/>
            </a:graphicData>
          </a:graphic>
        </xdr:graphicFrame>
      </mc:Choice>
      <mc:Fallback xmlns="">
        <xdr:sp macro="" textlink="">
          <xdr:nvSpPr>
            <xdr:cNvPr id="0" name=""/>
            <xdr:cNvSpPr>
              <a:spLocks noTextEdit="1"/>
            </xdr:cNvSpPr>
          </xdr:nvSpPr>
          <xdr:spPr>
            <a:xfrm>
              <a:off x="8460692" y="2502412"/>
              <a:ext cx="1856875" cy="2156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539393</xdr:colOff>
      <xdr:row>23</xdr:row>
      <xdr:rowOff>0</xdr:rowOff>
    </xdr:from>
    <xdr:to>
      <xdr:col>9</xdr:col>
      <xdr:colOff>1267146</xdr:colOff>
      <xdr:row>38</xdr:row>
      <xdr:rowOff>154112</xdr:rowOff>
    </xdr:to>
    <xdr:graphicFrame macro="">
      <xdr:nvGraphicFramePr>
        <xdr:cNvPr id="5" name="Chart 4">
          <a:extLst>
            <a:ext uri="{FF2B5EF4-FFF2-40B4-BE49-F238E27FC236}">
              <a16:creationId xmlns:a16="http://schemas.microsoft.com/office/drawing/2014/main" id="{29DD5C03-90D3-476B-819B-8AD286BEC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4</xdr:row>
      <xdr:rowOff>0</xdr:rowOff>
    </xdr:from>
    <xdr:to>
      <xdr:col>13</xdr:col>
      <xdr:colOff>1127760</xdr:colOff>
      <xdr:row>10</xdr:row>
      <xdr:rowOff>0</xdr:rowOff>
    </xdr:to>
    <xdr:sp macro="" textlink="">
      <xdr:nvSpPr>
        <xdr:cNvPr id="12" name="TextBox 11">
          <a:extLst>
            <a:ext uri="{FF2B5EF4-FFF2-40B4-BE49-F238E27FC236}">
              <a16:creationId xmlns:a16="http://schemas.microsoft.com/office/drawing/2014/main" id="{45D3923D-5F98-43A9-B3DA-3B33FBCE9AF9}"/>
            </a:ext>
          </a:extLst>
        </xdr:cNvPr>
        <xdr:cNvSpPr txBox="1"/>
      </xdr:nvSpPr>
      <xdr:spPr>
        <a:xfrm>
          <a:off x="0" y="1203960"/>
          <a:ext cx="1383792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This sheet documents</a:t>
          </a:r>
          <a:r>
            <a:rPr lang="en-IN" sz="1600" baseline="0"/>
            <a:t> the analyst judgments and statistical evidence used to define stability thresholds and anomaly cutoffs in the project.</a:t>
          </a:r>
        </a:p>
        <a:p>
          <a:r>
            <a:rPr lang="en-IN" sz="1600" baseline="0"/>
            <a:t>These thresholds are context-specific, distribution-driven, and explicitly documented to ensure transparency and reproducibility.</a:t>
          </a:r>
          <a:endParaRPr lang="en-IN" sz="1600"/>
        </a:p>
      </xdr:txBody>
    </xdr:sp>
    <xdr:clientData/>
  </xdr:twoCellAnchor>
  <xdr:twoCellAnchor editAs="absolute">
    <xdr:from>
      <xdr:col>0</xdr:col>
      <xdr:colOff>0</xdr:colOff>
      <xdr:row>10</xdr:row>
      <xdr:rowOff>0</xdr:rowOff>
    </xdr:from>
    <xdr:to>
      <xdr:col>6</xdr:col>
      <xdr:colOff>800100</xdr:colOff>
      <xdr:row>19</xdr:row>
      <xdr:rowOff>137160</xdr:rowOff>
    </xdr:to>
    <xdr:sp macro="" textlink="">
      <xdr:nvSpPr>
        <xdr:cNvPr id="13" name="TextBox 12">
          <a:extLst>
            <a:ext uri="{FF2B5EF4-FFF2-40B4-BE49-F238E27FC236}">
              <a16:creationId xmlns:a16="http://schemas.microsoft.com/office/drawing/2014/main" id="{ABF5AED0-4D42-47BA-B279-112D4FBE357D}"/>
            </a:ext>
          </a:extLst>
        </xdr:cNvPr>
        <xdr:cNvSpPr txBox="1"/>
      </xdr:nvSpPr>
      <xdr:spPr>
        <a:xfrm>
          <a:off x="0" y="2343150"/>
          <a:ext cx="6686550" cy="1851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Dataset scope</a:t>
          </a:r>
        </a:p>
        <a:p>
          <a:endParaRPr lang="en-IN" sz="1100"/>
        </a:p>
        <a:p>
          <a:r>
            <a:rPr lang="en-IN" sz="1400"/>
            <a:t>Examination: CBSE Class 12</a:t>
          </a:r>
        </a:p>
        <a:p>
          <a:r>
            <a:rPr lang="en-IN" sz="1400"/>
            <a:t>Year:</a:t>
          </a:r>
          <a:r>
            <a:rPr lang="en-IN" sz="1400" baseline="0"/>
            <a:t> 2022</a:t>
          </a:r>
        </a:p>
        <a:p>
          <a:r>
            <a:rPr lang="en-IN" sz="1400" baseline="0"/>
            <a:t>Grain: Region x School Type</a:t>
          </a:r>
        </a:p>
        <a:p>
          <a:r>
            <a:rPr lang="en-IN" sz="1400" baseline="0"/>
            <a:t>Metrics: Registered, Appeared</a:t>
          </a:r>
        </a:p>
        <a:p>
          <a:r>
            <a:rPr lang="en-IN" sz="1400" baseline="0"/>
            <a:t>No demographic, outcome, or performance data included.</a:t>
          </a:r>
          <a:endParaRPr lang="en-IN" sz="1400"/>
        </a:p>
      </xdr:txBody>
    </xdr:sp>
    <xdr:clientData/>
  </xdr:twoCellAnchor>
  <xdr:twoCellAnchor editAs="absolute">
    <xdr:from>
      <xdr:col>6</xdr:col>
      <xdr:colOff>814143</xdr:colOff>
      <xdr:row>10</xdr:row>
      <xdr:rowOff>0</xdr:rowOff>
    </xdr:from>
    <xdr:to>
      <xdr:col>13</xdr:col>
      <xdr:colOff>1129862</xdr:colOff>
      <xdr:row>19</xdr:row>
      <xdr:rowOff>129540</xdr:rowOff>
    </xdr:to>
    <xdr:sp macro="" textlink="">
      <xdr:nvSpPr>
        <xdr:cNvPr id="14" name="TextBox 13">
          <a:extLst>
            <a:ext uri="{FF2B5EF4-FFF2-40B4-BE49-F238E27FC236}">
              <a16:creationId xmlns:a16="http://schemas.microsoft.com/office/drawing/2014/main" id="{EC97DBAB-A3D3-406E-BDB6-3A959512B4FB}"/>
            </a:ext>
          </a:extLst>
        </xdr:cNvPr>
        <xdr:cNvSpPr txBox="1"/>
      </xdr:nvSpPr>
      <xdr:spPr>
        <a:xfrm>
          <a:off x="6660522" y="2299138"/>
          <a:ext cx="7081754" cy="17849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constraint</a:t>
          </a:r>
        </a:p>
        <a:p>
          <a:endParaRPr lang="en-IN" sz="1100"/>
        </a:p>
        <a:p>
          <a:r>
            <a:rPr lang="en-IN" sz="1400" b="0"/>
            <a:t>Appearance</a:t>
          </a:r>
          <a:r>
            <a:rPr lang="en-IN" sz="1400" b="0" baseline="0"/>
            <a:t> rates are ratio metrics and are sensitive to denominatior size.</a:t>
          </a:r>
        </a:p>
        <a:p>
          <a:r>
            <a:rPr lang="en-IN" sz="1400" b="0" baseline="0"/>
            <a:t>All rate-based interpretations are therefore conditioned on base stability.</a:t>
          </a:r>
          <a:endParaRPr lang="en-IN" sz="1400" b="0"/>
        </a:p>
      </xdr:txBody>
    </xdr:sp>
    <xdr:clientData/>
  </xdr:twoCellAnchor>
  <xdr:twoCellAnchor editAs="absolute">
    <xdr:from>
      <xdr:col>0</xdr:col>
      <xdr:colOff>0</xdr:colOff>
      <xdr:row>20</xdr:row>
      <xdr:rowOff>324532</xdr:rowOff>
    </xdr:from>
    <xdr:to>
      <xdr:col>4</xdr:col>
      <xdr:colOff>576385</xdr:colOff>
      <xdr:row>31</xdr:row>
      <xdr:rowOff>9768</xdr:rowOff>
    </xdr:to>
    <xdr:sp macro="" textlink="">
      <xdr:nvSpPr>
        <xdr:cNvPr id="17" name="TextBox 16">
          <a:extLst>
            <a:ext uri="{FF2B5EF4-FFF2-40B4-BE49-F238E27FC236}">
              <a16:creationId xmlns:a16="http://schemas.microsoft.com/office/drawing/2014/main" id="{F8A1F1CD-992F-4F55-977C-CCA37EAC324B}"/>
            </a:ext>
          </a:extLst>
        </xdr:cNvPr>
        <xdr:cNvSpPr txBox="1"/>
      </xdr:nvSpPr>
      <xdr:spPr>
        <a:xfrm>
          <a:off x="0" y="4495994"/>
          <a:ext cx="3897923" cy="1873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mn-lt"/>
              <a:ea typeface="+mn-ea"/>
              <a:cs typeface="+mn-cs"/>
            </a:rPr>
            <a:t>Denominator</a:t>
          </a:r>
          <a:r>
            <a:rPr lang="en-IN" sz="1600" b="1"/>
            <a:t> </a:t>
          </a:r>
          <a:r>
            <a:rPr lang="en-IN" sz="1600" b="1">
              <a:solidFill>
                <a:schemeClr val="dk1"/>
              </a:solidFill>
              <a:latin typeface="+mn-lt"/>
              <a:ea typeface="+mn-ea"/>
              <a:cs typeface="+mn-cs"/>
            </a:rPr>
            <a:t>Stability</a:t>
          </a:r>
          <a:r>
            <a:rPr lang="en-IN" sz="1600" b="1"/>
            <a:t> (SMALL_BASE = 100)</a:t>
          </a:r>
        </a:p>
        <a:p>
          <a:endParaRPr lang="en-IN" sz="1100"/>
        </a:p>
        <a:p>
          <a:r>
            <a:rPr lang="en-IN" sz="1600"/>
            <a:t>Appearance rates become </a:t>
          </a:r>
          <a:r>
            <a:rPr lang="en-IN" sz="1600" baseline="0">
              <a:solidFill>
                <a:schemeClr val="dk1"/>
              </a:solidFill>
              <a:latin typeface="+mn-lt"/>
              <a:ea typeface="+mn-ea"/>
              <a:cs typeface="+mn-cs"/>
            </a:rPr>
            <a:t>statistically</a:t>
          </a:r>
          <a:r>
            <a:rPr lang="en-IN" sz="1600" baseline="0"/>
            <a:t> unstable when registration counts are small; therefore, a minimum base threshold is required before interpreting rates.</a:t>
          </a:r>
        </a:p>
        <a:p>
          <a:endParaRPr lang="en-IN" sz="1600" baseline="0"/>
        </a:p>
        <a:p>
          <a:pPr marL="0" marR="0" lvl="0" indent="0"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Threshold selected to balance statistical stability</a:t>
          </a:r>
          <a:r>
            <a:rPr lang="en-IN" sz="1600" baseline="0">
              <a:solidFill>
                <a:schemeClr val="dk1"/>
              </a:solidFill>
              <a:effectLst/>
              <a:latin typeface="+mn-lt"/>
              <a:ea typeface="+mn-ea"/>
              <a:cs typeface="+mn-cs"/>
            </a:rPr>
            <a:t> with coverage retention.</a:t>
          </a:r>
          <a:endParaRPr lang="en-IN" sz="1600">
            <a:effectLst/>
          </a:endParaRPr>
        </a:p>
        <a:p>
          <a:endParaRPr lang="en-IN" sz="1600"/>
        </a:p>
      </xdr:txBody>
    </xdr:sp>
    <xdr:clientData/>
  </xdr:twoCellAnchor>
  <xdr:twoCellAnchor editAs="absolute">
    <xdr:from>
      <xdr:col>0</xdr:col>
      <xdr:colOff>0</xdr:colOff>
      <xdr:row>30</xdr:row>
      <xdr:rowOff>224691</xdr:rowOff>
    </xdr:from>
    <xdr:to>
      <xdr:col>7</xdr:col>
      <xdr:colOff>0</xdr:colOff>
      <xdr:row>41</xdr:row>
      <xdr:rowOff>0</xdr:rowOff>
    </xdr:to>
    <xdr:sp macro="" textlink="">
      <xdr:nvSpPr>
        <xdr:cNvPr id="19" name="TextBox 18">
          <a:extLst>
            <a:ext uri="{FF2B5EF4-FFF2-40B4-BE49-F238E27FC236}">
              <a16:creationId xmlns:a16="http://schemas.microsoft.com/office/drawing/2014/main" id="{429E9D27-E93C-4BE5-8766-0E045136E0B0}"/>
            </a:ext>
          </a:extLst>
        </xdr:cNvPr>
        <xdr:cNvSpPr txBox="1"/>
      </xdr:nvSpPr>
      <xdr:spPr>
        <a:xfrm>
          <a:off x="0" y="6750537"/>
          <a:ext cx="6555154" cy="1856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Analyst Interpretation</a:t>
          </a:r>
        </a:p>
        <a:p>
          <a:endParaRPr lang="en-IN" sz="1600" b="1"/>
        </a:p>
        <a:p>
          <a:r>
            <a:rPr lang="en-IN" sz="1600" b="0"/>
            <a:t>Only</a:t>
          </a:r>
          <a:r>
            <a:rPr lang="en-IN" sz="1600" b="0" baseline="0"/>
            <a:t> 9 out of 96 rows fall below 100 registrations, yet these rows exhibit disproportionate sensitivity to small absolute changes.</a:t>
          </a:r>
        </a:p>
        <a:p>
          <a:endParaRPr lang="en-IN" sz="1600" b="0"/>
        </a:p>
        <a:p>
          <a:r>
            <a:rPr lang="en-IN" sz="1600" b="0"/>
            <a:t>A threshold of 100 balances stability with coverage,</a:t>
          </a:r>
          <a:r>
            <a:rPr lang="en-IN" sz="1600" b="0" baseline="0"/>
            <a:t> excluding only the most fragile denominators.</a:t>
          </a:r>
          <a:endParaRPr lang="en-IN" sz="1600" b="0"/>
        </a:p>
      </xdr:txBody>
    </xdr:sp>
    <xdr:clientData/>
  </xdr:twoCellAnchor>
  <xdr:twoCellAnchor editAs="absolute">
    <xdr:from>
      <xdr:col>7</xdr:col>
      <xdr:colOff>1</xdr:colOff>
      <xdr:row>21</xdr:row>
      <xdr:rowOff>0</xdr:rowOff>
    </xdr:from>
    <xdr:to>
      <xdr:col>11</xdr:col>
      <xdr:colOff>576386</xdr:colOff>
      <xdr:row>31</xdr:row>
      <xdr:rowOff>214924</xdr:rowOff>
    </xdr:to>
    <xdr:sp macro="" textlink="">
      <xdr:nvSpPr>
        <xdr:cNvPr id="21" name="TextBox 20">
          <a:extLst>
            <a:ext uri="{FF2B5EF4-FFF2-40B4-BE49-F238E27FC236}">
              <a16:creationId xmlns:a16="http://schemas.microsoft.com/office/drawing/2014/main" id="{FCCEE4D5-5BFE-4782-9BA2-F838C09FE277}"/>
            </a:ext>
          </a:extLst>
        </xdr:cNvPr>
        <xdr:cNvSpPr txBox="1"/>
      </xdr:nvSpPr>
      <xdr:spPr>
        <a:xfrm>
          <a:off x="6555155" y="4503615"/>
          <a:ext cx="2999154" cy="24618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Appearance Rate Anomaly Threshold (LOW_RATE = 0.98)</a:t>
          </a:r>
        </a:p>
        <a:p>
          <a:endParaRPr lang="en-IN" sz="1600"/>
        </a:p>
        <a:p>
          <a:r>
            <a:rPr lang="en-IN" sz="1600"/>
            <a:t>Appearance rates are cluster</a:t>
          </a:r>
          <a:r>
            <a:rPr lang="en-IN" sz="1600" baseline="0"/>
            <a:t> tightly near 1.00; rates materially below this cluster represent statistically uncommon behavior.</a:t>
          </a:r>
        </a:p>
        <a:p>
          <a:endParaRPr lang="en-IN" sz="1600" baseline="0"/>
        </a:p>
        <a:p>
          <a:r>
            <a:rPr lang="en-IN" sz="1600" baseline="0"/>
            <a:t>Threshold selected to isolate extreme lower-tail behavior in appearance rates.</a:t>
          </a:r>
        </a:p>
      </xdr:txBody>
    </xdr:sp>
    <xdr:clientData/>
  </xdr:twoCellAnchor>
  <xdr:twoCellAnchor editAs="absolute">
    <xdr:from>
      <xdr:col>7</xdr:col>
      <xdr:colOff>0</xdr:colOff>
      <xdr:row>32</xdr:row>
      <xdr:rowOff>1</xdr:rowOff>
    </xdr:from>
    <xdr:to>
      <xdr:col>13</xdr:col>
      <xdr:colOff>1129862</xdr:colOff>
      <xdr:row>40</xdr:row>
      <xdr:rowOff>166078</xdr:rowOff>
    </xdr:to>
    <xdr:sp macro="" textlink="">
      <xdr:nvSpPr>
        <xdr:cNvPr id="23" name="TextBox 22">
          <a:extLst>
            <a:ext uri="{FF2B5EF4-FFF2-40B4-BE49-F238E27FC236}">
              <a16:creationId xmlns:a16="http://schemas.microsoft.com/office/drawing/2014/main" id="{6B6818FE-EBCB-4C98-9230-0D9EE7CC58ED}"/>
            </a:ext>
          </a:extLst>
        </xdr:cNvPr>
        <xdr:cNvSpPr txBox="1"/>
      </xdr:nvSpPr>
      <xdr:spPr>
        <a:xfrm>
          <a:off x="6660931" y="6923691"/>
          <a:ext cx="7081345" cy="1637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Analyst Interpretation</a:t>
          </a:r>
        </a:p>
        <a:p>
          <a:endParaRPr lang="en-IN" sz="1600"/>
        </a:p>
        <a:p>
          <a:r>
            <a:rPr lang="en-IN" sz="1600"/>
            <a:t>Rates below 98% form</a:t>
          </a:r>
          <a:r>
            <a:rPr lang="en-IN" sz="1600" baseline="0"/>
            <a:t> the exteme lower tail of the distribution.</a:t>
          </a:r>
        </a:p>
        <a:p>
          <a:endParaRPr lang="en-IN" sz="1600" baseline="0"/>
        </a:p>
        <a:p>
          <a:r>
            <a:rPr lang="en-IN" sz="1600" baseline="0"/>
            <a:t>Selecting 0.98 isolates statistically uncommon behavior without over-flagging normal operational variation.</a:t>
          </a:r>
          <a:endParaRPr lang="en-IN" sz="1600"/>
        </a:p>
      </xdr:txBody>
    </xdr:sp>
    <xdr:clientData/>
  </xdr:twoCellAnchor>
  <xdr:twoCellAnchor editAs="absolute">
    <xdr:from>
      <xdr:col>0</xdr:col>
      <xdr:colOff>0</xdr:colOff>
      <xdr:row>42</xdr:row>
      <xdr:rowOff>0</xdr:rowOff>
    </xdr:from>
    <xdr:to>
      <xdr:col>7</xdr:col>
      <xdr:colOff>0</xdr:colOff>
      <xdr:row>52</xdr:row>
      <xdr:rowOff>127000</xdr:rowOff>
    </xdr:to>
    <xdr:sp macro="" textlink="">
      <xdr:nvSpPr>
        <xdr:cNvPr id="26" name="TextBox 25">
          <a:extLst>
            <a:ext uri="{FF2B5EF4-FFF2-40B4-BE49-F238E27FC236}">
              <a16:creationId xmlns:a16="http://schemas.microsoft.com/office/drawing/2014/main" id="{D78DD0E8-B9A2-4710-9536-031F9DE3F147}"/>
            </a:ext>
          </a:extLst>
        </xdr:cNvPr>
        <xdr:cNvSpPr txBox="1"/>
      </xdr:nvSpPr>
      <xdr:spPr>
        <a:xfrm>
          <a:off x="0" y="8801100"/>
          <a:ext cx="6680200" cy="237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Thresholds are context-specific, not universal constants.</a:t>
          </a:r>
        </a:p>
        <a:p>
          <a:endParaRPr lang="en-IN" sz="1600" b="0"/>
        </a:p>
        <a:p>
          <a:r>
            <a:rPr lang="en-IN" sz="1600" b="0"/>
            <a:t>Structural</a:t>
          </a:r>
          <a:r>
            <a:rPr lang="en-IN" sz="1600" b="0" baseline="0"/>
            <a:t> zeros indicate absence, not failure.</a:t>
          </a:r>
        </a:p>
        <a:p>
          <a:endParaRPr lang="en-IN" sz="1600" b="0" baseline="0"/>
        </a:p>
        <a:p>
          <a:r>
            <a:rPr lang="en-IN" sz="1600" b="0" baseline="0"/>
            <a:t>LOW_RATE flags identify risk, not error or casuality.</a:t>
          </a:r>
        </a:p>
        <a:p>
          <a:endParaRPr lang="en-IN" sz="1600" b="0" baseline="0"/>
        </a:p>
        <a:p>
          <a:r>
            <a:rPr lang="en-IN" sz="1600" b="0" baseline="0"/>
            <a:t>SMALL_BASE flags warn against over-interpretation, not exclusion by default.</a:t>
          </a:r>
          <a:endParaRPr lang="en-IN" sz="1600" b="0"/>
        </a:p>
      </xdr:txBody>
    </xdr:sp>
    <xdr:clientData/>
  </xdr:twoCellAnchor>
  <xdr:twoCellAnchor editAs="absolute">
    <xdr:from>
      <xdr:col>7</xdr:col>
      <xdr:colOff>0</xdr:colOff>
      <xdr:row>47</xdr:row>
      <xdr:rowOff>1915</xdr:rowOff>
    </xdr:from>
    <xdr:to>
      <xdr:col>13</xdr:col>
      <xdr:colOff>1116724</xdr:colOff>
      <xdr:row>52</xdr:row>
      <xdr:rowOff>127000</xdr:rowOff>
    </xdr:to>
    <xdr:sp macro="" textlink="">
      <xdr:nvSpPr>
        <xdr:cNvPr id="33" name="TextBox 32">
          <a:extLst>
            <a:ext uri="{FF2B5EF4-FFF2-40B4-BE49-F238E27FC236}">
              <a16:creationId xmlns:a16="http://schemas.microsoft.com/office/drawing/2014/main" id="{D66A4C9F-E778-4976-9F89-FD1E665A9054}"/>
            </a:ext>
          </a:extLst>
        </xdr:cNvPr>
        <xdr:cNvSpPr txBox="1"/>
      </xdr:nvSpPr>
      <xdr:spPr>
        <a:xfrm>
          <a:off x="6660931" y="10262639"/>
          <a:ext cx="7068207" cy="1044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0"/>
        </a:p>
        <a:p>
          <a:r>
            <a:rPr lang="en-IN" sz="1600" b="0"/>
            <a:t>These</a:t>
          </a:r>
          <a:r>
            <a:rPr lang="en-IN" sz="1600" b="0" baseline="0"/>
            <a:t> documented thresholds directly drive all credibility, anomaly, and volatility insights shown in the dashboard.</a:t>
          </a:r>
          <a:endParaRPr lang="en-IN" sz="1600" b="0"/>
        </a:p>
      </xdr:txBody>
    </xdr:sp>
    <xdr:clientData/>
  </xdr:twoCellAnchor>
</xdr:wsDr>
</file>

<file path=xl/persons/person.xml><?xml version="1.0" encoding="utf-8"?>
<personList xmlns="http://schemas.microsoft.com/office/spreadsheetml/2018/threadedcomments" xmlns:x="http://schemas.openxmlformats.org/spreadsheetml/2006/main">
  <person displayName="Ritu Verma" id="{B0D21A45-A48A-43A3-A36E-8400C40D9E68}" userId="S::RituVerma@RituVerma392.onmicrosoft.com::09f60e0d-e02b-4b45-8744-7251b590f58f"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1736113" createdVersion="8" refreshedVersion="8" minRefreshableVersion="3" recordCount="0" supportSubquery="1" supportAdvancedDrill="1" xr:uid="{34E5C13B-462E-4898-AE37-6C54CF2CCB73}">
  <cacheSource type="external" connectionId="6"/>
  <cacheFields count="7">
    <cacheField name="[03_DATA_QUALITY_LOG].[Integrity_Check].[Integrity_Check]" caption="Integrity_Check" numFmtId="0" hierarchy="35" level="1">
      <sharedItems count="4">
        <s v="MissingCheck"/>
        <s v="RateCheck"/>
        <s v="RegisteredCheck"/>
        <s v="StructuralZeroCheck"/>
      </sharedItems>
      <extLst>
        <ext xmlns:x15="http://schemas.microsoft.com/office/spreadsheetml/2010/11/main" uri="{4F2E5C28-24EA-4eb8-9CBF-B6C8F9C3D259}">
          <x15:cachedUniqueNames>
            <x15:cachedUniqueName index="0" name="[03_DATA_QUALITY_LOG].[Integrity_Check].&amp;[MissingCheck]"/>
            <x15:cachedUniqueName index="1" name="[03_DATA_QUALITY_LOG].[Integrity_Check].&amp;[RateCheck]"/>
            <x15:cachedUniqueName index="2" name="[03_DATA_QUALITY_LOG].[Integrity_Check].&amp;[RegisteredCheck]"/>
            <x15:cachedUniqueName index="3" name="[03_DATA_QUALITY_LOG].[Integrity_Check].&amp;[StructuralZeroCheck]"/>
          </x15:cachedUniqueNames>
        </ext>
      </extLst>
    </cacheField>
    <cacheField name="[Measures].[Total Checks]" caption="Total Checks" numFmtId="0" hierarchy="44" level="32767"/>
    <cacheField name="[Measures].[Flagged Checks]" caption="Flagged Checks" numFmtId="0" hierarchy="45" level="32767"/>
    <cacheField name="[Measures].[Percent Flagged]" caption="Percent Flagged" numFmtId="0" hierarchy="46" level="32767"/>
    <cacheField name="[Measures].[Structural Zeros]" caption="Structural Zeros" numFmtId="0" hierarchy="47"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5"/>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6"/>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2" memberValueDatatype="130" unbalanced="0">
      <fieldsUsage count="2">
        <fieldUsage x="-1"/>
        <fieldUsage x="0"/>
      </fieldsUsage>
    </cacheHierarchy>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oneField="1">
      <fieldsUsage count="1">
        <fieldUsage x="1"/>
      </fieldsUsage>
    </cacheHierarchy>
    <cacheHierarchy uniqueName="[Measures].[Flagged Checks]" caption="Flagged Checks" measure="1" displayFolder="" measureGroup="03_DATA_QUALITY_LOG" count="0" oneField="1">
      <fieldsUsage count="1">
        <fieldUsage x="2"/>
      </fieldsUsage>
    </cacheHierarchy>
    <cacheHierarchy uniqueName="[Measures].[Percent Flagged]" caption="Percent Flagged" measure="1" displayFolder="" measureGroup="03_DATA_QUALITY_LOG" count="0" oneField="1">
      <fieldsUsage count="1">
        <fieldUsage x="3"/>
      </fieldsUsage>
    </cacheHierarchy>
    <cacheHierarchy uniqueName="[Measures].[Structural Zeros]" caption="Structural Zeros" measure="1" displayFolder="" measureGroup="03_DATA_QUALITY_LOG" count="0" oneField="1">
      <fieldsUsage count="1">
        <fieldUsage x="4"/>
      </fieldsUsage>
    </cacheHierarchy>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1851852" createdVersion="8" refreshedVersion="8" minRefreshableVersion="3" recordCount="0" supportSubquery="1" supportAdvancedDrill="1" xr:uid="{38D7B1E1-994F-4630-B876-4305C1CE788D}">
  <cacheSource type="external" connectionId="6"/>
  <cacheFields count="3">
    <cacheField name="[Measures].[Structural Zeros]" caption="Structural Zeros" numFmtId="0" hierarchy="47"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oneField="1">
      <fieldsUsage count="1">
        <fieldUsage x="0"/>
      </fieldsUsage>
    </cacheHierarchy>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2199075" createdVersion="8" refreshedVersion="8" minRefreshableVersion="3" recordCount="0" supportSubquery="1" supportAdvancedDrill="1" xr:uid="{5ECE9D64-616E-4C48-B208-228B8871A53B}">
  <cacheSource type="external" connectionId="6"/>
  <cacheFields count="5">
    <cacheField name="[03_DATA_QUALITY_LOG].[Region].[Region]" caption="Region" numFmtId="0" hierarchy="32" level="1">
      <sharedItems count="16">
        <s v="Ajmer"/>
        <s v="Bengaluru"/>
        <s v="Bhopal"/>
        <s v="Bhubaneswar"/>
        <s v="Chandigarh"/>
        <s v="Chennai"/>
        <s v="Dehradun"/>
        <s v="Delhi East"/>
        <s v="Delhi West"/>
        <s v="Guwahati"/>
        <s v="Noida"/>
        <s v="Panchkula"/>
        <s v="Patna"/>
        <s v="Prayagraj"/>
        <s v="Pune"/>
        <s v="Trivandrum"/>
      </sharedItems>
      <extLst>
        <ext xmlns:x15="http://schemas.microsoft.com/office/spreadsheetml/2010/11/main" uri="{4F2E5C28-24EA-4eb8-9CBF-B6C8F9C3D259}">
          <x15:cachedUniqueNames>
            <x15:cachedUniqueName index="0" name="[03_DATA_QUALITY_LOG].[Region].&amp;[Ajmer]"/>
            <x15:cachedUniqueName index="1" name="[03_DATA_QUALITY_LOG].[Region].&amp;[Bengaluru]"/>
            <x15:cachedUniqueName index="2" name="[03_DATA_QUALITY_LOG].[Region].&amp;[Bhopal]"/>
            <x15:cachedUniqueName index="3" name="[03_DATA_QUALITY_LOG].[Region].&amp;[Bhubaneswar]"/>
            <x15:cachedUniqueName index="4" name="[03_DATA_QUALITY_LOG].[Region].&amp;[Chandigarh]"/>
            <x15:cachedUniqueName index="5" name="[03_DATA_QUALITY_LOG].[Region].&amp;[Chennai]"/>
            <x15:cachedUniqueName index="6" name="[03_DATA_QUALITY_LOG].[Region].&amp;[Dehradun]"/>
            <x15:cachedUniqueName index="7" name="[03_DATA_QUALITY_LOG].[Region].&amp;[Delhi East]"/>
            <x15:cachedUniqueName index="8" name="[03_DATA_QUALITY_LOG].[Region].&amp;[Delhi West]"/>
            <x15:cachedUniqueName index="9" name="[03_DATA_QUALITY_LOG].[Region].&amp;[Guwahati]"/>
            <x15:cachedUniqueName index="10" name="[03_DATA_QUALITY_LOG].[Region].&amp;[Noida]"/>
            <x15:cachedUniqueName index="11" name="[03_DATA_QUALITY_LOG].[Region].&amp;[Panchkula]"/>
            <x15:cachedUniqueName index="12" name="[03_DATA_QUALITY_LOG].[Region].&amp;[Patna]"/>
            <x15:cachedUniqueName index="13" name="[03_DATA_QUALITY_LOG].[Region].&amp;[Prayagraj]"/>
            <x15:cachedUniqueName index="14" name="[03_DATA_QUALITY_LOG].[Region].&amp;[Pune]"/>
            <x15:cachedUniqueName index="15" name="[03_DATA_QUALITY_LOG].[Region].&amp;[Trivandrum]"/>
          </x15:cachedUniqueNames>
        </ext>
      </extLst>
    </cacheField>
    <cacheField name="[03_DATA_QUALITY_LOG].[Integrity_Check].[Integrity_Check]" caption="Integrity_Check" numFmtId="0" hierarchy="35" level="1">
      <sharedItems count="1">
        <s v="StructuralZeroCheck"/>
      </sharedItems>
      <extLst>
        <ext xmlns:x15="http://schemas.microsoft.com/office/spreadsheetml/2010/11/main" uri="{4F2E5C28-24EA-4eb8-9CBF-B6C8F9C3D259}">
          <x15:cachedUniqueNames>
            <x15:cachedUniqueName index="0" name="[03_DATA_QUALITY_LOG].[Integrity_Check].&amp;[StructuralZeroCheck]"/>
          </x15:cachedUniqueNames>
        </ext>
      </extLst>
    </cacheField>
    <cacheField name="[Measures].[Structural Zeros]" caption="Structural Zeros" numFmtId="0" hierarchy="47"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3"/>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4"/>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2" memberValueDatatype="130" unbalanced="0">
      <fieldsUsage count="2">
        <fieldUsage x="-1"/>
        <fieldUsage x="0"/>
      </fieldsUsage>
    </cacheHierarchy>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2" memberValueDatatype="130" unbalanced="0">
      <fieldsUsage count="2">
        <fieldUsage x="-1"/>
        <fieldUsage x="1"/>
      </fieldsUsage>
    </cacheHierarchy>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oneField="1">
      <fieldsUsage count="1">
        <fieldUsage x="2"/>
      </fieldsUsage>
    </cacheHierarchy>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2314814" createdVersion="8" refreshedVersion="8" minRefreshableVersion="3" recordCount="0" supportSubquery="1" supportAdvancedDrill="1" xr:uid="{CFA7F4A8-B185-471E-A239-57B877EADF76}">
  <cacheSource type="external" connectionId="6"/>
  <cacheFields count="3">
    <cacheField name="[Measures].[Integrity Score]" caption="Integrity Score" numFmtId="0" hierarchy="48"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oneField="1">
      <fieldsUsage count="1">
        <fieldUsage x="0"/>
      </fieldsUsage>
    </cacheHierarchy>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2777775" createdVersion="8" refreshedVersion="8" minRefreshableVersion="3" recordCount="0" supportSubquery="1" supportAdvancedDrill="1" xr:uid="{6EB5D41C-00C5-487E-B2B7-4A0A3ABA824C}">
  <cacheSource type="external" connectionId="6"/>
  <cacheFields count="4">
    <cacheField name="[03_DATA_QUALITY_LOG].[Integrity_Check].[Integrity_Check]" caption="Integrity_Check" numFmtId="0" hierarchy="35" level="1">
      <sharedItems count="4">
        <s v="MissingCheck"/>
        <s v="RateCheck"/>
        <s v="RegisteredCheck"/>
        <s v="StructuralZeroCheck"/>
      </sharedItems>
      <extLst>
        <ext xmlns:x15="http://schemas.microsoft.com/office/spreadsheetml/2010/11/main" uri="{4F2E5C28-24EA-4eb8-9CBF-B6C8F9C3D259}">
          <x15:cachedUniqueNames>
            <x15:cachedUniqueName index="0" name="[03_DATA_QUALITY_LOG].[Integrity_Check].&amp;[MissingCheck]"/>
            <x15:cachedUniqueName index="1" name="[03_DATA_QUALITY_LOG].[Integrity_Check].&amp;[RateCheck]"/>
            <x15:cachedUniqueName index="2" name="[03_DATA_QUALITY_LOG].[Integrity_Check].&amp;[RegisteredCheck]"/>
            <x15:cachedUniqueName index="3" name="[03_DATA_QUALITY_LOG].[Integrity_Check].&amp;[StructuralZeroCheck]"/>
          </x15:cachedUniqueNames>
        </ext>
      </extLst>
    </cacheField>
    <cacheField name="[Measures].[Structural Zeros]" caption="Structural Zeros" numFmtId="0" hierarchy="47"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2"/>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3"/>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2" memberValueDatatype="130" unbalanced="0">
      <fieldsUsage count="2">
        <fieldUsage x="-1"/>
        <fieldUsage x="0"/>
      </fieldsUsage>
    </cacheHierarchy>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oneField="1">
      <fieldsUsage count="1">
        <fieldUsage x="1"/>
      </fieldsUsage>
    </cacheHierarchy>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2893521" createdVersion="8" refreshedVersion="8" minRefreshableVersion="3" recordCount="0" supportSubquery="1" supportAdvancedDrill="1" xr:uid="{AFB063A6-929D-4740-8D60-568133CA6ACC}">
  <cacheSource type="external" connectionId="6"/>
  <cacheFields count="3">
    <cacheField name="[Measures].[Flagged Checks]" caption="Flagged Checks" numFmtId="0" hierarchy="45"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oneField="1">
      <fieldsUsage count="1">
        <fieldUsage x="0"/>
      </fieldsUsage>
    </cacheHierarchy>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3356483" createdVersion="8" refreshedVersion="8" minRefreshableVersion="3" recordCount="0" supportSubquery="1" supportAdvancedDrill="1" xr:uid="{B00A2178-B797-4A4D-BBB7-AE4924F9785A}">
  <cacheSource type="external" connectionId="6"/>
  <cacheFields count="5">
    <cacheField name="[02_FACT_APPEARANCE].[School Type].[School Type]" caption="School Type" numFmtId="0" hierarchy="18" level="1">
      <sharedItems count="6">
        <s v="CTSA"/>
        <s v="GOVT"/>
        <s v="GOVT AIDED"/>
        <s v="INDEPENDENT"/>
        <s v="JNV"/>
        <s v="KV"/>
      </sharedItems>
      <extLst>
        <ext xmlns:x15="http://schemas.microsoft.com/office/spreadsheetml/2010/11/main" uri="{4F2E5C28-24EA-4eb8-9CBF-B6C8F9C3D259}">
          <x15:cachedUniqueNames>
            <x15:cachedUniqueName index="0" name="[02_FACT_APPEARANCE].[School Type].&amp;[CTSA]"/>
            <x15:cachedUniqueName index="1" name="[02_FACT_APPEARANCE].[School Type].&amp;[GOVT]"/>
            <x15:cachedUniqueName index="2" name="[02_FACT_APPEARANCE].[School Type].&amp;[GOVT AIDED]"/>
            <x15:cachedUniqueName index="3" name="[02_FACT_APPEARANCE].[School Type].&amp;[INDEPENDENT]"/>
            <x15:cachedUniqueName index="4" name="[02_FACT_APPEARANCE].[School Type].&amp;[JNV]"/>
            <x15:cachedUniqueName index="5" name="[02_FACT_APPEARANCE].[School Type].&amp;[KV]"/>
          </x15:cachedUniqueNames>
        </ext>
      </extLst>
    </cacheField>
    <cacheField name="[Measures].[Total Registered]" caption="Total Registered" numFmtId="0" hierarchy="55" level="32767"/>
    <cacheField name="[Measures].[Coverage Share]" caption="Coverage Share" numFmtId="0" hierarchy="42" level="32767"/>
    <cacheField name="[02_FACT_APPEARANCE].[base_flag].[base_flag]" caption="base_flag" numFmtId="0" hierarchy="25" level="1">
      <sharedItems containsSemiMixedTypes="0" containsNonDate="0" containsString="0"/>
    </cacheField>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4"/>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fieldsUsage count="2">
        <fieldUsage x="-1"/>
        <fieldUsage x="0"/>
      </fieldsUsage>
    </cacheHierarchy>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3"/>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2"/>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oneField="1">
      <fieldsUsage count="1">
        <fieldUsage x="1"/>
      </fieldsUsage>
    </cacheHierarchy>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3472222" createdVersion="8" refreshedVersion="8" minRefreshableVersion="3" recordCount="0" supportSubquery="1" supportAdvancedDrill="1" xr:uid="{FA77CAD9-BB4F-4B8A-82DF-D509A635015F}">
  <cacheSource type="external" connectionId="6"/>
  <cacheFields count="3">
    <cacheField name="[Measures].[Usable Coverage Share]" caption="Usable Coverage Share" numFmtId="0" hierarchy="43"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oneField="1">
      <fieldsUsage count="1">
        <fieldUsage x="0"/>
      </fieldsUsage>
    </cacheHierarchy>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3819445" createdVersion="8" refreshedVersion="8" minRefreshableVersion="3" recordCount="0" supportSubquery="1" supportAdvancedDrill="1" xr:uid="{A98CFE7B-CCFD-4D86-A4AE-F68D3C5D78E1}">
  <cacheSource type="external" connectionId="6"/>
  <cacheFields count="4">
    <cacheField name="[02_FACT_APPEARANCE].[base_flag].[base_flag]" caption="base_flag" numFmtId="0" hierarchy="25" level="1">
      <sharedItems containsSemiMixedTypes="0" containsNonDate="0" containsString="0"/>
    </cacheField>
    <cacheField name="[02_FACT_APPEARANCE].[School Type].[School Type]" caption="School Type" numFmtId="0" hierarchy="18" level="1">
      <sharedItems count="6">
        <s v="CTSA"/>
        <s v="GOVT"/>
        <s v="GOVT AIDED"/>
        <s v="INDEPENDENT"/>
        <s v="JNV"/>
        <s v="KV"/>
      </sharedItems>
      <extLst>
        <ext xmlns:x15="http://schemas.microsoft.com/office/spreadsheetml/2010/11/main" uri="{4F2E5C28-24EA-4eb8-9CBF-B6C8F9C3D259}">
          <x15:cachedUniqueNames>
            <x15:cachedUniqueName index="0" name="[02_FACT_APPEARANCE].[School Type].&amp;[CTSA]"/>
            <x15:cachedUniqueName index="1" name="[02_FACT_APPEARANCE].[School Type].&amp;[GOVT]"/>
            <x15:cachedUniqueName index="2" name="[02_FACT_APPEARANCE].[School Type].&amp;[GOVT AIDED]"/>
            <x15:cachedUniqueName index="3" name="[02_FACT_APPEARANCE].[School Type].&amp;[INDEPENDENT]"/>
            <x15:cachedUniqueName index="4" name="[02_FACT_APPEARANCE].[School Type].&amp;[JNV]"/>
            <x15:cachedUniqueName index="5" name="[02_FACT_APPEARANCE].[School Type].&amp;[KV]"/>
          </x15:cachedUniqueNames>
        </ext>
      </extLst>
    </cacheField>
    <cacheField name="[Measures].[Coverage Share]" caption="Coverage Share" numFmtId="0" hierarchy="42" level="32767"/>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3"/>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fieldsUsage count="2">
        <fieldUsage x="-1"/>
        <fieldUsage x="1"/>
      </fieldsUsage>
    </cacheHierarchy>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0"/>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2"/>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3935184" createdVersion="8" refreshedVersion="8" minRefreshableVersion="3" recordCount="0" supportSubquery="1" supportAdvancedDrill="1" xr:uid="{A65D01E2-3DFA-4E62-93AB-2ED9E9FCBBF4}">
  <cacheSource type="external" connectionId="6"/>
  <cacheFields count="3">
    <cacheField name="[Measures].[Valid Base Rows]" caption="Valid Base Rows" numFmtId="0" hierarchy="57"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oneField="1">
      <fieldsUsage count="1">
        <fieldUsage x="0"/>
      </fieldsUsage>
    </cacheHierarchy>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4050922" createdVersion="8" refreshedVersion="8" minRefreshableVersion="3" recordCount="0" supportSubquery="1" supportAdvancedDrill="1" xr:uid="{40653FA0-1D07-46DB-84E3-C96E844D24EF}">
  <cacheSource type="external" connectionId="6"/>
  <cacheFields count="3">
    <cacheField name="[Measures].[Total Rows]" caption="Total Rows" numFmtId="0" hierarchy="56"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oneField="1">
      <fieldsUsage count="1">
        <fieldUsage x="0"/>
      </fieldsUsage>
    </cacheHierarchy>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462963" createdVersion="8" refreshedVersion="8" minRefreshableVersion="3" recordCount="0" supportSubquery="1" supportAdvancedDrill="1" xr:uid="{A1F8C9EE-F882-4037-A074-D17BB75613D3}">
  <cacheSource type="external" connectionId="6"/>
  <cacheFields count="5">
    <cacheField name="[02_FACT_APPEARANCE].[base_flag].[base_flag]" caption="base_flag" numFmtId="0" hierarchy="25" level="1">
      <sharedItems count="3">
        <s v="ABSENT_BASE"/>
        <s v="SMALL_BASE"/>
        <s v="VALID_BASE"/>
      </sharedItems>
      <extLst>
        <ext xmlns:x15="http://schemas.microsoft.com/office/spreadsheetml/2010/11/main" uri="{4F2E5C28-24EA-4eb8-9CBF-B6C8F9C3D259}">
          <x15:cachedUniqueNames>
            <x15:cachedUniqueName index="0" name="[02_FACT_APPEARANCE].[base_flag].&amp;[ABSENT_BASE]"/>
            <x15:cachedUniqueName index="1" name="[02_FACT_APPEARANCE].[base_flag].&amp;[SMALL_BASE]"/>
            <x15:cachedUniqueName index="2" name="[02_FACT_APPEARANCE].[base_flag].&amp;[VALID_BASE]"/>
          </x15:cachedUniqueNames>
        </ext>
      </extLst>
    </cacheField>
    <cacheField name="[Measures].[Count of base_flag]" caption="Count of base_flag" numFmtId="0" hierarchy="38" level="32767"/>
    <cacheField name="[Measures].[Total Registered]" caption="Total Registered" numFmtId="0" hierarchy="55" level="32767"/>
    <cacheField name="[Measures].[Coverage Share]" caption="Coverage Share" numFmtId="0" hierarchy="42" level="32767"/>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4"/>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0"/>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oneField="1">
      <fieldsUsage count="1">
        <fieldUsage x="1"/>
      </fieldsUsage>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3"/>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oneField="1">
      <fieldsUsage count="1">
        <fieldUsage x="2"/>
      </fieldsUsage>
    </cacheHierarchy>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4861108" createdVersion="8" refreshedVersion="8" minRefreshableVersion="3" recordCount="0" supportSubquery="1" supportAdvancedDrill="1" xr:uid="{2E578F35-2ECC-434A-BBC0-B08C5AAD9D53}">
  <cacheSource type="external" connectionId="6"/>
  <cacheFields count="4">
    <cacheField name="[02_FACT_APPEARANCE].[base_flag].[base_flag]" caption="base_flag" numFmtId="0" hierarchy="25" level="1">
      <sharedItems count="3">
        <s v="ABSENT_BASE"/>
        <s v="SMALL_BASE"/>
        <s v="VALID_BASE"/>
      </sharedItems>
      <extLst>
        <ext xmlns:x15="http://schemas.microsoft.com/office/spreadsheetml/2010/11/main" uri="{4F2E5C28-24EA-4eb8-9CBF-B6C8F9C3D259}">
          <x15:cachedUniqueNames>
            <x15:cachedUniqueName index="0" name="[02_FACT_APPEARANCE].[base_flag].&amp;[ABSENT_BASE]"/>
            <x15:cachedUniqueName index="1" name="[02_FACT_APPEARANCE].[base_flag].&amp;[SMALL_BASE]"/>
            <x15:cachedUniqueName index="2" name="[02_FACT_APPEARANCE].[base_flag].&amp;[VALID_BASE]"/>
          </x15:cachedUniqueNames>
        </ext>
      </extLst>
    </cacheField>
    <cacheField name="[Measures].[Count of base_flag]" caption="Count of base_flag" numFmtId="0" hierarchy="38" level="32767"/>
    <cacheField name="[Measures].[Coverage Share]" caption="Coverage Share" numFmtId="0" hierarchy="42" level="32767"/>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3"/>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0"/>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oneField="1">
      <fieldsUsage count="1">
        <fieldUsage x="1"/>
      </fieldsUsage>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2"/>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5208331" createdVersion="8" refreshedVersion="8" minRefreshableVersion="3" recordCount="0" supportSubquery="1" supportAdvancedDrill="1" xr:uid="{A7F8E335-A532-4D94-8E7A-B31115C4EFB7}">
  <cacheSource type="external" connectionId="6"/>
  <cacheFields count="5">
    <cacheField name="[02_FACT_APPEARANCE].[anomaly_flag].[anomaly_flag]" caption="anomaly_flag" numFmtId="0" hierarchy="26" level="1">
      <sharedItems count="4">
        <s v="ABSENT"/>
        <s v="LOW_RATE"/>
        <s v="NORMAL"/>
        <s v="SUSPICIOUS_PERFECTION"/>
      </sharedItems>
      <extLst>
        <ext xmlns:x15="http://schemas.microsoft.com/office/spreadsheetml/2010/11/main" uri="{4F2E5C28-24EA-4eb8-9CBF-B6C8F9C3D259}">
          <x15:cachedUniqueNames>
            <x15:cachedUniqueName index="0" name="[02_FACT_APPEARANCE].[anomaly_flag].&amp;[ABSENT]"/>
            <x15:cachedUniqueName index="1" name="[02_FACT_APPEARANCE].[anomaly_flag].&amp;[LOW_RATE]"/>
            <x15:cachedUniqueName index="2" name="[02_FACT_APPEARANCE].[anomaly_flag].&amp;[NORMAL]"/>
            <x15:cachedUniqueName index="3" name="[02_FACT_APPEARANCE].[anomaly_flag].&amp;[SUSPICIOUS_PERFECTION]"/>
          </x15:cachedUniqueNames>
        </ext>
      </extLst>
    </cacheField>
    <cacheField name="[Measures].[Count of anomaly_flag]" caption="Count of anomaly_flag" numFmtId="0" hierarchy="39" level="32767"/>
    <cacheField name="[Measures].[Coverage Share]" caption="Coverage Share" numFmtId="0" hierarchy="42"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3"/>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4"/>
      </fieldsUsage>
    </cacheHierarchy>
    <cacheHierarchy uniqueName="[02_FACT_APPEARANCE].[anomaly_flag]" caption="anomaly_flag" attribute="1" defaultMemberUniqueName="[02_FACT_APPEARANCE].[anomaly_flag].[All]" allUniqueName="[02_FACT_APPEARANCE].[anomaly_flag].[All]" dimensionUniqueName="[02_FACT_APPEARANCE]" displayFolder="" count="2" memberValueDatatype="130" unbalanced="0">
      <fieldsUsage count="2">
        <fieldUsage x="-1"/>
        <fieldUsage x="0"/>
      </fieldsUsage>
    </cacheHierarchy>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oneField="1">
      <fieldsUsage count="1">
        <fieldUsage x="1"/>
      </fieldsUsage>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2"/>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5439815" createdVersion="8" refreshedVersion="8" minRefreshableVersion="3" recordCount="0" supportSubquery="1" supportAdvancedDrill="1" xr:uid="{F228AA58-752D-45C6-B6A4-2E9CC8364477}">
  <cacheSource type="external" connectionId="6"/>
  <cacheFields count="3">
    <cacheField name="[Measures].[Low Rate Coverage (%)]" caption="Low Rate Coverage (%)" numFmtId="0" hierarchy="52"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oneField="1">
      <fieldsUsage count="1">
        <fieldUsage x="0"/>
      </fieldsUsage>
    </cacheHierarchy>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5555554" createdVersion="8" refreshedVersion="8" minRefreshableVersion="3" recordCount="0" supportSubquery="1" supportAdvancedDrill="1" xr:uid="{FDCCB7F1-7C3F-492D-B5E0-5B75E61EAEF8}">
  <cacheSource type="external" connectionId="6"/>
  <cacheFields count="3">
    <cacheField name="[Measures].[Suspicious Perfection Coverage (%)]" caption="Suspicious Perfection Coverage (%)" numFmtId="0" hierarchy="53"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oneField="1">
      <fieldsUsage count="1">
        <fieldUsage x="0"/>
      </fieldsUsage>
    </cacheHierarchy>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5671293" createdVersion="8" refreshedVersion="8" minRefreshableVersion="3" recordCount="0" supportSubquery="1" supportAdvancedDrill="1" xr:uid="{4048263D-21A3-484A-A492-91853F2CCB31}">
  <cacheSource type="external" connectionId="6"/>
  <cacheFields count="3">
    <cacheField name="[Measures].[Total Anomalous Coverage (%)]" caption="Total Anomalous Coverage (%)" numFmtId="0" hierarchy="54"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oneField="1">
      <fieldsUsage count="1">
        <fieldUsage x="0"/>
      </fieldsUsage>
    </cacheHierarchy>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6018516" createdVersion="8" refreshedVersion="8" minRefreshableVersion="3" recordCount="0" supportSubquery="1" supportAdvancedDrill="1" xr:uid="{200A0E7C-4DDE-4C8E-834D-901203F1F18C}">
  <cacheSource type="external" connectionId="6"/>
  <cacheFields count="5">
    <cacheField name="[02_FACT_APPEARANCE].[Region].[Region]" caption="Region" numFmtId="0" hierarchy="17" level="1">
      <sharedItems count="16">
        <s v="Ajmer"/>
        <s v="Bengaluru"/>
        <s v="Bhopal"/>
        <s v="Bhubaneswar"/>
        <s v="Chandigarh"/>
        <s v="Chennai"/>
        <s v="Dehradun"/>
        <s v="Delhi East"/>
        <s v="Delhi West"/>
        <s v="Guwahati"/>
        <s v="Noida"/>
        <s v="Panchkula"/>
        <s v="Patna"/>
        <s v="Prayagraj"/>
        <s v="Pune"/>
        <s v="Trivandrum"/>
      </sharedItems>
      <extLst>
        <ext xmlns:x15="http://schemas.microsoft.com/office/spreadsheetml/2010/11/main" uri="{4F2E5C28-24EA-4eb8-9CBF-B6C8F9C3D259}">
          <x15:cachedUniqueNames>
            <x15:cachedUniqueName index="0" name="[02_FACT_APPEARANCE].[Region].&amp;[Ajmer]"/>
            <x15:cachedUniqueName index="1" name="[02_FACT_APPEARANCE].[Region].&amp;[Bengaluru]"/>
            <x15:cachedUniqueName index="2" name="[02_FACT_APPEARANCE].[Region].&amp;[Bhopal]"/>
            <x15:cachedUniqueName index="3" name="[02_FACT_APPEARANCE].[Region].&amp;[Bhubaneswar]"/>
            <x15:cachedUniqueName index="4" name="[02_FACT_APPEARANCE].[Region].&amp;[Chandigarh]"/>
            <x15:cachedUniqueName index="5" name="[02_FACT_APPEARANCE].[Region].&amp;[Chennai]"/>
            <x15:cachedUniqueName index="6" name="[02_FACT_APPEARANCE].[Region].&amp;[Dehradun]"/>
            <x15:cachedUniqueName index="7" name="[02_FACT_APPEARANCE].[Region].&amp;[Delhi East]"/>
            <x15:cachedUniqueName index="8" name="[02_FACT_APPEARANCE].[Region].&amp;[Delhi West]"/>
            <x15:cachedUniqueName index="9" name="[02_FACT_APPEARANCE].[Region].&amp;[Guwahati]"/>
            <x15:cachedUniqueName index="10" name="[02_FACT_APPEARANCE].[Region].&amp;[Noida]"/>
            <x15:cachedUniqueName index="11" name="[02_FACT_APPEARANCE].[Region].&amp;[Panchkula]"/>
            <x15:cachedUniqueName index="12" name="[02_FACT_APPEARANCE].[Region].&amp;[Patna]"/>
            <x15:cachedUniqueName index="13" name="[02_FACT_APPEARANCE].[Region].&amp;[Prayagraj]"/>
            <x15:cachedUniqueName index="14" name="[02_FACT_APPEARANCE].[Region].&amp;[Pune]"/>
            <x15:cachedUniqueName index="15" name="[02_FACT_APPEARANCE].[Region].&amp;[Trivandrum]"/>
          </x15:cachedUniqueNames>
        </ext>
      </extLst>
    </cacheField>
    <cacheField name="[02_FACT_APPEARANCE].[anomaly_flag].[anomaly_flag]" caption="anomaly_flag" numFmtId="0" hierarchy="26" level="1">
      <sharedItems count="4">
        <s v="ABSENT"/>
        <s v="LOW_RATE"/>
        <s v="NORMAL"/>
        <s v="SUSPICIOUS_PERFECTION"/>
      </sharedItems>
      <extLst>
        <ext xmlns:x15="http://schemas.microsoft.com/office/spreadsheetml/2010/11/main" uri="{4F2E5C28-24EA-4eb8-9CBF-B6C8F9C3D259}">
          <x15:cachedUniqueNames>
            <x15:cachedUniqueName index="0" name="[02_FACT_APPEARANCE].[anomaly_flag].&amp;[ABSENT]"/>
            <x15:cachedUniqueName index="1" name="[02_FACT_APPEARANCE].[anomaly_flag].&amp;[LOW_RATE]"/>
            <x15:cachedUniqueName index="2" name="[02_FACT_APPEARANCE].[anomaly_flag].&amp;[NORMAL]"/>
            <x15:cachedUniqueName index="3" name="[02_FACT_APPEARANCE].[anomaly_flag].&amp;[SUSPICIOUS_PERFECTION]"/>
          </x15:cachedUniqueNames>
        </ext>
      </extLst>
    </cacheField>
    <cacheField name="[02_FACT_APPEARANCE].[base_flag].[base_flag]" caption="base_flag" numFmtId="0" hierarchy="25" level="1">
      <sharedItems containsSemiMixedTypes="0" containsNonDate="0" containsString="0"/>
    </cacheField>
    <cacheField name="[Measures].[Coverage Share]" caption="Coverage Share" numFmtId="0" hierarchy="42" level="32767"/>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4"/>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fieldsUsage count="2">
        <fieldUsage x="-1"/>
        <fieldUsage x="0"/>
      </fieldsUsage>
    </cacheHierarchy>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2" memberValueDatatype="130" unbalanced="0">
      <fieldsUsage count="2">
        <fieldUsage x="-1"/>
        <fieldUsage x="1"/>
      </fieldsUsage>
    </cacheHierarchy>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3"/>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6365739" createdVersion="8" refreshedVersion="8" minRefreshableVersion="3" recordCount="0" supportSubquery="1" supportAdvancedDrill="1" xr:uid="{C4F20BFF-7DD8-4DBD-859D-A0A3999C9ABC}">
  <cacheSource type="external" connectionId="6"/>
  <cacheFields count="5">
    <cacheField name="[02_FACT_APPEARANCE].[School Type].[School Type]" caption="School Type" numFmtId="0" hierarchy="18" level="1">
      <sharedItems count="6">
        <s v="CTSA"/>
        <s v="GOVT"/>
        <s v="GOVT AIDED"/>
        <s v="INDEPENDENT"/>
        <s v="JNV"/>
        <s v="KV"/>
      </sharedItems>
      <extLst>
        <ext xmlns:x15="http://schemas.microsoft.com/office/spreadsheetml/2010/11/main" uri="{4F2E5C28-24EA-4eb8-9CBF-B6C8F9C3D259}">
          <x15:cachedUniqueNames>
            <x15:cachedUniqueName index="0" name="[02_FACT_APPEARANCE].[School Type].&amp;[CTSA]"/>
            <x15:cachedUniqueName index="1" name="[02_FACT_APPEARANCE].[School Type].&amp;[GOVT]"/>
            <x15:cachedUniqueName index="2" name="[02_FACT_APPEARANCE].[School Type].&amp;[GOVT AIDED]"/>
            <x15:cachedUniqueName index="3" name="[02_FACT_APPEARANCE].[School Type].&amp;[INDEPENDENT]"/>
            <x15:cachedUniqueName index="4" name="[02_FACT_APPEARANCE].[School Type].&amp;[JNV]"/>
            <x15:cachedUniqueName index="5" name="[02_FACT_APPEARANCE].[School Type].&amp;[KV]"/>
          </x15:cachedUniqueNames>
        </ext>
      </extLst>
    </cacheField>
    <cacheField name="[02_FACT_APPEARANCE].[anomaly_flag].[anomaly_flag]" caption="anomaly_flag" numFmtId="0" hierarchy="26" level="1">
      <sharedItems count="4">
        <s v="ABSENT"/>
        <s v="LOW_RATE"/>
        <s v="NORMAL"/>
        <s v="SUSPICIOUS_PERFECTION"/>
      </sharedItems>
      <extLst>
        <ext xmlns:x15="http://schemas.microsoft.com/office/spreadsheetml/2010/11/main" uri="{4F2E5C28-24EA-4eb8-9CBF-B6C8F9C3D259}">
          <x15:cachedUniqueNames>
            <x15:cachedUniqueName index="0" name="[02_FACT_APPEARANCE].[anomaly_flag].&amp;[ABSENT]"/>
            <x15:cachedUniqueName index="1" name="[02_FACT_APPEARANCE].[anomaly_flag].&amp;[LOW_RATE]"/>
            <x15:cachedUniqueName index="2" name="[02_FACT_APPEARANCE].[anomaly_flag].&amp;[NORMAL]"/>
            <x15:cachedUniqueName index="3" name="[02_FACT_APPEARANCE].[anomaly_flag].&amp;[SUSPICIOUS_PERFECTION]"/>
          </x15:cachedUniqueNames>
        </ext>
      </extLst>
    </cacheField>
    <cacheField name="[Measures].[Coverage Share]" caption="Coverage Share" numFmtId="0" hierarchy="42" level="32767"/>
    <cacheField name="[02_FACT_APPEARANCE].[base_flag].[base_flag]" caption="base_flag" numFmtId="0" hierarchy="25" level="1">
      <sharedItems containsSemiMixedTypes="0" containsNonDate="0" containsString="0"/>
    </cacheField>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4"/>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fieldsUsage count="2">
        <fieldUsage x="-1"/>
        <fieldUsage x="0"/>
      </fieldsUsage>
    </cacheHierarchy>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3"/>
      </fieldsUsage>
    </cacheHierarchy>
    <cacheHierarchy uniqueName="[02_FACT_APPEARANCE].[anomaly_flag]" caption="anomaly_flag" attribute="1" defaultMemberUniqueName="[02_FACT_APPEARANCE].[anomaly_flag].[All]" allUniqueName="[02_FACT_APPEARANCE].[anomaly_flag].[All]" dimensionUniqueName="[02_FACT_APPEARANCE]" displayFolder="" count="2" memberValueDatatype="130" unbalanced="0">
      <fieldsUsage count="2">
        <fieldUsage x="-1"/>
        <fieldUsage x="1"/>
      </fieldsUsage>
    </cacheHierarchy>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2"/>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6712963" createdVersion="8" refreshedVersion="8" minRefreshableVersion="3" recordCount="0" supportSubquery="1" supportAdvancedDrill="1" xr:uid="{80B8EA3D-3F71-425E-B3BC-6E9863D47721}">
  <cacheSource type="external" connectionId="6"/>
  <cacheFields count="4">
    <cacheField name="[02_FACT_APPEARANCE].[anomaly_flag].[anomaly_flag]" caption="anomaly_flag" numFmtId="0" hierarchy="26" level="1">
      <sharedItems count="4">
        <s v="ABSENT"/>
        <s v="LOW_RATE"/>
        <s v="NORMAL"/>
        <s v="SUSPICIOUS_PERFECTION"/>
      </sharedItems>
      <extLst>
        <ext xmlns:x15="http://schemas.microsoft.com/office/spreadsheetml/2010/11/main" uri="{4F2E5C28-24EA-4eb8-9CBF-B6C8F9C3D259}">
          <x15:cachedUniqueNames>
            <x15:cachedUniqueName index="0" name="[02_FACT_APPEARANCE].[anomaly_flag].&amp;[ABSENT]"/>
            <x15:cachedUniqueName index="1" name="[02_FACT_APPEARANCE].[anomaly_flag].&amp;[LOW_RATE]"/>
            <x15:cachedUniqueName index="2" name="[02_FACT_APPEARANCE].[anomaly_flag].&amp;[NORMAL]"/>
            <x15:cachedUniqueName index="3" name="[02_FACT_APPEARANCE].[anomaly_flag].&amp;[SUSPICIOUS_PERFECTION]"/>
          </x15:cachedUniqueNames>
        </ext>
      </extLst>
    </cacheField>
    <cacheField name="[Measures].[Coverage Share]" caption="Coverage Share" numFmtId="0" hierarchy="42"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2"/>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3"/>
      </fieldsUsage>
    </cacheHierarchy>
    <cacheHierarchy uniqueName="[02_FACT_APPEARANCE].[anomaly_flag]" caption="anomaly_flag" attribute="1" defaultMemberUniqueName="[02_FACT_APPEARANCE].[anomaly_flag].[All]" allUniqueName="[02_FACT_APPEARANCE].[anomaly_flag].[All]" dimensionUniqueName="[02_FACT_APPEARANCE]" displayFolder="" count="2" memberValueDatatype="130" unbalanced="0">
      <fieldsUsage count="2">
        <fieldUsage x="-1"/>
        <fieldUsage x="0"/>
      </fieldsUsage>
    </cacheHierarchy>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oneField="1">
      <fieldsUsage count="1">
        <fieldUsage x="1"/>
      </fieldsUsage>
    </cacheHierarchy>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7060186" createdVersion="8" refreshedVersion="8" minRefreshableVersion="3" recordCount="0" supportSubquery="1" supportAdvancedDrill="1" xr:uid="{9CEC4E15-A4CB-4551-BAB7-21C5BF4EA585}">
  <cacheSource type="external" connectionId="6"/>
  <cacheFields count="5">
    <cacheField name="[Measures].[Avg Appearance Rate]" caption="Avg Appearance Rate" numFmtId="0" hierarchy="50" level="32767"/>
    <cacheField name="[Measures].[Appearance Rate Std Dev]" caption="Appearance Rate Std Dev" numFmtId="0" hierarchy="51" level="32767"/>
    <cacheField name="[02_FACT_APPEARANCE].[School Type].[School Type]" caption="School Type" numFmtId="0" hierarchy="18" level="1">
      <sharedItems count="6">
        <s v="CTSA"/>
        <s v="GOVT"/>
        <s v="GOVT AIDED"/>
        <s v="INDEPENDENT"/>
        <s v="JNV"/>
        <s v="KV"/>
      </sharedItems>
      <extLst>
        <ext xmlns:x15="http://schemas.microsoft.com/office/spreadsheetml/2010/11/main" uri="{4F2E5C28-24EA-4eb8-9CBF-B6C8F9C3D259}">
          <x15:cachedUniqueNames>
            <x15:cachedUniqueName index="0" name="[02_FACT_APPEARANCE].[School Type].&amp;[CTSA]"/>
            <x15:cachedUniqueName index="1" name="[02_FACT_APPEARANCE].[School Type].&amp;[GOVT]"/>
            <x15:cachedUniqueName index="2" name="[02_FACT_APPEARANCE].[School Type].&amp;[GOVT AIDED]"/>
            <x15:cachedUniqueName index="3" name="[02_FACT_APPEARANCE].[School Type].&amp;[INDEPENDENT]"/>
            <x15:cachedUniqueName index="4" name="[02_FACT_APPEARANCE].[School Type].&amp;[JNV]"/>
            <x15:cachedUniqueName index="5" name="[02_FACT_APPEARANCE].[School Type].&amp;[KV]"/>
          </x15:cachedUniqueNames>
        </ext>
      </extLst>
    </cacheField>
    <cacheField name="[02_FACT_APPEARANCE].[base_flag].[base_flag]" caption="base_flag" numFmtId="0" hierarchy="25" level="1">
      <sharedItems containsSemiMixedTypes="0" containsNonDate="0" containsString="0"/>
    </cacheField>
    <cacheField name="[_02_FACT_APPEARANCE].[base_flag].[base_flag]" caption="base_flag" numFmtId="0" hierarchy="10"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4"/>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fieldsUsage count="2">
        <fieldUsage x="-1"/>
        <fieldUsage x="2"/>
      </fieldsUsage>
    </cacheHierarchy>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3"/>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oneField="1">
      <fieldsUsage count="1">
        <fieldUsage x="0"/>
      </fieldsUsage>
    </cacheHierarchy>
    <cacheHierarchy uniqueName="[Measures].[Appearance Rate Std Dev]" caption="Appearance Rate Std Dev" measure="1" displayFolder="" measureGroup="02_FACT_APPEARANCE" count="0" oneField="1">
      <fieldsUsage count="1">
        <fieldUsage x="1"/>
      </fieldsUsage>
    </cacheHierarchy>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7291663" createdVersion="8" refreshedVersion="8" minRefreshableVersion="3" recordCount="0" supportSubquery="1" supportAdvancedDrill="1" xr:uid="{83893B94-CC38-434C-8DCD-658BA1929168}">
  <cacheSource type="external" connectionId="6"/>
  <cacheFields count="3">
    <cacheField name="[Measures].[Usable Coverage Share]" caption="Usable Coverage Share" numFmtId="0" hierarchy="43"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oneField="1">
      <fieldsUsage count="1">
        <fieldUsage x="0"/>
      </fieldsUsage>
    </cacheHierarchy>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7523148" createdVersion="8" refreshedVersion="8" minRefreshableVersion="3" recordCount="0" supportSubquery="1" supportAdvancedDrill="1" xr:uid="{449D7F31-8823-4AEB-91D0-5E79497C0DBF}">
  <cacheSource type="external" connectionId="6"/>
  <cacheFields count="3">
    <cacheField name="[Measures].[Integrity Score]" caption="Integrity Score" numFmtId="0" hierarchy="48"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oneField="1">
      <fieldsUsage count="1">
        <fieldUsage x="0"/>
      </fieldsUsage>
    </cacheHierarchy>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7638886" createdVersion="8" refreshedVersion="8" minRefreshableVersion="3" recordCount="0" supportSubquery="1" supportAdvancedDrill="1" xr:uid="{D4912C4F-497A-4C6D-8499-9BAA83E263FE}">
  <cacheSource type="external" connectionId="6"/>
  <cacheFields count="3">
    <cacheField name="[Measures].[Total Anomalous Coverage (%)]" caption="Total Anomalous Coverage (%)" numFmtId="0" hierarchy="54"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oneField="1">
      <fieldsUsage count="1">
        <fieldUsage x="0"/>
      </fieldsUsage>
    </cacheHierarchy>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23957754632" createdVersion="8" refreshedVersion="8" minRefreshableVersion="3" recordCount="0" supportSubquery="1" supportAdvancedDrill="1" xr:uid="{75B1EA35-8255-43AA-897B-903C87B3078A}">
  <cacheSource type="external" connectionId="6"/>
  <cacheFields count="3">
    <cacheField name="[Measures].[Structural Zeros]" caption="Structural Zeros" numFmtId="0" hierarchy="47" level="32767"/>
    <cacheField name="[_02_FACT_APPEARANCE].[base_flag].[base_flag]" caption="base_flag" numFmtId="0" hierarchy="10" level="1">
      <sharedItems containsSemiMixedTypes="0" containsNonDate="0" containsString="0"/>
    </cacheField>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2" memberValueDatatype="130" unbalanced="0">
      <fieldsUsage count="2">
        <fieldUsage x="-1"/>
        <fieldUsage x="1"/>
      </fieldsUsage>
    </cacheHierarchy>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oneField="1">
      <fieldsUsage count="1">
        <fieldUsage x="0"/>
      </fieldsUsage>
    </cacheHierarchy>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443386574072" createdVersion="8" refreshedVersion="8" minRefreshableVersion="3" recordCount="0" supportSubquery="1" supportAdvancedDrill="1" xr:uid="{5F2CE602-FCF4-4D30-B401-2B95CE13B1A1}">
  <cacheSource type="external" connectionId="6"/>
  <cacheFields count="1">
    <cacheField name="[Measures].[Overall Appearance Rate]" caption="Overall Appearance Rate" numFmtId="0" hierarchy="41" level="32767"/>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0" memberValueDatatype="130" unbalanced="0"/>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0"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0"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0" memberValueDatatype="130" unbalanced="0"/>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oneField="1">
      <fieldsUsage count="1">
        <fieldUsage x="0"/>
      </fieldsUsage>
    </cacheHierarchy>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8.636110069441" createdVersion="8" refreshedVersion="8" minRefreshableVersion="3" recordCount="0" supportSubquery="1" supportAdvancedDrill="1" xr:uid="{A895E8F0-ABCA-4047-A4CF-9F7A73B8EEC7}">
  <cacheSource type="external" connectionId="6"/>
  <cacheFields count="3">
    <cacheField name="[02_FACT_APPEARANCE].[Region].[Region]" caption="Region" numFmtId="0" hierarchy="17" level="1">
      <sharedItems count="16">
        <s v="Ajmer"/>
        <s v="Bengaluru"/>
        <s v="Bhopal"/>
        <s v="Bhubaneswar"/>
        <s v="Chandigarh"/>
        <s v="Chennai"/>
        <s v="Dehradun"/>
        <s v="Delhi East"/>
        <s v="Delhi West"/>
        <s v="Guwahati"/>
        <s v="Noida"/>
        <s v="Panchkula"/>
        <s v="Patna"/>
        <s v="Prayagraj"/>
        <s v="Pune"/>
        <s v="Trivandrum"/>
      </sharedItems>
      <extLst>
        <ext xmlns:x15="http://schemas.microsoft.com/office/spreadsheetml/2010/11/main" uri="{4F2E5C28-24EA-4eb8-9CBF-B6C8F9C3D259}">
          <x15:cachedUniqueNames>
            <x15:cachedUniqueName index="0" name="[02_FACT_APPEARANCE].[Region].&amp;[Ajmer]"/>
            <x15:cachedUniqueName index="1" name="[02_FACT_APPEARANCE].[Region].&amp;[Bengaluru]"/>
            <x15:cachedUniqueName index="2" name="[02_FACT_APPEARANCE].[Region].&amp;[Bhopal]"/>
            <x15:cachedUniqueName index="3" name="[02_FACT_APPEARANCE].[Region].&amp;[Bhubaneswar]"/>
            <x15:cachedUniqueName index="4" name="[02_FACT_APPEARANCE].[Region].&amp;[Chandigarh]"/>
            <x15:cachedUniqueName index="5" name="[02_FACT_APPEARANCE].[Region].&amp;[Chennai]"/>
            <x15:cachedUniqueName index="6" name="[02_FACT_APPEARANCE].[Region].&amp;[Dehradun]"/>
            <x15:cachedUniqueName index="7" name="[02_FACT_APPEARANCE].[Region].&amp;[Delhi East]"/>
            <x15:cachedUniqueName index="8" name="[02_FACT_APPEARANCE].[Region].&amp;[Delhi West]"/>
            <x15:cachedUniqueName index="9" name="[02_FACT_APPEARANCE].[Region].&amp;[Guwahati]"/>
            <x15:cachedUniqueName index="10" name="[02_FACT_APPEARANCE].[Region].&amp;[Noida]"/>
            <x15:cachedUniqueName index="11" name="[02_FACT_APPEARANCE].[Region].&amp;[Panchkula]"/>
            <x15:cachedUniqueName index="12" name="[02_FACT_APPEARANCE].[Region].&amp;[Patna]"/>
            <x15:cachedUniqueName index="13" name="[02_FACT_APPEARANCE].[Region].&amp;[Prayagraj]"/>
            <x15:cachedUniqueName index="14" name="[02_FACT_APPEARANCE].[Region].&amp;[Pune]"/>
            <x15:cachedUniqueName index="15" name="[02_FACT_APPEARANCE].[Region].&amp;[Trivandrum]"/>
          </x15:cachedUniqueNames>
        </ext>
      </extLst>
    </cacheField>
    <cacheField name="[Measures].[Total Registered]" caption="Total Registered" numFmtId="0" hierarchy="55" level="32767"/>
    <cacheField name="[02_FACT_APPEARANCE].[base_flag].[base_flag]" caption="base_flag" numFmtId="0" hierarchy="25" level="1">
      <sharedItems containsSemiMixedTypes="0" containsNonDate="0" containsString="0"/>
    </cacheField>
  </cacheFields>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0" memberValueDatatype="130" unbalanced="0"/>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fieldsUsage count="2">
        <fieldUsage x="-1"/>
        <fieldUsage x="0"/>
      </fieldsUsage>
    </cacheHierarchy>
    <cacheHierarchy uniqueName="[02_FACT_APPEARANCE].[School Type]" caption="School Type" attribute="1" defaultMemberUniqueName="[02_FACT_APPEARANCE].[School Type].[All]" allUniqueName="[02_FACT_APPEARANCE].[School Type].[All]" dimensionUniqueName="[02_FACT_APPEARANCE]" displayFolder="" count="0"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fieldsUsage count="2">
        <fieldUsage x="-1"/>
        <fieldUsage x="2"/>
      </fieldsUsage>
    </cacheHierarchy>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oneField="1">
      <fieldsUsage count="1">
        <fieldUsage x="1"/>
      </fieldsUsage>
    </cacheHierarchy>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dimensions count="4">
    <dimension name="_02_FACT_APPEARANCE" uniqueName="[_02_FACT_APPEARANCE]" caption="_02_FACT_APPEARANCE"/>
    <dimension name="02_FACT_APPEARANCE" uniqueName="[02_FACT_APPEARANCE]" caption="02_FACT_APPEARANCE"/>
    <dimension name="03_DATA_QUALITY_LOG" uniqueName="[03_DATA_QUALITY_LOG]" caption="03_DATA_QUALITY_LOG"/>
    <dimension measure="1" name="Measures" uniqueName="[Measures]" caption="Measures"/>
  </dimensions>
  <measureGroups count="3">
    <measureGroup name="_02_FACT_APPEARANCE" caption="_02_FACT_APPEARANCE"/>
    <measureGroup name="02_FACT_APPEARANCE" caption="02_FACT_APPEARANCE"/>
    <measureGroup name="03_DATA_QUALITY_LOG" caption="03_DATA_QUALITY_LOG"/>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17.749113425925" createdVersion="3" refreshedVersion="8" minRefreshableVersion="3" recordCount="0" supportSubquery="1" supportAdvancedDrill="1" xr:uid="{861716D4-985B-45F9-9768-F99DDD638799}">
  <cacheSource type="external" connectionId="6">
    <extLst>
      <ext xmlns:x14="http://schemas.microsoft.com/office/spreadsheetml/2009/9/main" uri="{F057638F-6D5F-4e77-A914-E7F072B9BCA8}">
        <x14:sourceConnection name="ThisWorkbookDataModel"/>
      </ext>
    </extLst>
  </cacheSource>
  <cacheFields count="0"/>
  <cacheHierarchies count="64">
    <cacheHierarchy uniqueName="[_02_FACT_APPEARANCE].[Class]" caption="Class" attribute="1" defaultMemberUniqueName="[_02_FACT_APPEARANCE].[Class].[All]" allUniqueName="[_02_FACT_APPEARANCE].[Class].[All]" dimensionUniqueName="[_02_FACT_APPEARANCE]" displayFolder="" count="0" memberValueDatatype="20" unbalanced="0"/>
    <cacheHierarchy uniqueName="[_02_FACT_APPEARANCE].[Year]" caption="Year" attribute="1" defaultMemberUniqueName="[_02_FACT_APPEARANCE].[Year].[All]" allUniqueName="[_02_FACT_APPEARANCE].[Year].[All]" dimensionUniqueName="[_02_FACT_APPEARANCE]" displayFolder="" count="0" memberValueDatatype="20" unbalanced="0"/>
    <cacheHierarchy uniqueName="[_02_FACT_APPEARANCE].[Region]" caption="Region" attribute="1" defaultMemberUniqueName="[_02_FACT_APPEARANCE].[Region].[All]" allUniqueName="[_02_FACT_APPEARANCE].[Region].[All]" dimensionUniqueName="[_02_FACT_APPEARANCE]" displayFolder="" count="0" memberValueDatatype="130" unbalanced="0"/>
    <cacheHierarchy uniqueName="[_02_FACT_APPEARANCE].[School Type]" caption="School Type" attribute="1" defaultMemberUniqueName="[_02_FACT_APPEARANCE].[School Type].[All]" allUniqueName="[_02_FACT_APPEARANCE].[School Type].[All]" dimensionUniqueName="[_02_FACT_APPEARANCE]" displayFolder="" count="0" memberValueDatatype="130" unbalanced="0"/>
    <cacheHierarchy uniqueName="[_02_FACT_APPEARANCE].[Registered]" caption="Registered" attribute="1" defaultMemberUniqueName="[_02_FACT_APPEARANCE].[Registered].[All]" allUniqueName="[_02_FACT_APPEARANCE].[Registered].[All]" dimensionUniqueName="[_02_FACT_APPEARANCE]" displayFolder="" count="0" memberValueDatatype="20" unbalanced="0"/>
    <cacheHierarchy uniqueName="[_02_FACT_APPEARANCE].[Appeared]" caption="Appeared" attribute="1" defaultMemberUniqueName="[_02_FACT_APPEARANCE].[Appeared].[All]" allUniqueName="[_02_FACT_APPEARANCE].[Appeared].[All]" dimensionUniqueName="[_02_FACT_APPEARANCE]" displayFolder="" count="0" memberValueDatatype="20" unbalanced="0"/>
    <cacheHierarchy uniqueName="[_02_FACT_APPEARANCE].[appearance_rate]" caption="appearance_rate" attribute="1" defaultMemberUniqueName="[_02_FACT_APPEARANCE].[appearance_rate].[All]" allUniqueName="[_02_FACT_APPEARANCE].[appearance_rate].[All]" dimensionUniqueName="[_02_FACT_APPEARANCE]" displayFolder="" count="0" memberValueDatatype="5" unbalanced="0"/>
    <cacheHierarchy uniqueName="[_02_FACT_APPEARANCE].[no_show_rate]" caption="no_show_rate" attribute="1" defaultMemberUniqueName="[_02_FACT_APPEARANCE].[no_show_rate].[All]" allUniqueName="[_02_FACT_APPEARANCE].[no_show_rate].[All]" dimensionUniqueName="[_02_FACT_APPEARANCE]" displayFolder="" count="0" memberValueDatatype="5" unbalanced="0"/>
    <cacheHierarchy uniqueName="[_02_FACT_APPEARANCE].[absence_flag]" caption="absence_flag" attribute="1" defaultMemberUniqueName="[_02_FACT_APPEARANCE].[absence_flag].[All]" allUniqueName="[_02_FACT_APPEARANCE].[absence_flag].[All]" dimensionUniqueName="[_02_FACT_APPEARANCE]" displayFolder="" count="0" memberValueDatatype="130" unbalanced="0"/>
    <cacheHierarchy uniqueName="[_02_FACT_APPEARANCE].[base_status]" caption="base_status" attribute="1" defaultMemberUniqueName="[_02_FACT_APPEARANCE].[base_status].[All]" allUniqueName="[_02_FACT_APPEARANCE].[base_status].[All]" dimensionUniqueName="[_02_FACT_APPEARANCE]" displayFolder="" count="0" memberValueDatatype="130" unbalanced="0"/>
    <cacheHierarchy uniqueName="[_02_FACT_APPEARANCE].[base_flag]" caption="base_flag" attribute="1" defaultMemberUniqueName="[_02_FACT_APPEARANCE].[base_flag].[All]" allUniqueName="[_02_FACT_APPEARANCE].[base_flag].[All]" dimensionUniqueName="[_02_FACT_APPEARANCE]" displayFolder="" count="0" memberValueDatatype="130" unbalanced="0"/>
    <cacheHierarchy uniqueName="[_02_FACT_APPEARANCE].[anomaly_flag]" caption="anomaly_flag" attribute="1" defaultMemberUniqueName="[_02_FACT_APPEARANCE].[anomaly_flag].[All]" allUniqueName="[_02_FACT_APPEARANCE].[anomaly_flag].[All]" dimensionUniqueName="[_02_FACT_APPEARANCE]" displayFolder="" count="0" memberValueDatatype="130" unbalanced="0"/>
    <cacheHierarchy uniqueName="[_02_FACT_APPEARANCE].[is_usable_for_analysis]" caption="is_usable_for_analysis" attribute="1" defaultMemberUniqueName="[_02_FACT_APPEARANCE].[is_usable_for_analysis].[All]" allUniqueName="[_02_FACT_APPEARANCE].[is_usable_for_analysis].[All]" dimensionUniqueName="[_02_FACT_APPEARANCE]" displayFolder="" count="0" memberValueDatatype="130" unbalanced="0"/>
    <cacheHierarchy uniqueName="[_02_FACT_APPEARANCE].[risk_bucket]" caption="risk_bucket" attribute="1" defaultMemberUniqueName="[_02_FACT_APPEARANCE].[risk_bucket].[All]" allUniqueName="[_02_FACT_APPEARANCE].[risk_bucket].[All]" dimensionUniqueName="[_02_FACT_APPEARANCE]" displayFolder="" count="0" memberValueDatatype="130" unbalanced="0"/>
    <cacheHierarchy uniqueName="[_02_FACT_APPEARANCE].[fact_id]" caption="fact_id" attribute="1" defaultMemberUniqueName="[_02_FACT_APPEARANCE].[fact_id].[All]" allUniqueName="[_02_FACT_APPEARANCE].[fact_id].[All]" dimensionUniqueName="[_02_FACT_APPEARANCE]" displayFolder="" count="0" memberValueDatatype="130" unbalanced="0"/>
    <cacheHierarchy uniqueName="[02_FACT_APPEARANCE].[Class]" caption="Class" attribute="1" defaultMemberUniqueName="[02_FACT_APPEARANCE].[Class].[All]" allUniqueName="[02_FACT_APPEARANCE].[Class].[All]" dimensionUniqueName="[02_FACT_APPEARANCE]" displayFolder="" count="0" memberValueDatatype="20" unbalanced="0"/>
    <cacheHierarchy uniqueName="[02_FACT_APPEARANCE].[Year]" caption="Year" attribute="1" defaultMemberUniqueName="[02_FACT_APPEARANCE].[Year].[All]" allUniqueName="[02_FACT_APPEARANCE].[Year].[All]" dimensionUniqueName="[02_FACT_APPEARANCE]" displayFolder="" count="0" memberValueDatatype="20" unbalanced="0"/>
    <cacheHierarchy uniqueName="[02_FACT_APPEARANCE].[Region]" caption="Region" attribute="1" defaultMemberUniqueName="[02_FACT_APPEARANCE].[Region].[All]" allUniqueName="[02_FACT_APPEARANCE].[Region].[All]" dimensionUniqueName="[02_FACT_APPEARANCE]" displayFolder="" count="2" memberValueDatatype="130" unbalanced="0"/>
    <cacheHierarchy uniqueName="[02_FACT_APPEARANCE].[School Type]" caption="School Type" attribute="1" defaultMemberUniqueName="[02_FACT_APPEARANCE].[School Type].[All]" allUniqueName="[02_FACT_APPEARANCE].[School Type].[All]" dimensionUniqueName="[02_FACT_APPEARANCE]" displayFolder="" count="2" memberValueDatatype="130" unbalanced="0"/>
    <cacheHierarchy uniqueName="[02_FACT_APPEARANCE].[Registered]" caption="Registered" attribute="1" defaultMemberUniqueName="[02_FACT_APPEARANCE].[Registered].[All]" allUniqueName="[02_FACT_APPEARANCE].[Registered].[All]" dimensionUniqueName="[02_FACT_APPEARANCE]" displayFolder="" count="0" memberValueDatatype="20" unbalanced="0"/>
    <cacheHierarchy uniqueName="[02_FACT_APPEARANCE].[Appeared]" caption="Appeared" attribute="1" defaultMemberUniqueName="[02_FACT_APPEARANCE].[Appeared].[All]" allUniqueName="[02_FACT_APPEARANCE].[Appeared].[All]" dimensionUniqueName="[02_FACT_APPEARANCE]" displayFolder="" count="0" memberValueDatatype="20" unbalanced="0"/>
    <cacheHierarchy uniqueName="[02_FACT_APPEARANCE].[appearance_rate]" caption="appearance_rate" attribute="1" defaultMemberUniqueName="[02_FACT_APPEARANCE].[appearance_rate].[All]" allUniqueName="[02_FACT_APPEARANCE].[appearance_rate].[All]" dimensionUniqueName="[02_FACT_APPEARANCE]" displayFolder="" count="0" memberValueDatatype="5" unbalanced="0"/>
    <cacheHierarchy uniqueName="[02_FACT_APPEARANCE].[no_show_rate]" caption="no_show_rate" attribute="1" defaultMemberUniqueName="[02_FACT_APPEARANCE].[no_show_rate].[All]" allUniqueName="[02_FACT_APPEARANCE].[no_show_rate].[All]" dimensionUniqueName="[02_FACT_APPEARANCE]" displayFolder="" count="0" memberValueDatatype="5" unbalanced="0"/>
    <cacheHierarchy uniqueName="[02_FACT_APPEARANCE].[absence_flag]" caption="absence_flag" attribute="1" defaultMemberUniqueName="[02_FACT_APPEARANCE].[absence_flag].[All]" allUniqueName="[02_FACT_APPEARANCE].[absence_flag].[All]" dimensionUniqueName="[02_FACT_APPEARANCE]" displayFolder="" count="0" memberValueDatatype="130" unbalanced="0"/>
    <cacheHierarchy uniqueName="[02_FACT_APPEARANCE].[base_status]" caption="base_status" attribute="1" defaultMemberUniqueName="[02_FACT_APPEARANCE].[base_status].[All]" allUniqueName="[02_FACT_APPEARANCE].[base_status].[All]" dimensionUniqueName="[02_FACT_APPEARANCE]" displayFolder="" count="0" memberValueDatatype="130" unbalanced="0"/>
    <cacheHierarchy uniqueName="[02_FACT_APPEARANCE].[base_flag]" caption="base_flag" attribute="1" defaultMemberUniqueName="[02_FACT_APPEARANCE].[base_flag].[All]" allUniqueName="[02_FACT_APPEARANCE].[base_flag].[All]" dimensionUniqueName="[02_FACT_APPEARANCE]" displayFolder="" count="2" memberValueDatatype="130" unbalanced="0"/>
    <cacheHierarchy uniqueName="[02_FACT_APPEARANCE].[anomaly_flag]" caption="anomaly_flag" attribute="1" defaultMemberUniqueName="[02_FACT_APPEARANCE].[anomaly_flag].[All]" allUniqueName="[02_FACT_APPEARANCE].[anomaly_flag].[All]" dimensionUniqueName="[02_FACT_APPEARANCE]" displayFolder="" count="0" memberValueDatatype="130" unbalanced="0"/>
    <cacheHierarchy uniqueName="[02_FACT_APPEARANCE].[is_usable_for_analysis]" caption="is_usable_for_analysis" attribute="1" defaultMemberUniqueName="[02_FACT_APPEARANCE].[is_usable_for_analysis].[All]" allUniqueName="[02_FACT_APPEARANCE].[is_usable_for_analysis].[All]" dimensionUniqueName="[02_FACT_APPEARANCE]" displayFolder="" count="0" memberValueDatatype="130" unbalanced="0"/>
    <cacheHierarchy uniqueName="[02_FACT_APPEARANCE].[risk_bucket]" caption="risk_bucket" attribute="1" defaultMemberUniqueName="[02_FACT_APPEARANCE].[risk_bucket].[All]" allUniqueName="[02_FACT_APPEARANCE].[risk_bucket].[All]" dimensionUniqueName="[02_FACT_APPEARANCE]" displayFolder="" count="0" memberValueDatatype="130" unbalanced="0"/>
    <cacheHierarchy uniqueName="[02_FACT_APPEARANCE].[fact_id]" caption="fact_id" attribute="1" defaultMemberUniqueName="[02_FACT_APPEARANCE].[fact_id].[All]" allUniqueName="[02_FACT_APPEARANCE].[fact_id].[All]" dimensionUniqueName="[02_FACT_APPEARANCE]" displayFolder="" count="0" memberValueDatatype="130" unbalanced="0"/>
    <cacheHierarchy uniqueName="[03_DATA_QUALITY_LOG].[Class]" caption="Class" attribute="1" defaultMemberUniqueName="[03_DATA_QUALITY_LOG].[Class].[All]" allUniqueName="[03_DATA_QUALITY_LOG].[Class].[All]" dimensionUniqueName="[03_DATA_QUALITY_LOG]" displayFolder="" count="0" memberValueDatatype="20" unbalanced="0"/>
    <cacheHierarchy uniqueName="[03_DATA_QUALITY_LOG].[Year]" caption="Year" attribute="1" defaultMemberUniqueName="[03_DATA_QUALITY_LOG].[Year].[All]" allUniqueName="[03_DATA_QUALITY_LOG].[Year].[All]" dimensionUniqueName="[03_DATA_QUALITY_LOG]" displayFolder="" count="0" memberValueDatatype="20" unbalanced="0"/>
    <cacheHierarchy uniqueName="[03_DATA_QUALITY_LOG].[Region]" caption="Region" attribute="1" defaultMemberUniqueName="[03_DATA_QUALITY_LOG].[Region].[All]" allUniqueName="[03_DATA_QUALITY_LOG].[Region].[All]" dimensionUniqueName="[03_DATA_QUALITY_LOG]" displayFolder="" count="0" memberValueDatatype="130" unbalanced="0"/>
    <cacheHierarchy uniqueName="[03_DATA_QUALITY_LOG].[School Type]" caption="School Type" attribute="1" defaultMemberUniqueName="[03_DATA_QUALITY_LOG].[School Type].[All]" allUniqueName="[03_DATA_QUALITY_LOG].[School Type].[All]" dimensionUniqueName="[03_DATA_QUALITY_LOG]" displayFolder="" count="0" memberValueDatatype="130" unbalanced="0"/>
    <cacheHierarchy uniqueName="[03_DATA_QUALITY_LOG].[fact_id]" caption="fact_id" attribute="1" defaultMemberUniqueName="[03_DATA_QUALITY_LOG].[fact_id].[All]" allUniqueName="[03_DATA_QUALITY_LOG].[fact_id].[All]" dimensionUniqueName="[03_DATA_QUALITY_LOG]" displayFolder="" count="0" memberValueDatatype="130" unbalanced="0"/>
    <cacheHierarchy uniqueName="[03_DATA_QUALITY_LOG].[Integrity_Check]" caption="Integrity_Check" attribute="1" defaultMemberUniqueName="[03_DATA_QUALITY_LOG].[Integrity_Check].[All]" allUniqueName="[03_DATA_QUALITY_LOG].[Integrity_Check].[All]" dimensionUniqueName="[03_DATA_QUALITY_LOG]" displayFolder="" count="0" memberValueDatatype="130" unbalanced="0"/>
    <cacheHierarchy uniqueName="[03_DATA_QUALITY_LOG].[Integrity_Result]" caption="Integrity_Result" attribute="1" defaultMemberUniqueName="[03_DATA_QUALITY_LOG].[Integrity_Result].[All]" allUniqueName="[03_DATA_QUALITY_LOG].[Integrity_Result].[All]" dimensionUniqueName="[03_DATA_QUALITY_LOG]" displayFolder="" count="0" memberValueDatatype="130" unbalanced="0"/>
    <cacheHierarchy uniqueName="[Measures].[Count of Integrity_Check]" caption="Count of Integrity_Check" measure="1" displayFolder="" measureGroup="03_DATA_QUALITY_LOG" count="0">
      <extLst>
        <ext xmlns:x15="http://schemas.microsoft.com/office/spreadsheetml/2010/11/main" uri="{B97F6D7D-B522-45F9-BDA1-12C45D357490}">
          <x15:cacheHierarchy aggregatedColumn="35"/>
        </ext>
      </extLst>
    </cacheHierarchy>
    <cacheHierarchy uniqueName="[Measures].[Count of base_flag]" caption="Count of base_flag" measure="1" displayFolder="" measureGroup="02_FACT_APPEARANCE" count="0">
      <extLst>
        <ext xmlns:x15="http://schemas.microsoft.com/office/spreadsheetml/2010/11/main" uri="{B97F6D7D-B522-45F9-BDA1-12C45D357490}">
          <x15:cacheHierarchy aggregatedColumn="25"/>
        </ext>
      </extLst>
    </cacheHierarchy>
    <cacheHierarchy uniqueName="[Measures].[Count of anomaly_flag]" caption="Count of anomaly_flag" measure="1" displayFolder="" measureGroup="02_FACT_APPEARANCE" count="0">
      <extLst>
        <ext xmlns:x15="http://schemas.microsoft.com/office/spreadsheetml/2010/11/main" uri="{B97F6D7D-B522-45F9-BDA1-12C45D357490}">
          <x15:cacheHierarchy aggregatedColumn="26"/>
        </ext>
      </extLst>
    </cacheHierarchy>
    <cacheHierarchy uniqueName="[Measures].[Total Appeared]" caption="Total Appeared" measure="1" displayFolder="" measureGroup="02_FACT_APPEARANCE" count="0"/>
    <cacheHierarchy uniqueName="[Measures].[Overall Appearance Rate]" caption="Overall Appearance Rate" measure="1" displayFolder="" measureGroup="02_FACT_APPEARANCE" count="0"/>
    <cacheHierarchy uniqueName="[Measures].[Coverage Share]" caption="Coverage Share" measure="1" displayFolder="" measureGroup="02_FACT_APPEARANCE" count="0"/>
    <cacheHierarchy uniqueName="[Measures].[Usable Coverage Share]" caption="Usable Coverage Share" measure="1" displayFolder="" measureGroup="02_FACT_APPEARANCE" count="0"/>
    <cacheHierarchy uniqueName="[Measures].[Total Checks]" caption="Total Checks" measure="1" displayFolder="" measureGroup="03_DATA_QUALITY_LOG" count="0"/>
    <cacheHierarchy uniqueName="[Measures].[Flagged Checks]" caption="Flagged Checks" measure="1" displayFolder="" measureGroup="03_DATA_QUALITY_LOG" count="0"/>
    <cacheHierarchy uniqueName="[Measures].[Percent Flagged]" caption="Percent Flagged" measure="1" displayFolder="" measureGroup="03_DATA_QUALITY_LOG" count="0"/>
    <cacheHierarchy uniqueName="[Measures].[Structural Zeros]" caption="Structural Zeros" measure="1" displayFolder="" measureGroup="03_DATA_QUALITY_LOG" count="0"/>
    <cacheHierarchy uniqueName="[Measures].[Integrity Score]" caption="Integrity Score" measure="1" displayFolder="" measureGroup="03_DATA_QUALITY_LOG" count="0"/>
    <cacheHierarchy uniqueName="[Measures].[Integrity Overall Status]" caption="Integrity Overall Status" measure="1" displayFolder="" measureGroup="03_DATA_QUALITY_LOG" count="0"/>
    <cacheHierarchy uniqueName="[Measures].[Avg Appearance Rate]" caption="Avg Appearance Rate" measure="1" displayFolder="" measureGroup="02_FACT_APPEARANCE" count="0"/>
    <cacheHierarchy uniqueName="[Measures].[Appearance Rate Std Dev]" caption="Appearance Rate Std Dev" measure="1" displayFolder="" measureGroup="02_FACT_APPEARANCE" count="0"/>
    <cacheHierarchy uniqueName="[Measures].[Low Rate Coverage (%)]" caption="Low Rate Coverage (%)" measure="1" displayFolder="" measureGroup="02_FACT_APPEARANCE" count="0"/>
    <cacheHierarchy uniqueName="[Measures].[Suspicious Perfection Coverage (%)]" caption="Suspicious Perfection Coverage (%)" measure="1" displayFolder="" measureGroup="02_FACT_APPEARANCE" count="0"/>
    <cacheHierarchy uniqueName="[Measures].[Total Anomalous Coverage (%)]" caption="Total Anomalous Coverage (%)" measure="1" displayFolder="" measureGroup="02_FACT_APPEARANCE" count="0"/>
    <cacheHierarchy uniqueName="[Measures].[Total Registered]" caption="Total Registered" measure="1" displayFolder="" measureGroup="02_FACT_APPEARANCE" count="0"/>
    <cacheHierarchy uniqueName="[Measures].[Total Rows]" caption="Total Rows" measure="1" displayFolder="" measureGroup="02_FACT_APPEARANCE" count="0"/>
    <cacheHierarchy uniqueName="[Measures].[Valid Base Rows]" caption="Valid Base Rows" measure="1" displayFolder="" measureGroup="02_FACT_APPEARANCE" count="0"/>
    <cacheHierarchy uniqueName="[Measures].[Count Below 100]" caption="Count Below 100" measure="1" displayFolder="" measureGroup="02_FACT_APPEARANCE" count="0"/>
    <cacheHierarchy uniqueName="[Measures].[Count Below 1000]" caption="Count Below 1000" measure="1" displayFolder="" measureGroup="02_FACT_APPEARANCE" count="0"/>
    <cacheHierarchy uniqueName="[Measures].[__XL_Count 02_FACT_APPEARANCE]" caption="__XL_Count 02_FACT_APPEARANCE" measure="1" displayFolder="" measureGroup="02_FACT_APPEARANCE" count="0" hidden="1"/>
    <cacheHierarchy uniqueName="[Measures].[__XL_Count 03_DATA_QUALITY_LOG]" caption="__XL_Count 03_DATA_QUALITY_LOG" measure="1" displayFolder="" measureGroup="03_DATA_QUALITY_LOG" count="0" hidden="1"/>
    <cacheHierarchy uniqueName="[Measures].[__XL_Count _02_FACT_APPEARANCE]" caption="__XL_Count _02_FACT_APPEARANCE" measure="1" displayFolder="" measureGroup="_02_FACT_APPEAR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72978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746AA-5E0E-41D8-B41A-EF5C4A0B65D6}" name="PivotTable5" cacheId="3"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32">
    <format dxfId="349">
      <pivotArea outline="0" collapsedLevelsAreSubtotals="1" fieldPosition="0"/>
    </format>
    <format dxfId="348">
      <pivotArea type="all" dataOnly="0" outline="0" fieldPosition="0"/>
    </format>
    <format dxfId="347">
      <pivotArea outline="0" collapsedLevelsAreSubtotals="1"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dataOnly="0" labelOnly="1" outline="0" axis="axisValues" fieldPosition="0"/>
    </format>
    <format dxfId="342">
      <pivotArea type="all" dataOnly="0" outline="0" fieldPosition="0"/>
    </format>
    <format dxfId="341">
      <pivotArea outline="0" collapsedLevelsAreSubtotals="1"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dataOnly="0" labelOnly="1" outline="0" axis="axisValues" fieldPosition="0"/>
    </format>
    <format dxfId="336">
      <pivotArea type="all" dataOnly="0" outline="0" fieldPosition="0"/>
    </format>
    <format dxfId="335">
      <pivotArea outline="0" collapsedLevelsAreSubtotals="1" fieldPosition="0"/>
    </format>
    <format dxfId="334">
      <pivotArea dataOnly="0" labelOnly="1" outline="0" axis="axisValues" fieldPosition="0"/>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dataOnly="0" labelOnly="1" outline="0" axis="axisValues" fieldPosition="0"/>
    </format>
    <format dxfId="329">
      <pivotArea type="all" dataOnly="0" outline="0" fieldPosition="0"/>
    </format>
    <format dxfId="328">
      <pivotArea outline="0" collapsedLevelsAreSubtotals="1" fieldPosition="0"/>
    </format>
    <format dxfId="327">
      <pivotArea dataOnly="0" labelOnly="1" outline="0" axis="axisValues" fieldPosition="0"/>
    </format>
    <format dxfId="326">
      <pivotArea type="all" dataOnly="0" outline="0" fieldPosition="0"/>
    </format>
    <format dxfId="325">
      <pivotArea outline="0" collapsedLevelsAreSubtotals="1" fieldPosition="0"/>
    </format>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93E493-56CC-41C2-92BF-570193F25B43}" name="PivotTable2" cacheId="2" applyNumberFormats="0" applyBorderFormats="0" applyFontFormats="0" applyPatternFormats="0" applyAlignmentFormats="0" applyWidthHeightFormats="1" dataCaption="Values" tag="f754d05f-6adf-4703-ac9b-1c3122897f07" updatedVersion="8" minRefreshableVersion="3" subtotalHiddenItems="1" colGrandTotals="0" itemPrintTitles="1" createdVersion="8" indent="0" showEmptyRow="1" showEmptyCol="1" outline="1" outlineData="1" multipleFieldFilters="0">
  <location ref="A17:B35" firstHeaderRow="1" firstDataRow="2"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1">
    <i>
      <x/>
    </i>
  </colItems>
  <dataFields count="1">
    <dataField fld="2" subtotal="count" baseField="0" baseItem="0"/>
  </dataField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valueGreaterThan" id="1" iMeasureHier="47">
      <autoFilter ref="A1">
        <filterColumn colId="0">
          <customFilters>
            <customFilter operator="greaterThan" val="0"/>
          </customFilters>
        </filterColumn>
      </autoFilter>
    </filter>
  </filters>
  <rowHierarchiesUsage count="1">
    <rowHierarchyUsage hierarchyUsage="32"/>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03CF5-F9D8-4975-8FB5-54BC8FBA3535}" name="PivotTable1" cacheId="0" applyNumberFormats="0" applyBorderFormats="0" applyFontFormats="0" applyPatternFormats="0" applyAlignmentFormats="0" applyWidthHeightFormats="1" dataCaption="Values" tag="8f67c99f-52ab-42f1-ab76-d9efbf63dcc8" updatedVersion="8" minRefreshableVersion="3" subtotalHiddenItems="1" itemPrintTitles="1" createdVersion="8" indent="0" showEmptyRow="1" showEmptyCol="1" outline="1" outlineData="1" multipleFieldFilters="0" chartFormat="10">
  <location ref="A8:E13"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6C639-F72B-43EC-81E2-26D142DD53AC}" name="PivotTable10" cacheId="1"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H3:H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1">
    <format dxfId="380">
      <pivotArea type="all" dataOnly="0" outline="0" fieldPosition="0"/>
    </format>
    <format dxfId="379">
      <pivotArea outline="0" collapsedLevelsAreSubtotals="1" fieldPosition="0"/>
    </format>
    <format dxfId="378">
      <pivotArea dataOnly="0" labelOnly="1" outline="0" axis="axisValues" fieldPosition="0"/>
    </format>
    <format dxfId="377">
      <pivotArea type="all" dataOnly="0" outline="0" fieldPosition="0"/>
    </format>
    <format dxfId="376">
      <pivotArea outline="0" collapsedLevelsAreSubtotals="1" fieldPosition="0"/>
    </format>
    <format dxfId="375">
      <pivotArea dataOnly="0" labelOnly="1" outline="0" axis="axisValues" fieldPosition="0"/>
    </format>
    <format dxfId="374">
      <pivotArea type="all" dataOnly="0" outline="0" fieldPosition="0"/>
    </format>
    <format dxfId="373">
      <pivotArea outline="0" collapsedLevelsAreSubtotals="1"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dataOnly="0" labelOnly="1" outline="0" axis="axisValues"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dataOnly="0" labelOnly="1" outline="0" axis="axisValues" fieldPosition="0"/>
    </format>
    <format dxfId="364">
      <pivotArea type="all" dataOnly="0" outline="0" fieldPosition="0"/>
    </format>
    <format dxfId="363">
      <pivotArea outline="0" collapsedLevelsAreSubtotals="1" fieldPosition="0"/>
    </format>
    <format dxfId="362">
      <pivotArea dataOnly="0" labelOnly="1" outline="0" axis="axisValues" fieldPosition="0"/>
    </format>
    <format dxfId="361">
      <pivotArea type="all" dataOnly="0" outline="0" fieldPosition="0"/>
    </format>
    <format dxfId="360">
      <pivotArea outline="0" collapsedLevelsAreSubtotals="1"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dataOnly="0" labelOnly="1" outline="0" axis="axisValues" fieldPosition="0"/>
    </format>
    <format dxfId="355">
      <pivotArea type="all" dataOnly="0" outline="0" fieldPosition="0"/>
    </format>
    <format dxfId="354">
      <pivotArea outline="0" collapsedLevelsAreSubtotals="1" fieldPosition="0"/>
    </format>
    <format dxfId="353">
      <pivotArea dataOnly="0" labelOnly="1" outline="0" axis="axisValues" fieldPosition="0"/>
    </format>
    <format dxfId="352">
      <pivotArea type="all" dataOnly="0" outline="0" fieldPosition="0"/>
    </format>
    <format dxfId="351">
      <pivotArea outline="0" collapsedLevelsAreSubtotals="1" fieldPosition="0"/>
    </format>
    <format dxfId="350">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3EAEB-F67F-468F-A5A4-DD5E4EA70FE1}" name="PivotTable7" cacheId="4" applyNumberFormats="0" applyBorderFormats="0" applyFontFormats="0" applyPatternFormats="0" applyAlignmentFormats="0" applyWidthHeightFormats="1" dataCaption="Values" tag="7d90a2ea-d35d-41fa-9d35-b29e5d6a62f9" updatedVersion="8" minRefreshableVersion="3" subtotalHiddenItems="1" rowGrandTotals="0" colGrandTotals="0" itemPrintTitles="1" createdVersion="8" indent="0" showEmptyRow="1" showEmptyCol="1" outline="1" outlineData="1" multipleFieldFilters="0" chartFormat="5">
  <location ref="G8:H12"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295B4-ABA8-4AF0-9F4A-6F261846125C}" name="PivotTable9" cacheId="5"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1">
    <format dxfId="411">
      <pivotArea type="all" dataOnly="0" outline="0" fieldPosition="0"/>
    </format>
    <format dxfId="410">
      <pivotArea outline="0" collapsedLevelsAreSubtotals="1"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outline="0" axis="axisValues" fieldPosition="0"/>
    </format>
    <format dxfId="402">
      <pivotArea type="all" dataOnly="0" outline="0" fieldPosition="0"/>
    </format>
    <format dxfId="401">
      <pivotArea outline="0" collapsedLevelsAreSubtotals="1" fieldPosition="0"/>
    </format>
    <format dxfId="400">
      <pivotArea dataOnly="0" labelOnly="1" outline="0" axis="axisValues" fieldPosition="0"/>
    </format>
    <format dxfId="399">
      <pivotArea dataOnly="0" labelOnly="1" outline="0" axis="axisValues" fieldPosition="0"/>
    </format>
    <format dxfId="398">
      <pivotArea type="all" dataOnly="0" outline="0" fieldPosition="0"/>
    </format>
    <format dxfId="397">
      <pivotArea outline="0" collapsedLevelsAreSubtotals="1" fieldPosition="0"/>
    </format>
    <format dxfId="396">
      <pivotArea dataOnly="0" labelOnly="1" outline="0" axis="axisValues" fieldPosition="0"/>
    </format>
    <format dxfId="395">
      <pivotArea type="all" dataOnly="0" outline="0" fieldPosition="0"/>
    </format>
    <format dxfId="394">
      <pivotArea outline="0" collapsedLevelsAreSubtotals="1" fieldPosition="0"/>
    </format>
    <format dxfId="393">
      <pivotArea dataOnly="0" labelOnly="1" outline="0" axis="axisValues" fieldPosition="0"/>
    </format>
    <format dxfId="392">
      <pivotArea type="all" dataOnly="0" outline="0" fieldPosition="0"/>
    </format>
    <format dxfId="391">
      <pivotArea outline="0" collapsedLevelsAreSubtotals="1"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dataOnly="0" labelOnly="1" outline="0" axis="axisValues" fieldPosition="0"/>
    </format>
    <format dxfId="383">
      <pivotArea type="all" dataOnly="0" outline="0" fieldPosition="0"/>
    </format>
    <format dxfId="382">
      <pivotArea outline="0" collapsedLevelsAreSubtotals="1" fieldPosition="0"/>
    </format>
    <format dxfId="381">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9031C8-C230-4765-A535-4A466896365C}" name="PivotTable11" cacheId="7"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29">
    <format dxfId="261">
      <pivotArea type="all" dataOnly="0" outline="0" fieldPosition="0"/>
    </format>
    <format dxfId="260">
      <pivotArea outline="0" collapsedLevelsAreSubtotals="1"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outline="0" collapsedLevelsAreSubtotals="1"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A1E73D-D8B3-4223-9E66-11FE359F9E12}" name="PivotTable14" cacheId="10"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H3:H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5">
    <format dxfId="286">
      <pivotArea type="all" dataOnly="0" outline="0" fieldPosition="0"/>
    </format>
    <format dxfId="285">
      <pivotArea outline="0" collapsedLevelsAreSubtotals="1"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dataOnly="0" labelOnly="1" outline="0" axis="axisValues" fieldPosition="0"/>
    </format>
    <format dxfId="280">
      <pivotArea type="all" dataOnly="0" outline="0" fieldPosition="0"/>
    </format>
    <format dxfId="279">
      <pivotArea outline="0" collapsedLevelsAreSubtotals="1"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dataOnly="0" outline="0" axis="axisValues" fieldPosition="0"/>
    </format>
    <format dxfId="273">
      <pivotArea type="all" dataOnly="0" outline="0" fieldPosition="0"/>
    </format>
    <format dxfId="272">
      <pivotArea outline="0" collapsedLevelsAreSubtotals="1"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D1A995-F69F-4429-B41A-FAAD33C429C3}" name="PivotTable12" cacheId="8" applyNumberFormats="0" applyBorderFormats="0" applyFontFormats="0" applyPatternFormats="0" applyAlignmentFormats="0" applyWidthHeightFormats="1" dataCaption="Values" tag="5962ecf9-05e4-443b-ba9f-df55d0e2a41e" updatedVersion="8" minRefreshableVersion="3" subtotalHiddenItems="1" itemPrintTitles="1" createdVersion="8" indent="0" showEmptyRow="1" showEmptyCol="1" outline="1" outlineData="1" multipleFieldFilters="0" chartFormat="7" rowHeaderCaption="School Type">
  <location ref="F20:G27" firstHeaderRow="1" firstDataRow="1" firstDataCol="1" rowPageCount="1" colPageCount="1"/>
  <pivotFields count="4">
    <pivotField axis="axisPage" allDrilled="1" subtotalTop="0" showAll="0" dataSourceSort="1" defaultSubtotal="0" defaultAttributeDrillState="1"/>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i>
    <i>
      <x v="2"/>
    </i>
    <i>
      <x v="4"/>
    </i>
    <i>
      <x v="5"/>
    </i>
    <i>
      <x v="1"/>
    </i>
    <i>
      <x v="3"/>
    </i>
    <i t="grand">
      <x/>
    </i>
  </rowItems>
  <colItems count="1">
    <i/>
  </colItems>
  <pageFields count="1">
    <pageField fld="0" hier="25" name="[02_FACT_APPEARANCE].[base_flag].[All]" cap="All"/>
  </pageFields>
  <dataFields count="1">
    <dataField fld="2" subtotal="count" baseField="0" baseItem="0" numFmtId="10"/>
  </dataFields>
  <formats count="1">
    <format dxfId="28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50BEC2-4F9D-414B-9665-A0656637A37E}" name="PivotTable9" cacheId="12" applyNumberFormats="0" applyBorderFormats="0" applyFontFormats="0" applyPatternFormats="0" applyAlignmentFormats="0" applyWidthHeightFormats="1" dataCaption="Values" tag="6536d5ec-81a9-4ddb-b4af-17bcb5cb2fd7" updatedVersion="8" minRefreshableVersion="3" subtotalHiddenItems="1" itemPrintTitles="1" createdVersion="8" indent="0" outline="1" outlineData="1" multipleFieldFilters="0" chartFormat="11">
  <location ref="A12:C1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base_flag" fld="1" subtotal="count" baseField="0" baseItem="0"/>
    <dataField fld="2" subtotal="count" baseField="0" baseItem="0" numFmtId="10"/>
  </dataFields>
  <formats count="1">
    <format dxfId="288">
      <pivotArea outline="0" collapsedLevelsAreSubtotals="1" fieldPosition="0">
        <references count="1">
          <reference field="4294967294" count="1" selected="0">
            <x v="1"/>
          </reference>
        </references>
      </pivotArea>
    </format>
  </formats>
  <chartFormats count="8">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1"/>
          </reference>
          <reference field="0" count="1" selected="0">
            <x v="0"/>
          </reference>
        </references>
      </pivotArea>
    </chartFormat>
    <chartFormat chart="2" format="11">
      <pivotArea type="data" outline="0" fieldPosition="0">
        <references count="2">
          <reference field="4294967294" count="1" selected="0">
            <x v="1"/>
          </reference>
          <reference field="0"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1"/>
          </reference>
        </references>
      </pivotArea>
    </chartFormat>
    <chartFormat chart="10" format="18">
      <pivotArea type="data" outline="0" fieldPosition="0">
        <references count="2">
          <reference field="4294967294" count="1" selected="0">
            <x v="1"/>
          </reference>
          <reference field="0" count="1" selected="0">
            <x v="0"/>
          </reference>
        </references>
      </pivotArea>
    </chartFormat>
    <chartFormat chart="10" format="19">
      <pivotArea type="data" outline="0" fieldPosition="0">
        <references count="2">
          <reference field="4294967294" count="1" selected="0">
            <x v="1"/>
          </reference>
          <reference field="0" count="1" selected="0">
            <x v="1"/>
          </reference>
        </references>
      </pivotArea>
    </chartFormat>
  </chart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5AE75B-FD33-44DE-B60C-721BDB92DFAD}" name="PivotTable8" cacheId="11" applyNumberFormats="0" applyBorderFormats="0" applyFontFormats="0" applyPatternFormats="0" applyAlignmentFormats="0" applyWidthHeightFormats="1" dataCaption="Values" tag="78ed6f76-a127-4a7e-8503-c40d85251eda" updatedVersion="8" minRefreshableVersion="3" subtotalHiddenItems="1" itemPrintTitles="1" createdVersion="8" indent="0" showEmptyRow="1" showEmptyCol="1" outline="1" outlineData="1" multipleFieldFilters="0" chartFormat="1" rowHeaderCaption="base_flag">
  <location ref="A6:D10"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Count of base_flag" fld="1" subtotal="count" baseField="0" baseItem="0"/>
    <dataField fld="2" subtotal="count" baseField="0" baseItem="0" numFmtId="165"/>
    <dataField fld="3" subtotal="count" baseField="0" baseItem="0" numFmtId="10"/>
  </dataFields>
  <formats count="2">
    <format dxfId="290">
      <pivotArea outline="0" collapsedLevelsAreSubtotals="1" fieldPosition="0">
        <references count="1">
          <reference field="4294967294" count="1" selected="0">
            <x v="2"/>
          </reference>
        </references>
      </pivotArea>
    </format>
    <format dxfId="289">
      <pivotArea outline="0" collapsedLevelsAreSubtotals="1" fieldPosition="0">
        <references count="1">
          <reference field="4294967294" count="1" selected="0">
            <x v="1"/>
          </reference>
        </references>
      </pivotArea>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26763D-0432-43AD-AA4F-4425E9204EDB}" name="PivotTable10" cacheId="6" applyNumberFormats="0" applyBorderFormats="0" applyFontFormats="0" applyPatternFormats="0" applyAlignmentFormats="0" applyWidthHeightFormats="1" dataCaption="Values" tag="5462dcc2-180e-4688-975c-41222c43a05a" updatedVersion="8" minRefreshableVersion="3" subtotalHiddenItems="1" itemPrintTitles="1" createdVersion="8" indent="0" showEmptyRow="1" showEmptyCol="1" outline="1" outlineData="1" multipleFieldFilters="0" chartFormat="2" rowHeaderCaption="School Type">
  <location ref="F8:H15" firstHeaderRow="0" firstDataRow="1" firstDataCol="1" rowPageCount="1" colPageCount="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pageFields count="1">
    <pageField fld="3" hier="25" name="[02_FACT_APPEARANCE].[base_flag].[All]" cap="All"/>
  </pageFields>
  <dataFields count="2">
    <dataField fld="1" subtotal="count" baseField="0" baseItem="0" numFmtId="3"/>
    <dataField fld="2" subtotal="count" baseField="0" baseItem="0" numFmtId="10"/>
  </dataFields>
  <formats count="2">
    <format dxfId="292">
      <pivotArea outline="0" collapsedLevelsAreSubtotals="1" fieldPosition="0">
        <references count="1">
          <reference field="4294967294" count="1" selected="0">
            <x v="0"/>
          </reference>
        </references>
      </pivotArea>
    </format>
    <format dxfId="291">
      <pivotArea outline="0" collapsedLevelsAreSubtotals="1" fieldPosition="0">
        <references count="1">
          <reference field="4294967294" count="1" selected="0">
            <x v="1"/>
          </reference>
        </references>
      </pivotArea>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B031F0-3889-4D94-8CE1-E1440B0C95F2}" name="PivotTable13" cacheId="9"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5">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 dxfId="311">
      <pivotArea type="all" dataOnly="0" outline="0" fieldPosition="0"/>
    </format>
    <format dxfId="310">
      <pivotArea outline="0" collapsedLevelsAreSubtotals="1" fieldPosition="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dataOnly="0" labelOnly="1" outline="0" axis="axisValues" fieldPosition="0"/>
    </format>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DB9EB2-BC9B-49D7-8878-B388CD3684D6}" name="PivotTable5" cacheId="60" applyNumberFormats="0" applyBorderFormats="0" applyFontFormats="0" applyPatternFormats="0" applyAlignmentFormats="0" applyWidthHeightFormats="1" dataCaption="Values" updatedVersion="8" minRefreshableVersion="3" itemPrintTitles="1" createdVersion="8" indent="0" showEmptyRow="1" showEmptyCol="1" outline="1" outlineData="1" multipleFieldFilters="0" rowHeaderCaption="Regions">
  <location ref="K36:L53" firstHeaderRow="1" firstDataRow="1" firstDataCol="1" rowPageCount="1" colPageCount="1"/>
  <pivotFields count="3">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17">
    <i>
      <x v="7"/>
    </i>
    <i>
      <x v="13"/>
    </i>
    <i>
      <x v="11"/>
    </i>
    <i>
      <x v="8"/>
    </i>
    <i>
      <x v="4"/>
    </i>
    <i>
      <x v="10"/>
    </i>
    <i>
      <x/>
    </i>
    <i>
      <x v="12"/>
    </i>
    <i>
      <x v="3"/>
    </i>
    <i>
      <x v="5"/>
    </i>
    <i>
      <x v="2"/>
    </i>
    <i>
      <x v="6"/>
    </i>
    <i>
      <x v="9"/>
    </i>
    <i>
      <x v="15"/>
    </i>
    <i>
      <x v="14"/>
    </i>
    <i>
      <x v="1"/>
    </i>
    <i t="grand">
      <x/>
    </i>
  </rowItems>
  <colItems count="1">
    <i/>
  </colItems>
  <pageFields count="1">
    <pageField fld="2" hier="25" name="[02_FACT_APPEARANCE].[base_flag].&amp;[VALID_BASE]" cap="VALID_BASE"/>
  </pageFields>
  <dataFields count="1">
    <dataField fld="1"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3ECB37-8789-4782-89A1-2B9F701571C8}" name="PivotTable1" cacheId="13" applyNumberFormats="0" applyBorderFormats="0" applyFontFormats="0" applyPatternFormats="0" applyAlignmentFormats="0" applyWidthHeightFormats="1" dataCaption="Values" tag="d052905f-fbec-4dcc-9e85-f55a9d0b982e" updatedVersion="8" minRefreshableVersion="3" subtotalHiddenItems="1" itemPrintTitles="1" createdVersion="8" indent="0" showEmptyRow="1" showEmptyCol="1" outline="1" outlineData="1" multipleFieldFilters="0" rowHeaderCaption="anomaly_flag">
  <location ref="A6:C11"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Fields count="1">
    <field x="-2"/>
  </colFields>
  <colItems count="2">
    <i>
      <x/>
    </i>
    <i i="1">
      <x v="1"/>
    </i>
  </colItems>
  <dataFields count="2">
    <dataField name="Row Count" fld="1" subtotal="count" baseField="0" baseItem="2"/>
    <dataField fld="2" subtotal="count" baseField="0" baseItem="0" numFmtId="10"/>
  </dataFields>
  <formats count="1">
    <format dxfId="152">
      <pivotArea outline="0" collapsedLevelsAreSubtotals="1" fieldPosition="0">
        <references count="1">
          <reference field="4294967294" count="1" selected="0">
            <x v="1"/>
          </reference>
        </references>
      </pivotArea>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ow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B9EC80-7F39-48B7-99E3-F1261B5A4748}" name="PivotTable17" cacheId="16"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L3:L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5">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3CD091-57EE-46DE-9958-CD299D7ACA4E}" name="PivotTable16" cacheId="15"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5">
    <format dxfId="202">
      <pivotArea type="all" dataOnly="0" outline="0" fieldPosition="0"/>
    </format>
    <format dxfId="201">
      <pivotArea outline="0" collapsedLevelsAreSubtotals="1"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 dxfId="183">
      <pivotArea type="all" dataOnly="0" outline="0" fieldPosition="0"/>
    </format>
    <format dxfId="182">
      <pivotArea outline="0" collapsedLevelsAreSubtotals="1"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AB3147-1812-423E-9D91-3298A253CC12}" name="PivotTable2" cacheId="17" applyNumberFormats="0" applyBorderFormats="0" applyFontFormats="0" applyPatternFormats="0" applyAlignmentFormats="0" applyWidthHeightFormats="1" dataCaption="Values" tag="0d55c65a-a670-455d-9465-4e5fa0a2e3db" updatedVersion="8" minRefreshableVersion="3" subtotalHiddenItems="1" itemPrintTitles="1" createdVersion="8" indent="0" showEmptyRow="1" showEmptyCol="1" outline="1" outlineData="1" multipleFieldFilters="0" rowHeaderCaption="Regions" colHeaderCaption="anomaly_flag">
  <location ref="E8:J26" firstHeaderRow="1" firstDataRow="2" firstDataCol="1" rowPageCount="1" colPageCount="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5">
    <i>
      <x/>
    </i>
    <i>
      <x v="1"/>
    </i>
    <i>
      <x v="2"/>
    </i>
    <i>
      <x v="3"/>
    </i>
    <i t="grand">
      <x/>
    </i>
  </colItems>
  <pageFields count="1">
    <pageField fld="2" hier="25" name="[02_FACT_APPEARANCE].[base_flag].[All]" cap="All"/>
  </pageFields>
  <dataFields count="1">
    <dataField fld="3" subtotal="count" baseField="0" baseItem="0" numFmtId="10"/>
  </dataFields>
  <formats count="2">
    <format dxfId="3">
      <pivotArea outline="0" collapsedLevelsAreSubtotals="1" fieldPosition="0">
        <references count="1">
          <reference field="1" count="1" selected="0">
            <x v="0"/>
          </reference>
        </references>
      </pivotArea>
    </format>
    <format dxfId="4">
      <pivotArea outline="0" collapsedLevelsAreSubtotals="1"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2011663-1E91-4475-9300-159B7181BA27}" name="PivotTable15" cacheId="14"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8">
    <format dxfId="230">
      <pivotArea type="all" dataOnly="0" outline="0" fieldPosition="0"/>
    </format>
    <format dxfId="229">
      <pivotArea outline="0" collapsedLevelsAreSubtotals="1"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dataOnly="0" labelOnly="1" outline="0" axis="axisValues" fieldPosition="0"/>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D5D046-5941-4B65-A2C2-021CF1F2E6B3}" name="PivotTable3" cacheId="18" applyNumberFormats="0" applyBorderFormats="0" applyFontFormats="0" applyPatternFormats="0" applyAlignmentFormats="0" applyWidthHeightFormats="1" dataCaption="Values" tag="947da774-52eb-4c19-b312-5ac5dd08e177" updatedVersion="8" minRefreshableVersion="3" subtotalHiddenItems="1" colGrandTotals="0" itemPrintTitles="1" createdVersion="8" indent="0" showEmptyRow="1" showEmptyCol="1" outline="1" outlineData="1" multipleFieldFilters="0" rowHeaderCaption="School Type" colHeaderCaption="anomaly_flag">
  <location ref="E30:I38" firstHeaderRow="1" firstDataRow="2" firstDataCol="1" rowPageCount="1" colPageCount="1"/>
  <pivotFields count="5">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4">
    <i>
      <x/>
    </i>
    <i>
      <x v="1"/>
    </i>
    <i>
      <x v="2"/>
    </i>
    <i>
      <x v="3"/>
    </i>
  </colItems>
  <pageFields count="1">
    <pageField fld="3" hier="25" name="[02_FACT_APPEARANCE].[base_flag].[All]" cap="All"/>
  </pageFields>
  <dataFields count="1">
    <dataField fld="2" subtotal="count" baseField="0" baseItem="0" numFmtId="10"/>
  </dataFields>
  <formats count="1">
    <format dxfId="231">
      <pivotArea outline="0" collapsedLevelsAreSubtotals="1"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DF42102-41EE-4537-8048-14D20628BC92}" name="PivotTable4" cacheId="19" applyNumberFormats="0" applyBorderFormats="0" applyFontFormats="0" applyPatternFormats="0" applyAlignmentFormats="0" applyWidthHeightFormats="1" dataCaption="Values" tag="09a6730e-401b-4c4a-8d1a-08364a773529" updatedVersion="8" minRefreshableVersion="3" subtotalHiddenItems="1" itemPrintTitles="1" createdVersion="8" indent="0" showEmptyRow="1" showEmptyCol="1" outline="1" outlineData="1" multipleFieldFilters="0" chartFormat="29" rowHeaderCaption="anomaly_flag">
  <location ref="A34:B3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fld="1" subtotal="count" baseField="0" baseItem="0" numFmtId="10"/>
  </dataFields>
  <formats count="1">
    <format dxfId="232">
      <pivotArea outline="0" collapsedLevelsAreSubtotals="1" fieldPosition="0"/>
    </format>
  </formats>
  <chartFormats count="10">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0"/>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0" count="1" selected="0">
            <x v="2"/>
          </reference>
        </references>
      </pivotArea>
    </chartFormat>
    <chartFormat chart="22" format="13">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701FE1B-F89D-4A90-AB82-BDA93A80D801}" name="PivotTable1" cacheId="25" applyNumberFormats="0" applyBorderFormats="0" applyFontFormats="0" applyPatternFormats="0" applyAlignmentFormats="0" applyWidthHeightFormats="1" dataCaption="Values" tag="8ba7c19a-d55b-4f4b-af26-d1f27979bb42" updatedVersion="8" minRefreshableVersion="3" subtotalHiddenItems="1" itemPrintTitles="1" createdVersion="8" indent="0" showEmptyRow="1" showEmptyCol="1"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6">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C0FAF78-2B24-4834-AEB2-353319E1D23D}" name="PivotTable12" cacheId="20" applyNumberFormats="0" applyBorderFormats="0" applyFontFormats="0" applyPatternFormats="0" applyAlignmentFormats="0" applyWidthHeightFormats="1" dataCaption="Values" tag="290928ea-5917-4ce1-a958-cffab0a2c30f" updatedVersion="8" minRefreshableVersion="3" subtotalHiddenItems="1" itemPrintTitles="1" createdVersion="8" indent="0" showEmptyRow="1" showEmptyCol="1" outline="1" outlineData="1" multipleFieldFilters="0" chartFormat="6" rowHeaderCaption="School Type">
  <location ref="A6:C13" firstHeaderRow="0" firstDataRow="1" firstDataCol="1" rowPageCount="1" colPageCount="1"/>
  <pivotFields count="5">
    <pivotField dataField="1" subtotalTop="0" showAll="0" defaultSubtotal="0"/>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2"/>
  </rowFields>
  <rowItems count="7">
    <i>
      <x v="1"/>
    </i>
    <i>
      <x/>
    </i>
    <i>
      <x v="4"/>
    </i>
    <i>
      <x v="2"/>
    </i>
    <i>
      <x v="3"/>
    </i>
    <i>
      <x v="5"/>
    </i>
    <i t="grand">
      <x/>
    </i>
  </rowItems>
  <colFields count="1">
    <field x="-2"/>
  </colFields>
  <colItems count="2">
    <i>
      <x/>
    </i>
    <i i="1">
      <x v="1"/>
    </i>
  </colItems>
  <pageFields count="1">
    <pageField fld="3" hier="25" name="[02_FACT_APPEARANCE].[base_flag].[All]" cap="All"/>
  </pageFields>
  <dataFields count="2">
    <dataField fld="0" subtotal="count" baseField="0" baseItem="0"/>
    <dataField fld="1" subtotal="count" baseField="0" baseItem="0"/>
  </dataFields>
  <formats count="1">
    <format dxfId="15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1"/>
          </reference>
          <reference field="2" count="1" selected="0">
            <x v="4"/>
          </reference>
        </references>
      </pivotArea>
    </chartFormat>
    <chartFormat chart="5" format="11">
      <pivotArea type="data" outline="0" fieldPosition="0">
        <references count="2">
          <reference field="4294967294" count="1" selected="0">
            <x v="1"/>
          </reference>
          <reference field="2" count="1" selected="0">
            <x v="0"/>
          </reference>
        </references>
      </pivotArea>
    </chartFormat>
  </chart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5438361-2898-4A95-8EE4-E91232DF28A0}" name="PivotTable20" cacheId="23"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2">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436D523-A538-404D-B159-E422B3FC203E}" name="PivotTable19" cacheId="22"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23">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B389325-686F-40B7-B22B-769136F30569}" name="PivotTable18" cacheId="21" applyNumberFormats="0" applyBorderFormats="0" applyFontFormats="0" applyPatternFormats="0" applyAlignmentFormats="0" applyWidthHeightFormats="1" dataCaption="Values" updatedVersion="8" minRefreshableVersion="3" subtotalHiddenItems="1" itemPrintTitles="1" createdVersion="8" indent="0" showEmptyRow="1" showEmptyCol="1"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23">
    <format dxfId="112">
      <pivotArea outline="0" collapsedLevelsAreSubtotals="1"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FACT_APPEA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3DF38A7-9E81-4303-B65D-F72A22EF2E77}" name="PivotTable21" cacheId="24" applyNumberFormats="0" applyBorderFormats="0" applyFontFormats="0" applyPatternFormats="0" applyAlignmentFormats="0" applyWidthHeightFormats="1" dataCaption="Values" tag="391ab8ab-d59b-4d8b-97aa-7eec1e058dcc" updatedVersion="8" minRefreshableVersion="3" subtotalHiddenItems="1" itemPrintTitles="1" createdVersion="8" indent="0" showEmptyRow="1" showEmptyCol="1" outline="1" outlineData="1" multipleFieldFilters="0">
  <location ref="J3:J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2">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_02_FACT_APPEARANCE].[base_flag].&amp;[VALID_BASE]"/>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DATA_QUALITY_LO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3BA62B7-B072-4797-8E29-E5704C7A880A}" autoFormatId="16" applyNumberFormats="0" applyBorderFormats="0" applyFontFormats="0" applyPatternFormats="0" applyAlignmentFormats="0" applyWidthHeightFormats="0">
  <queryTableRefresh nextId="16">
    <queryTableFields count="15">
      <queryTableField id="1" name="Class" tableColumnId="1"/>
      <queryTableField id="2" name="Year" tableColumnId="2"/>
      <queryTableField id="3" name="Region" tableColumnId="3"/>
      <queryTableField id="4" name="School Type" tableColumnId="4"/>
      <queryTableField id="5" name="Registered" tableColumnId="5"/>
      <queryTableField id="6" name="Appeared" tableColumnId="6"/>
      <queryTableField id="7" name="appearance_rate" tableColumnId="7"/>
      <queryTableField id="8" name="no_show_rate" tableColumnId="8"/>
      <queryTableField id="9" name="absence_flag" tableColumnId="9"/>
      <queryTableField id="10" name="base_status" tableColumnId="10"/>
      <queryTableField id="11" name="base_flag" tableColumnId="11"/>
      <queryTableField id="12" name="anomaly_flag" tableColumnId="12"/>
      <queryTableField id="13" name="is_usable_for_analysis" tableColumnId="13"/>
      <queryTableField id="14" name="risk_bucket" tableColumnId="14"/>
      <queryTableField id="15" name="fact_id" tableColumnId="15"/>
    </queryTableFields>
  </queryTableRefresh>
  <extLst>
    <ext xmlns:x15="http://schemas.microsoft.com/office/spreadsheetml/2010/11/main" uri="{883FBD77-0823-4a55-B5E3-86C4891E6966}">
      <x15:queryTable sourceDataName="Query - 02_FACT_APPEARANC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89A0FB5-B0D1-4C9A-A6F9-8A4CD4177A32}" autoFormatId="16" applyNumberFormats="0" applyBorderFormats="0" applyFontFormats="0" applyPatternFormats="0" applyAlignmentFormats="0" applyWidthHeightFormats="0">
  <queryTableRefresh nextId="8">
    <queryTableFields count="7">
      <queryTableField id="1" name="Class" tableColumnId="1"/>
      <queryTableField id="2" name="Year" tableColumnId="2"/>
      <queryTableField id="3" name="Region" tableColumnId="3"/>
      <queryTableField id="4" name="School Type" tableColumnId="4"/>
      <queryTableField id="5" name="fact_id" tableColumnId="5"/>
      <queryTableField id="6" name="Integrity_Check" tableColumnId="6"/>
      <queryTableField id="7" name="Integrity_Result" tableColumnId="7"/>
    </queryTableFields>
  </queryTableRefresh>
  <extLst>
    <ext xmlns:x15="http://schemas.microsoft.com/office/spreadsheetml/2010/11/main" uri="{883FBD77-0823-4a55-B5E3-86C4891E6966}">
      <x15:queryTable sourceDataName="Query - 03_DATA_QUALITY_LOG"/>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743298CE-C0E4-49D7-97BB-A622DAEFEEB8}" sourceName="[02_FACT_APPEARANCE].[School Type]">
  <pivotTables>
    <pivotTable tabId="29" name="PivotTable1"/>
    <pivotTable tabId="29" name="PivotTable10"/>
    <pivotTable tabId="29" name="PivotTable2"/>
    <pivotTable tabId="29" name="PivotTable5"/>
    <pivotTable tabId="29" name="PivotTable7"/>
    <pivotTable tabId="29" name="PivotTable9"/>
    <pivotTable tabId="31" name="PivotTable10"/>
    <pivotTable tabId="31" name="PivotTable11"/>
    <pivotTable tabId="31" name="PivotTable12"/>
    <pivotTable tabId="31" name="PivotTable13"/>
    <pivotTable tabId="31" name="PivotTable14"/>
    <pivotTable tabId="31" name="PivotTable8"/>
    <pivotTable tabId="31" name="PivotTable9"/>
    <pivotTable tabId="32" name="PivotTable1"/>
    <pivotTable tabId="32" name="PivotTable15"/>
    <pivotTable tabId="32" name="PivotTable16"/>
    <pivotTable tabId="32" name="PivotTable17"/>
    <pivotTable tabId="32" name="PivotTable2"/>
    <pivotTable tabId="32" name="PivotTable3"/>
    <pivotTable tabId="32" name="PivotTable4"/>
    <pivotTable tabId="33" name="PivotTable12"/>
    <pivotTable tabId="34" name="PivotTable18"/>
    <pivotTable tabId="34" name="PivotTable19"/>
    <pivotTable tabId="34" name="PivotTable20"/>
    <pivotTable tabId="34" name="PivotTable21"/>
  </pivotTables>
  <data>
    <olap pivotCacheId="427297889">
      <levels count="2">
        <level uniqueName="[02_FACT_APPEARANCE].[School Type].[(All)]" sourceCaption="(All)" count="0"/>
        <level uniqueName="[02_FACT_APPEARANCE].[School Type].[School Type]" sourceCaption="School Type" count="6">
          <ranges>
            <range startItem="0">
              <i n="[02_FACT_APPEARANCE].[School Type].&amp;[CTSA]" c="CTSA"/>
              <i n="[02_FACT_APPEARANCE].[School Type].&amp;[GOVT]" c="GOVT"/>
              <i n="[02_FACT_APPEARANCE].[School Type].&amp;[GOVT AIDED]" c="GOVT AIDED"/>
              <i n="[02_FACT_APPEARANCE].[School Type].&amp;[INDEPENDENT]" c="INDEPENDENT"/>
              <i n="[02_FACT_APPEARANCE].[School Type].&amp;[JNV]" c="JNV"/>
              <i n="[02_FACT_APPEARANCE].[School Type].&amp;[KV]" c="KV"/>
            </range>
          </ranges>
        </level>
      </levels>
      <selections count="1">
        <selection n="[02_FACT_APPEARANCE].[School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D5D77D-A15D-4A1B-BD37-A2C68B59AD6D}" sourceName="[02_FACT_APPEARANCE].[Region]">
  <pivotTables>
    <pivotTable tabId="29" name="PivotTable1"/>
    <pivotTable tabId="29" name="PivotTable10"/>
    <pivotTable tabId="29" name="PivotTable2"/>
    <pivotTable tabId="29" name="PivotTable5"/>
    <pivotTable tabId="29" name="PivotTable7"/>
    <pivotTable tabId="29" name="PivotTable9"/>
    <pivotTable tabId="31" name="PivotTable10"/>
    <pivotTable tabId="31" name="PivotTable11"/>
    <pivotTable tabId="31" name="PivotTable12"/>
    <pivotTable tabId="31" name="PivotTable13"/>
    <pivotTable tabId="31" name="PivotTable14"/>
    <pivotTable tabId="31" name="PivotTable8"/>
    <pivotTable tabId="31" name="PivotTable9"/>
    <pivotTable tabId="32" name="PivotTable1"/>
    <pivotTable tabId="32" name="PivotTable15"/>
    <pivotTable tabId="32" name="PivotTable16"/>
    <pivotTable tabId="32" name="PivotTable17"/>
    <pivotTable tabId="32" name="PivotTable2"/>
    <pivotTable tabId="32" name="PivotTable3"/>
    <pivotTable tabId="32" name="PivotTable4"/>
    <pivotTable tabId="33" name="PivotTable12"/>
    <pivotTable tabId="34" name="PivotTable18"/>
    <pivotTable tabId="34" name="PivotTable19"/>
    <pivotTable tabId="34" name="PivotTable20"/>
    <pivotTable tabId="34" name="PivotTable21"/>
  </pivotTables>
  <data>
    <olap pivotCacheId="427297889">
      <levels count="2">
        <level uniqueName="[02_FACT_APPEARANCE].[Region].[(All)]" sourceCaption="(All)" count="0"/>
        <level uniqueName="[02_FACT_APPEARANCE].[Region].[Region]" sourceCaption="Region" count="16">
          <ranges>
            <range startItem="0">
              <i n="[02_FACT_APPEARANCE].[Region].&amp;[Ajmer]" c="Ajmer"/>
              <i n="[02_FACT_APPEARANCE].[Region].&amp;[Bengaluru]" c="Bengaluru"/>
              <i n="[02_FACT_APPEARANCE].[Region].&amp;[Bhopal]" c="Bhopal"/>
              <i n="[02_FACT_APPEARANCE].[Region].&amp;[Bhubaneswar]" c="Bhubaneswar"/>
              <i n="[02_FACT_APPEARANCE].[Region].&amp;[Chandigarh]" c="Chandigarh"/>
              <i n="[02_FACT_APPEARANCE].[Region].&amp;[Chennai]" c="Chennai"/>
              <i n="[02_FACT_APPEARANCE].[Region].&amp;[Dehradun]" c="Dehradun"/>
              <i n="[02_FACT_APPEARANCE].[Region].&amp;[Delhi East]" c="Delhi East"/>
              <i n="[02_FACT_APPEARANCE].[Region].&amp;[Delhi West]" c="Delhi West"/>
              <i n="[02_FACT_APPEARANCE].[Region].&amp;[Guwahati]" c="Guwahati"/>
              <i n="[02_FACT_APPEARANCE].[Region].&amp;[Noida]" c="Noida"/>
              <i n="[02_FACT_APPEARANCE].[Region].&amp;[Panchkula]" c="Panchkula"/>
              <i n="[02_FACT_APPEARANCE].[Region].&amp;[Patna]" c="Patna"/>
              <i n="[02_FACT_APPEARANCE].[Region].&amp;[Prayagraj]" c="Prayagraj"/>
              <i n="[02_FACT_APPEARANCE].[Region].&amp;[Pune]" c="Pune"/>
              <i n="[02_FACT_APPEARANCE].[Region].&amp;[Trivandrum]" c="Trivandrum"/>
            </range>
          </ranges>
        </level>
      </levels>
      <selections count="1">
        <selection n="[02_FACT_APPEARANC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_flag" xr10:uid="{54B08939-F202-4CFD-AD89-BAC5D2F92C59}" sourceName="[02_FACT_APPEARANCE].[base_flag]">
  <pivotTables>
    <pivotTable tabId="29" name="PivotTable1"/>
    <pivotTable tabId="29" name="PivotTable10"/>
    <pivotTable tabId="29" name="PivotTable2"/>
    <pivotTable tabId="29" name="PivotTable5"/>
    <pivotTable tabId="29" name="PivotTable7"/>
    <pivotTable tabId="29" name="PivotTable9"/>
    <pivotTable tabId="31" name="PivotTable10"/>
    <pivotTable tabId="31" name="PivotTable11"/>
    <pivotTable tabId="31" name="PivotTable12"/>
    <pivotTable tabId="31" name="PivotTable13"/>
    <pivotTable tabId="31" name="PivotTable14"/>
    <pivotTable tabId="31" name="PivotTable8"/>
    <pivotTable tabId="31" name="PivotTable9"/>
    <pivotTable tabId="32" name="PivotTable1"/>
    <pivotTable tabId="32" name="PivotTable15"/>
    <pivotTable tabId="32" name="PivotTable16"/>
    <pivotTable tabId="32" name="PivotTable17"/>
    <pivotTable tabId="32" name="PivotTable2"/>
    <pivotTable tabId="32" name="PivotTable3"/>
    <pivotTable tabId="32" name="PivotTable4"/>
    <pivotTable tabId="33" name="PivotTable12"/>
    <pivotTable tabId="34" name="PivotTable18"/>
    <pivotTable tabId="34" name="PivotTable19"/>
    <pivotTable tabId="34" name="PivotTable20"/>
    <pivotTable tabId="34" name="PivotTable21"/>
  </pivotTables>
  <data>
    <olap pivotCacheId="427297889">
      <levels count="2">
        <level uniqueName="[02_FACT_APPEARANCE].[base_flag].[(All)]" sourceCaption="(All)" count="0"/>
        <level uniqueName="[02_FACT_APPEARANCE].[base_flag].[base_flag]" sourceCaption="base_flag" count="3">
          <ranges>
            <range startItem="0">
              <i n="[02_FACT_APPEARANCE].[base_flag].&amp;[ABSENT_BASE]" c="ABSENT_BASE"/>
              <i n="[02_FACT_APPEARANCE].[base_flag].&amp;[SMALL_BASE]" c="SMALL_BASE"/>
              <i n="[02_FACT_APPEARANCE].[base_flag].&amp;[VALID_BASE]" c="VALID_BASE"/>
            </range>
          </ranges>
        </level>
      </levels>
      <selections count="1">
        <selection n="[02_FACT_APPEARANCE].[base_fla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Type" xr10:uid="{DBAD7BE6-A95E-44DC-A24B-7504495EA099}" cache="Slicer_School_Type" caption="School Type" showCaption="0" level="1" rowHeight="288000"/>
  <slicer name="Region" xr10:uid="{EB4E2C75-99E5-4332-8ECB-B0574E897938}" cache="Slicer_Region" caption="Region" columnCount="2" showCaption="0" level="1" rowHeight="360000"/>
  <slicer name="base_flag" xr10:uid="{6837117F-BFC1-4601-B0CE-8B95465B5797}" cache="Slicer_base_flag" caption="base_flag" showCaption="0" level="1"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6AD62C-626C-4A4A-9734-58F151619481}" name="RAW_CBSE_2022" displayName="RAW_CBSE_2022" ref="A1:J33" totalsRowShown="0">
  <autoFilter ref="A1:J33" xr:uid="{296AD62C-626C-4A4A-9734-58F151619481}"/>
  <tableColumns count="10">
    <tableColumn id="1" xr3:uid="{945966C9-6884-465C-B0B4-07FF13D54E44}" name="Class"/>
    <tableColumn id="2" xr3:uid="{C5562B5C-1D33-4792-A9A3-03D9FC3903D6}" name="Year"/>
    <tableColumn id="3" xr3:uid="{45F7E997-0AA3-48DB-8453-9A1E14F2E0F7}" name="Type "/>
    <tableColumn id="4" xr3:uid="{30575C42-255C-478E-8935-F63222971095}" name="Status"/>
    <tableColumn id="5" xr3:uid="{C24FD409-3ED5-4975-B7FE-C90EDF07659E}" name="CTSA"/>
    <tableColumn id="6" xr3:uid="{6763EFDF-6162-4639-B477-9F63083C0091}" name="GOVT"/>
    <tableColumn id="7" xr3:uid="{F30B6DDB-B1A1-4CEB-8097-298F6230C859}" name="GOVT AIDED"/>
    <tableColumn id="8" xr3:uid="{492CBC8F-DC71-4D14-8282-0089F4D9C56F}" name="INDEPENDENT"/>
    <tableColumn id="9" xr3:uid="{CDC46134-8F98-49B4-B484-B32F9BF877BE}" name="JNV"/>
    <tableColumn id="10" xr3:uid="{8199B1B2-958D-4DD4-8922-2E7CDF81C44D}" name="KV"/>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3747ED-7248-45A1-965C-C27113585A2C}" name="_02_FACT_APPEARANCE" displayName="_02_FACT_APPEARANCE" ref="A1:O97" tableType="queryTable" totalsRowShown="0">
  <autoFilter ref="A1:O97" xr:uid="{503747ED-7248-45A1-965C-C27113585A2C}"/>
  <tableColumns count="15">
    <tableColumn id="1" xr3:uid="{66C4AFA3-47BB-4CBC-AEF7-8AD1E71AB90B}" uniqueName="1" name="Class" queryTableFieldId="1"/>
    <tableColumn id="2" xr3:uid="{B15F0792-2C58-4E29-9690-1640A6C9B0E7}" uniqueName="2" name="Year" queryTableFieldId="2"/>
    <tableColumn id="3" xr3:uid="{873D13DC-0132-4521-97A3-F8CB1955CF09}" uniqueName="3" name="Region" queryTableFieldId="3" dataDxfId="419"/>
    <tableColumn id="4" xr3:uid="{394977F6-2283-4F44-8F85-B562F601F27F}" uniqueName="4" name="School Type" queryTableFieldId="4" dataDxfId="418"/>
    <tableColumn id="5" xr3:uid="{46294422-4537-49A7-B30C-AD40F988B88D}" uniqueName="5" name="Registered" queryTableFieldId="5"/>
    <tableColumn id="6" xr3:uid="{A1ED7488-F014-4487-AED2-7829A0F6A260}" uniqueName="6" name="Appeared" queryTableFieldId="6"/>
    <tableColumn id="7" xr3:uid="{98EE9417-55FD-4146-82B4-711ECEB79CB3}" uniqueName="7" name="appearance_rate" queryTableFieldId="7" dataDxfId="417"/>
    <tableColumn id="8" xr3:uid="{617CF07D-08FB-4243-BED7-289669EF74F9}" uniqueName="8" name="no_show_rate" queryTableFieldId="8" dataDxfId="416"/>
    <tableColumn id="9" xr3:uid="{F4A31007-5CF8-4E5D-A87F-C8F87C64449D}" uniqueName="9" name="absence_flag" queryTableFieldId="9"/>
    <tableColumn id="10" xr3:uid="{5172C71B-C29B-49F4-BD30-9A3974A10D08}" uniqueName="10" name="base_status" queryTableFieldId="10"/>
    <tableColumn id="11" xr3:uid="{524EB647-8E28-4E71-8168-7E7EDAAFAAC2}" uniqueName="11" name="base_flag" queryTableFieldId="11"/>
    <tableColumn id="12" xr3:uid="{60199BC8-9975-4830-B2FD-8567E211F674}" uniqueName="12" name="anomaly_flag" queryTableFieldId="12"/>
    <tableColumn id="13" xr3:uid="{22EB4C00-7652-4D72-AB60-7D66C9B7AE72}" uniqueName="13" name="is_usable_for_analysis" queryTableFieldId="13"/>
    <tableColumn id="14" xr3:uid="{CCC235B0-BD3C-49D5-93BE-18C47B84CF61}" uniqueName="14" name="risk_bucket" queryTableFieldId="14"/>
    <tableColumn id="15" xr3:uid="{1DE74427-8CB9-475B-8741-A8230CD4CC81}" uniqueName="15" name="fact_id" queryTableFieldId="15" dataDxfId="4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F5B8B4-C2AC-49EA-B13F-C92829D52843}" name="_03_DATA_QUALITY_LOG" displayName="_03_DATA_QUALITY_LOG" ref="A1:G385" tableType="queryTable" totalsRowShown="0">
  <autoFilter ref="A1:G385" xr:uid="{B1F5B8B4-C2AC-49EA-B13F-C92829D52843}"/>
  <tableColumns count="7">
    <tableColumn id="1" xr3:uid="{5D335EE0-14E9-47D8-A191-22AAF24131C3}" uniqueName="1" name="Class" queryTableFieldId="1"/>
    <tableColumn id="2" xr3:uid="{6DEE2511-DDB3-427A-A986-0BE0C83175A2}" uniqueName="2" name="Year" queryTableFieldId="2"/>
    <tableColumn id="3" xr3:uid="{5537016C-7254-4056-A572-B7CC8E401C0C}" uniqueName="3" name="Region" queryTableFieldId="3" dataDxfId="414"/>
    <tableColumn id="4" xr3:uid="{1E7A6BC8-674B-4188-A581-25D03BCD41F6}" uniqueName="4" name="School Type" queryTableFieldId="4" dataDxfId="413"/>
    <tableColumn id="5" xr3:uid="{62B9031A-C7B3-40CE-B932-78E956B576F4}" uniqueName="5" name="fact_id" queryTableFieldId="5" dataDxfId="412"/>
    <tableColumn id="6" xr3:uid="{E50549E4-B666-4965-B678-14190ECE62ED}" uniqueName="6" name="Integrity_Check" queryTableFieldId="6"/>
    <tableColumn id="7" xr3:uid="{7419C1B5-BA15-4CFF-9B29-3AAA9C443561}" uniqueName="7" name="Integrity_Resul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60447C-F83C-4FA7-BC72-002440F2631B}" name="Table5" displayName="Table5" ref="F22:G31" totalsRowShown="0" headerRowDxfId="44" dataDxfId="43">
  <autoFilter ref="F22:G31" xr:uid="{A760447C-F83C-4FA7-BC72-002440F2631B}"/>
  <tableColumns count="2">
    <tableColumn id="1" xr3:uid="{679F70B2-E381-4E22-A9F9-4BB26D89F82F}" name="Metric" dataDxfId="42"/>
    <tableColumn id="2" xr3:uid="{9656F816-301D-4C86-8A45-8730204C8476}" name="Value" dataDxfId="41">
      <calculatedColumnFormula>_xlfn.MINIFS(_02_FACT_APPEARANCE[Registered],_02_FACT_APPEARANCE[Registered], "&gt;0")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F1C4F4-C359-460B-B257-E2760339ACCC}" name="Table6" displayName="Table6" ref="M22:N32" totalsRowShown="0" headerRowDxfId="40" dataDxfId="39">
  <autoFilter ref="M22:N32" xr:uid="{43F1C4F4-C359-460B-B257-E2760339ACCC}"/>
  <tableColumns count="2">
    <tableColumn id="1" xr3:uid="{81CB1615-F6DA-45F6-9C34-BCD40B45BFD9}" name="Metric" dataDxfId="38"/>
    <tableColumn id="2" xr3:uid="{05651F7E-43E8-4046-AC1A-E01D1B8A2626}" name="Value" dataDxfId="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2841B3-F18C-4C6C-AD3B-6484E5950E39}" name="fact_table" displayName="fact_table" ref="A1:I97" totalsRowShown="0">
  <autoFilter ref="A1:I97" xr:uid="{B42841B3-F18C-4C6C-AD3B-6484E5950E39}"/>
  <tableColumns count="9">
    <tableColumn id="1" xr3:uid="{58ADA46E-6321-4DC5-8739-27D5D8497055}" name="Class"/>
    <tableColumn id="2" xr3:uid="{A933EB17-1DB5-493E-8D2A-B20B2EDF723E}" name="Year"/>
    <tableColumn id="3" xr3:uid="{580B9B53-B58D-4F2B-8673-928BF9CDB004}" name="Region" dataDxfId="36"/>
    <tableColumn id="4" xr3:uid="{BD9410F3-AB2A-44EA-B1C3-2FE79993BB2F}" name="School Type" dataDxfId="35"/>
    <tableColumn id="5" xr3:uid="{E43CDD1B-744A-4DB3-A2B4-030287DBB39D}" name="Registered"/>
    <tableColumn id="6" xr3:uid="{E00F48A5-E7F0-45B7-9980-5CBAAD0F143C}" name="Appeared"/>
    <tableColumn id="7" xr3:uid="{CEB95C6E-B67D-4116-935A-9CE8A0BF3CA1}" name="appearance_rate"/>
    <tableColumn id="8" xr3:uid="{55D655FE-EAC3-4526-B4A6-849EB54AE659}" name="no_show_rate"/>
    <tableColumn id="9" xr3:uid="{34325895-F07A-40AC-B2B0-BB48CAD560DC}" name="absence_flag"/>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 dT="2025-12-26T04:26:30.65" personId="{B0D21A45-A48A-43A3-A36E-8400C40D9E68}" id="{718EEDEF-FBD9-4659-91F8-6A033CCF29D6}">
    <text>Counts valid absence cases (not errors). Excluded from integrity failure rate.</text>
  </threadedComment>
  <threadedComment ref="B6" dT="2025-12-23T11:16:47.52" personId="{B0D21A45-A48A-43A3-A36E-8400C40D9E68}" id="{ABCC788F-E2FB-414A-B89D-D4ECAD8EC42F}">
    <text>StructuaralZeroCheck:
It shows how many zeros exist in the dataset, and whether any of them are suspicious.
In this dataset, 22 zeros exist — and all of them are valid.</text>
  </threadedComment>
  <threadedComment ref="C6" dT="2025-12-23T11:17:37.05" personId="{B0D21A45-A48A-43A3-A36E-8400C40D9E68}" id="{D71B9A3C-365A-416E-BB37-CE8DD3553EE1}">
    <text>What does Flagged Checks = 0 mean?
Out of 96 logical situations checked, there are no unexpected blanks. Every blank is logically justified.</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5-12-26T04:27:28.30" personId="{B0D21A45-A48A-43A3-A36E-8400C40D9E68}" id="{8059A4C8-5416-4C09-995D-6A8471B2A5F0}">
    <text>Only 67.7% of rows (65/96) carry 99.96% of weight.
SMALL_BASE and ABSENT_BASE look large in row count but they are statistically negligible.</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6B303FD-DF1D-4A15-A7D0-361E75D5BEA9}">
  <we:reference id="wa200005502" version="1.0.0.12" store="en-US" storeType="OMEX"/>
  <we:alternateReferences>
    <we:reference id="wa200005502" version="1.0.0.12" store="wa200005502" storeType="OMEX"/>
  </we:alternateReferences>
  <we:properties>
    <we:property name="docId" value="&quot;xPYnswdNt1sJ0hS_oB_F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54A7697-55B1-45E0-A40E-ADC339BB740D}">
  <we:reference id="WA200005271" version="2.6.1.0" store="Omex"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7/10/relationships/threadedComment" Target="../threadedComments/threadedComment1.xml"/><Relationship Id="rId5" Type="http://schemas.openxmlformats.org/officeDocument/2006/relationships/pivotTable" Target="../pivotTables/pivotTable5.xml"/><Relationship Id="rId10" Type="http://schemas.openxmlformats.org/officeDocument/2006/relationships/comments" Target="../comments1.xml"/><Relationship Id="rId4" Type="http://schemas.openxmlformats.org/officeDocument/2006/relationships/pivotTable" Target="../pivotTables/pivotTable4.xml"/><Relationship Id="rId9"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microsoft.com/office/2017/10/relationships/threadedComment" Target="../threadedComments/threadedComment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comments" Target="../comments2.xml"/><Relationship Id="rId5" Type="http://schemas.openxmlformats.org/officeDocument/2006/relationships/pivotTable" Target="../pivotTables/pivotTable11.xml"/><Relationship Id="rId10" Type="http://schemas.openxmlformats.org/officeDocument/2006/relationships/vmlDrawing" Target="../drawings/vmlDrawing2.vml"/><Relationship Id="rId4" Type="http://schemas.openxmlformats.org/officeDocument/2006/relationships/pivotTable" Target="../pivotTables/pivotTable10.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drawing" Target="../drawings/drawing3.xml"/><Relationship Id="rId4" Type="http://schemas.openxmlformats.org/officeDocument/2006/relationships/pivotTable" Target="../pivotTables/pivotTable17.xml"/><Relationship Id="rId9"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6.xml"/><Relationship Id="rId7" Type="http://schemas.microsoft.com/office/2007/relationships/slicer" Target="../slicers/slicer1.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pivotTable" Target="../pivotTables/pivotTable2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24D5-E5D4-43D1-8FFC-E6FEBFE27921}">
  <sheetPr codeName="Sheet1"/>
  <dimension ref="A1:J33"/>
  <sheetViews>
    <sheetView workbookViewId="0">
      <selection activeCell="L5" sqref="L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12</v>
      </c>
      <c r="B2">
        <v>2022</v>
      </c>
      <c r="C2" t="s">
        <v>10</v>
      </c>
      <c r="D2" t="s">
        <v>11</v>
      </c>
      <c r="E2">
        <v>0</v>
      </c>
      <c r="F2">
        <v>4533</v>
      </c>
      <c r="G2">
        <v>0</v>
      </c>
      <c r="H2">
        <v>86178</v>
      </c>
      <c r="I2">
        <v>3741</v>
      </c>
      <c r="J2">
        <v>7736</v>
      </c>
    </row>
    <row r="3" spans="1:10" x14ac:dyDescent="0.3">
      <c r="A3">
        <v>12</v>
      </c>
      <c r="B3">
        <v>2022</v>
      </c>
      <c r="C3" t="s">
        <v>10</v>
      </c>
      <c r="D3" t="s">
        <v>12</v>
      </c>
      <c r="E3">
        <v>0</v>
      </c>
      <c r="F3">
        <v>4524</v>
      </c>
      <c r="G3">
        <v>0</v>
      </c>
      <c r="H3">
        <v>85839</v>
      </c>
      <c r="I3">
        <v>3730</v>
      </c>
      <c r="J3">
        <v>7725</v>
      </c>
    </row>
    <row r="4" spans="1:10" x14ac:dyDescent="0.3">
      <c r="A4">
        <v>12</v>
      </c>
      <c r="B4">
        <v>2022</v>
      </c>
      <c r="C4" t="s">
        <v>13</v>
      </c>
      <c r="D4" t="s">
        <v>11</v>
      </c>
      <c r="E4">
        <v>103</v>
      </c>
      <c r="F4">
        <v>7746</v>
      </c>
      <c r="G4">
        <v>0</v>
      </c>
      <c r="H4">
        <v>69835</v>
      </c>
      <c r="I4">
        <v>3823</v>
      </c>
      <c r="J4">
        <v>11465</v>
      </c>
    </row>
    <row r="5" spans="1:10" x14ac:dyDescent="0.3">
      <c r="A5">
        <v>12</v>
      </c>
      <c r="B5">
        <v>2022</v>
      </c>
      <c r="C5" t="s">
        <v>13</v>
      </c>
      <c r="D5" t="s">
        <v>12</v>
      </c>
      <c r="E5">
        <v>101</v>
      </c>
      <c r="F5">
        <v>7688</v>
      </c>
      <c r="G5">
        <v>0</v>
      </c>
      <c r="H5">
        <v>69506</v>
      </c>
      <c r="I5">
        <v>3809</v>
      </c>
      <c r="J5">
        <v>11431</v>
      </c>
    </row>
    <row r="6" spans="1:10" x14ac:dyDescent="0.3">
      <c r="A6">
        <v>12</v>
      </c>
      <c r="B6">
        <v>2022</v>
      </c>
      <c r="C6" t="s">
        <v>14</v>
      </c>
      <c r="D6" t="s">
        <v>11</v>
      </c>
      <c r="E6">
        <v>0</v>
      </c>
      <c r="F6">
        <v>13060</v>
      </c>
      <c r="G6">
        <v>55</v>
      </c>
      <c r="H6">
        <v>89637</v>
      </c>
      <c r="I6">
        <v>2549</v>
      </c>
      <c r="J6">
        <v>5861</v>
      </c>
    </row>
    <row r="7" spans="1:10" x14ac:dyDescent="0.3">
      <c r="A7">
        <v>12</v>
      </c>
      <c r="B7">
        <v>2022</v>
      </c>
      <c r="C7" t="s">
        <v>14</v>
      </c>
      <c r="D7" t="s">
        <v>12</v>
      </c>
      <c r="E7">
        <v>0</v>
      </c>
      <c r="F7">
        <v>13025</v>
      </c>
      <c r="G7">
        <v>55</v>
      </c>
      <c r="H7">
        <v>89317</v>
      </c>
      <c r="I7">
        <v>2537</v>
      </c>
      <c r="J7">
        <v>5844</v>
      </c>
    </row>
    <row r="8" spans="1:10" x14ac:dyDescent="0.3">
      <c r="A8">
        <v>12</v>
      </c>
      <c r="B8">
        <v>2022</v>
      </c>
      <c r="C8" t="s">
        <v>15</v>
      </c>
      <c r="D8" t="s">
        <v>11</v>
      </c>
      <c r="E8">
        <v>0</v>
      </c>
      <c r="F8">
        <v>100216</v>
      </c>
      <c r="G8">
        <v>6420</v>
      </c>
      <c r="H8">
        <v>64953</v>
      </c>
      <c r="I8">
        <v>81</v>
      </c>
      <c r="J8">
        <v>6669</v>
      </c>
    </row>
    <row r="9" spans="1:10" x14ac:dyDescent="0.3">
      <c r="A9">
        <v>12</v>
      </c>
      <c r="B9">
        <v>2022</v>
      </c>
      <c r="C9" t="s">
        <v>15</v>
      </c>
      <c r="D9" t="s">
        <v>12</v>
      </c>
      <c r="E9">
        <v>0</v>
      </c>
      <c r="F9">
        <v>99566</v>
      </c>
      <c r="G9">
        <v>6393</v>
      </c>
      <c r="H9">
        <v>64774</v>
      </c>
      <c r="I9">
        <v>81</v>
      </c>
      <c r="J9">
        <v>6661</v>
      </c>
    </row>
    <row r="10" spans="1:10" x14ac:dyDescent="0.3">
      <c r="A10">
        <v>12</v>
      </c>
      <c r="B10">
        <v>2022</v>
      </c>
      <c r="C10" t="s">
        <v>16</v>
      </c>
      <c r="D10" t="s">
        <v>11</v>
      </c>
      <c r="E10">
        <v>0</v>
      </c>
      <c r="F10">
        <v>1535</v>
      </c>
      <c r="G10">
        <v>0</v>
      </c>
      <c r="H10">
        <v>22801</v>
      </c>
      <c r="I10">
        <v>1673</v>
      </c>
      <c r="J10">
        <v>4859</v>
      </c>
    </row>
    <row r="11" spans="1:10" x14ac:dyDescent="0.3">
      <c r="A11">
        <v>12</v>
      </c>
      <c r="B11">
        <v>2022</v>
      </c>
      <c r="C11" t="s">
        <v>16</v>
      </c>
      <c r="D11" t="s">
        <v>12</v>
      </c>
      <c r="E11">
        <v>0</v>
      </c>
      <c r="F11">
        <v>1534</v>
      </c>
      <c r="G11">
        <v>0</v>
      </c>
      <c r="H11">
        <v>22742</v>
      </c>
      <c r="I11">
        <v>1662</v>
      </c>
      <c r="J11">
        <v>4849</v>
      </c>
    </row>
    <row r="12" spans="1:10" x14ac:dyDescent="0.3">
      <c r="A12">
        <v>12</v>
      </c>
      <c r="B12">
        <v>2022</v>
      </c>
      <c r="C12" t="s">
        <v>17</v>
      </c>
      <c r="D12" t="s">
        <v>11</v>
      </c>
      <c r="E12">
        <v>0</v>
      </c>
      <c r="F12">
        <v>20672</v>
      </c>
      <c r="G12">
        <v>102</v>
      </c>
      <c r="H12">
        <v>20768</v>
      </c>
      <c r="I12">
        <v>4536</v>
      </c>
      <c r="J12">
        <v>6071</v>
      </c>
    </row>
    <row r="13" spans="1:10" x14ac:dyDescent="0.3">
      <c r="A13">
        <v>12</v>
      </c>
      <c r="B13">
        <v>2022</v>
      </c>
      <c r="C13" t="s">
        <v>17</v>
      </c>
      <c r="D13" t="s">
        <v>12</v>
      </c>
      <c r="E13">
        <v>0</v>
      </c>
      <c r="F13">
        <v>20518</v>
      </c>
      <c r="G13">
        <v>101</v>
      </c>
      <c r="H13">
        <v>20601</v>
      </c>
      <c r="I13">
        <v>4481</v>
      </c>
      <c r="J13">
        <v>6047</v>
      </c>
    </row>
    <row r="14" spans="1:10" x14ac:dyDescent="0.3">
      <c r="A14">
        <v>12</v>
      </c>
      <c r="B14">
        <v>2022</v>
      </c>
      <c r="C14" t="s">
        <v>18</v>
      </c>
      <c r="D14" t="s">
        <v>11</v>
      </c>
      <c r="E14">
        <v>38</v>
      </c>
      <c r="F14">
        <v>357</v>
      </c>
      <c r="G14">
        <v>0</v>
      </c>
      <c r="H14">
        <v>118675</v>
      </c>
      <c r="I14">
        <v>2231</v>
      </c>
      <c r="J14">
        <v>3615</v>
      </c>
    </row>
    <row r="15" spans="1:10" x14ac:dyDescent="0.3">
      <c r="A15">
        <v>12</v>
      </c>
      <c r="B15">
        <v>2022</v>
      </c>
      <c r="C15" t="s">
        <v>18</v>
      </c>
      <c r="D15" t="s">
        <v>12</v>
      </c>
      <c r="E15">
        <v>38</v>
      </c>
      <c r="F15">
        <v>357</v>
      </c>
      <c r="G15">
        <v>0</v>
      </c>
      <c r="H15">
        <v>118046</v>
      </c>
      <c r="I15">
        <v>2225</v>
      </c>
      <c r="J15">
        <v>3607</v>
      </c>
    </row>
    <row r="16" spans="1:10" x14ac:dyDescent="0.3">
      <c r="A16">
        <v>12</v>
      </c>
      <c r="B16">
        <v>2022</v>
      </c>
      <c r="C16" t="s">
        <v>19</v>
      </c>
      <c r="D16" t="s">
        <v>11</v>
      </c>
      <c r="E16">
        <v>93</v>
      </c>
      <c r="F16">
        <v>70</v>
      </c>
      <c r="G16">
        <v>0</v>
      </c>
      <c r="H16">
        <v>12262</v>
      </c>
      <c r="I16">
        <v>1901</v>
      </c>
      <c r="J16">
        <v>2363</v>
      </c>
    </row>
    <row r="17" spans="1:10" x14ac:dyDescent="0.3">
      <c r="A17">
        <v>12</v>
      </c>
      <c r="B17">
        <v>2022</v>
      </c>
      <c r="C17" t="s">
        <v>19</v>
      </c>
      <c r="D17" t="s">
        <v>12</v>
      </c>
      <c r="E17">
        <v>92</v>
      </c>
      <c r="F17">
        <v>70</v>
      </c>
      <c r="G17">
        <v>0</v>
      </c>
      <c r="H17">
        <v>12214</v>
      </c>
      <c r="I17">
        <v>1894</v>
      </c>
      <c r="J17">
        <v>2361</v>
      </c>
    </row>
    <row r="18" spans="1:10" x14ac:dyDescent="0.3">
      <c r="A18">
        <v>12</v>
      </c>
      <c r="B18">
        <v>2022</v>
      </c>
      <c r="C18" t="s">
        <v>20</v>
      </c>
      <c r="D18" t="s">
        <v>11</v>
      </c>
      <c r="E18">
        <v>0</v>
      </c>
      <c r="F18">
        <v>3180</v>
      </c>
      <c r="G18">
        <v>0</v>
      </c>
      <c r="H18">
        <v>60352</v>
      </c>
      <c r="I18">
        <v>3640</v>
      </c>
      <c r="J18">
        <v>7807</v>
      </c>
    </row>
    <row r="19" spans="1:10" x14ac:dyDescent="0.3">
      <c r="A19">
        <v>12</v>
      </c>
      <c r="B19">
        <v>2022</v>
      </c>
      <c r="C19" t="s">
        <v>20</v>
      </c>
      <c r="D19" t="s">
        <v>12</v>
      </c>
      <c r="E19">
        <v>0</v>
      </c>
      <c r="F19">
        <v>3138</v>
      </c>
      <c r="G19">
        <v>0</v>
      </c>
      <c r="H19">
        <v>60136</v>
      </c>
      <c r="I19">
        <v>3629</v>
      </c>
      <c r="J19">
        <v>7794</v>
      </c>
    </row>
    <row r="20" spans="1:10" x14ac:dyDescent="0.3">
      <c r="A20">
        <v>12</v>
      </c>
      <c r="B20">
        <v>2022</v>
      </c>
      <c r="C20" t="s">
        <v>21</v>
      </c>
      <c r="D20" t="s">
        <v>11</v>
      </c>
      <c r="E20">
        <v>0</v>
      </c>
      <c r="F20">
        <v>3565</v>
      </c>
      <c r="G20">
        <v>0</v>
      </c>
      <c r="H20">
        <v>67799</v>
      </c>
      <c r="I20">
        <v>1646</v>
      </c>
      <c r="J20">
        <v>6713</v>
      </c>
    </row>
    <row r="21" spans="1:10" x14ac:dyDescent="0.3">
      <c r="A21">
        <v>12</v>
      </c>
      <c r="B21">
        <v>2022</v>
      </c>
      <c r="C21" t="s">
        <v>21</v>
      </c>
      <c r="D21" t="s">
        <v>12</v>
      </c>
      <c r="E21">
        <v>0</v>
      </c>
      <c r="F21">
        <v>3552</v>
      </c>
      <c r="G21">
        <v>0</v>
      </c>
      <c r="H21">
        <v>67700</v>
      </c>
      <c r="I21">
        <v>1642</v>
      </c>
      <c r="J21">
        <v>6701</v>
      </c>
    </row>
    <row r="22" spans="1:10" x14ac:dyDescent="0.3">
      <c r="A22">
        <v>12</v>
      </c>
      <c r="B22">
        <v>2022</v>
      </c>
      <c r="C22" t="s">
        <v>22</v>
      </c>
      <c r="D22" t="s">
        <v>11</v>
      </c>
      <c r="E22">
        <v>0</v>
      </c>
      <c r="F22">
        <v>278</v>
      </c>
      <c r="G22">
        <v>921</v>
      </c>
      <c r="H22">
        <v>100688</v>
      </c>
      <c r="I22">
        <v>1069</v>
      </c>
      <c r="J22">
        <v>4480</v>
      </c>
    </row>
    <row r="23" spans="1:10" x14ac:dyDescent="0.3">
      <c r="A23">
        <v>12</v>
      </c>
      <c r="B23">
        <v>2022</v>
      </c>
      <c r="C23" t="s">
        <v>22</v>
      </c>
      <c r="D23" t="s">
        <v>12</v>
      </c>
      <c r="E23">
        <v>0</v>
      </c>
      <c r="F23">
        <v>272</v>
      </c>
      <c r="G23">
        <v>920</v>
      </c>
      <c r="H23">
        <v>99746</v>
      </c>
      <c r="I23">
        <v>1060</v>
      </c>
      <c r="J23">
        <v>4471</v>
      </c>
    </row>
    <row r="24" spans="1:10" x14ac:dyDescent="0.3">
      <c r="A24">
        <v>12</v>
      </c>
      <c r="B24">
        <v>2022</v>
      </c>
      <c r="C24" t="s">
        <v>23</v>
      </c>
      <c r="D24" t="s">
        <v>11</v>
      </c>
      <c r="E24">
        <v>0</v>
      </c>
      <c r="F24">
        <v>84</v>
      </c>
      <c r="G24">
        <v>0</v>
      </c>
      <c r="H24">
        <v>84716</v>
      </c>
      <c r="I24">
        <v>3714</v>
      </c>
      <c r="J24">
        <v>5409</v>
      </c>
    </row>
    <row r="25" spans="1:10" x14ac:dyDescent="0.3">
      <c r="A25">
        <v>12</v>
      </c>
      <c r="B25">
        <v>2022</v>
      </c>
      <c r="C25" t="s">
        <v>23</v>
      </c>
      <c r="D25" t="s">
        <v>12</v>
      </c>
      <c r="E25">
        <v>0</v>
      </c>
      <c r="F25">
        <v>83</v>
      </c>
      <c r="G25">
        <v>0</v>
      </c>
      <c r="H25">
        <v>83962</v>
      </c>
      <c r="I25">
        <v>3669</v>
      </c>
      <c r="J25">
        <v>5398</v>
      </c>
    </row>
    <row r="26" spans="1:10" x14ac:dyDescent="0.3">
      <c r="A26">
        <v>12</v>
      </c>
      <c r="B26">
        <v>2022</v>
      </c>
      <c r="C26" t="s">
        <v>24</v>
      </c>
      <c r="D26" t="s">
        <v>11</v>
      </c>
      <c r="E26">
        <v>0</v>
      </c>
      <c r="F26">
        <v>1336</v>
      </c>
      <c r="G26">
        <v>0</v>
      </c>
      <c r="H26">
        <v>131729</v>
      </c>
      <c r="I26">
        <v>3184</v>
      </c>
      <c r="J26">
        <v>8680</v>
      </c>
    </row>
    <row r="27" spans="1:10" x14ac:dyDescent="0.3">
      <c r="A27">
        <v>12</v>
      </c>
      <c r="B27">
        <v>2022</v>
      </c>
      <c r="C27" t="s">
        <v>24</v>
      </c>
      <c r="D27" t="s">
        <v>12</v>
      </c>
      <c r="E27">
        <v>0</v>
      </c>
      <c r="F27">
        <v>1272</v>
      </c>
      <c r="G27">
        <v>0</v>
      </c>
      <c r="H27">
        <v>130263</v>
      </c>
      <c r="I27">
        <v>3152</v>
      </c>
      <c r="J27">
        <v>8666</v>
      </c>
    </row>
    <row r="28" spans="1:10" x14ac:dyDescent="0.3">
      <c r="A28">
        <v>12</v>
      </c>
      <c r="B28">
        <v>2022</v>
      </c>
      <c r="C28" t="s">
        <v>25</v>
      </c>
      <c r="D28" t="s">
        <v>11</v>
      </c>
      <c r="E28">
        <v>0</v>
      </c>
      <c r="F28">
        <v>82</v>
      </c>
      <c r="G28">
        <v>0</v>
      </c>
      <c r="H28">
        <v>33500</v>
      </c>
      <c r="I28">
        <v>973</v>
      </c>
      <c r="J28">
        <v>3666</v>
      </c>
    </row>
    <row r="29" spans="1:10" x14ac:dyDescent="0.3">
      <c r="A29">
        <v>12</v>
      </c>
      <c r="B29">
        <v>2022</v>
      </c>
      <c r="C29" t="s">
        <v>25</v>
      </c>
      <c r="D29" t="s">
        <v>12</v>
      </c>
      <c r="E29">
        <v>0</v>
      </c>
      <c r="F29">
        <v>82</v>
      </c>
      <c r="G29">
        <v>0</v>
      </c>
      <c r="H29">
        <v>33462</v>
      </c>
      <c r="I29">
        <v>972</v>
      </c>
      <c r="J29">
        <v>3661</v>
      </c>
    </row>
    <row r="30" spans="1:10" x14ac:dyDescent="0.3">
      <c r="A30">
        <v>12</v>
      </c>
      <c r="B30">
        <v>2022</v>
      </c>
      <c r="C30" t="s">
        <v>26</v>
      </c>
      <c r="D30" t="s">
        <v>11</v>
      </c>
      <c r="E30">
        <v>164</v>
      </c>
      <c r="F30">
        <v>1555</v>
      </c>
      <c r="G30">
        <v>22</v>
      </c>
      <c r="H30">
        <v>62473</v>
      </c>
      <c r="I30">
        <v>1120</v>
      </c>
      <c r="J30">
        <v>4312</v>
      </c>
    </row>
    <row r="31" spans="1:10" x14ac:dyDescent="0.3">
      <c r="A31">
        <v>12</v>
      </c>
      <c r="B31">
        <v>2022</v>
      </c>
      <c r="C31" t="s">
        <v>26</v>
      </c>
      <c r="D31" t="s">
        <v>12</v>
      </c>
      <c r="E31">
        <v>162</v>
      </c>
      <c r="F31">
        <v>1552</v>
      </c>
      <c r="G31">
        <v>22</v>
      </c>
      <c r="H31">
        <v>62094</v>
      </c>
      <c r="I31">
        <v>1117</v>
      </c>
      <c r="J31">
        <v>4307</v>
      </c>
    </row>
    <row r="32" spans="1:10" x14ac:dyDescent="0.3">
      <c r="A32">
        <v>12</v>
      </c>
      <c r="B32">
        <v>2022</v>
      </c>
      <c r="C32" t="s">
        <v>27</v>
      </c>
      <c r="D32" t="s">
        <v>11</v>
      </c>
      <c r="E32">
        <v>0</v>
      </c>
      <c r="F32">
        <v>69504</v>
      </c>
      <c r="G32">
        <v>7775</v>
      </c>
      <c r="H32">
        <v>40461</v>
      </c>
      <c r="I32">
        <v>65</v>
      </c>
      <c r="J32">
        <v>2872</v>
      </c>
    </row>
    <row r="33" spans="1:10" x14ac:dyDescent="0.3">
      <c r="A33">
        <v>12</v>
      </c>
      <c r="B33">
        <v>2022</v>
      </c>
      <c r="C33" t="s">
        <v>27</v>
      </c>
      <c r="D33" t="s">
        <v>12</v>
      </c>
      <c r="E33">
        <v>0</v>
      </c>
      <c r="F33">
        <v>69109</v>
      </c>
      <c r="G33">
        <v>7743</v>
      </c>
      <c r="H33">
        <v>40291</v>
      </c>
      <c r="I33">
        <v>65</v>
      </c>
      <c r="J33">
        <v>2872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12485-6C67-4B8E-A80B-557FBA53FFB6}">
  <sheetPr codeName="Sheet2"/>
  <dimension ref="A1:J33"/>
  <sheetViews>
    <sheetView workbookViewId="0">
      <pane ySplit="1" topLeftCell="A17" activePane="bottomLeft" state="frozen"/>
      <selection pane="bottomLeft" activeCell="D12" sqref="D12"/>
    </sheetView>
  </sheetViews>
  <sheetFormatPr defaultRowHeight="14.4" x14ac:dyDescent="0.3"/>
  <cols>
    <col min="7" max="7" width="13" customWidth="1"/>
    <col min="8" max="8" width="14.88671875" customWidth="1"/>
  </cols>
  <sheetData>
    <row r="1" spans="1:10" x14ac:dyDescent="0.3">
      <c r="A1" t="s">
        <v>0</v>
      </c>
      <c r="B1" t="s">
        <v>1</v>
      </c>
      <c r="C1" t="s">
        <v>2</v>
      </c>
      <c r="D1" t="s">
        <v>3</v>
      </c>
      <c r="E1" t="s">
        <v>4</v>
      </c>
      <c r="F1" t="s">
        <v>5</v>
      </c>
      <c r="G1" t="s">
        <v>6</v>
      </c>
      <c r="H1" t="s">
        <v>7</v>
      </c>
      <c r="I1" t="s">
        <v>8</v>
      </c>
      <c r="J1" t="s">
        <v>9</v>
      </c>
    </row>
    <row r="2" spans="1:10" x14ac:dyDescent="0.3">
      <c r="A2">
        <v>12</v>
      </c>
      <c r="B2">
        <v>2022</v>
      </c>
      <c r="C2" t="s">
        <v>10</v>
      </c>
      <c r="D2" t="s">
        <v>11</v>
      </c>
      <c r="E2">
        <v>0</v>
      </c>
      <c r="F2">
        <v>4533</v>
      </c>
      <c r="G2">
        <v>0</v>
      </c>
      <c r="H2">
        <v>86178</v>
      </c>
      <c r="I2">
        <v>3741</v>
      </c>
      <c r="J2">
        <v>7736</v>
      </c>
    </row>
    <row r="3" spans="1:10" x14ac:dyDescent="0.3">
      <c r="A3">
        <v>12</v>
      </c>
      <c r="B3">
        <v>2022</v>
      </c>
      <c r="C3" t="s">
        <v>10</v>
      </c>
      <c r="D3" t="s">
        <v>12</v>
      </c>
      <c r="E3">
        <v>0</v>
      </c>
      <c r="F3">
        <v>4524</v>
      </c>
      <c r="G3">
        <v>0</v>
      </c>
      <c r="H3">
        <v>85839</v>
      </c>
      <c r="I3">
        <v>3730</v>
      </c>
      <c r="J3">
        <v>7725</v>
      </c>
    </row>
    <row r="4" spans="1:10" x14ac:dyDescent="0.3">
      <c r="A4">
        <v>12</v>
      </c>
      <c r="B4">
        <v>2022</v>
      </c>
      <c r="C4" t="s">
        <v>13</v>
      </c>
      <c r="D4" t="s">
        <v>11</v>
      </c>
      <c r="E4">
        <v>103</v>
      </c>
      <c r="F4">
        <v>7746</v>
      </c>
      <c r="G4">
        <v>0</v>
      </c>
      <c r="H4">
        <v>69835</v>
      </c>
      <c r="I4">
        <v>3823</v>
      </c>
      <c r="J4">
        <v>11465</v>
      </c>
    </row>
    <row r="5" spans="1:10" x14ac:dyDescent="0.3">
      <c r="A5">
        <v>12</v>
      </c>
      <c r="B5">
        <v>2022</v>
      </c>
      <c r="C5" t="s">
        <v>13</v>
      </c>
      <c r="D5" t="s">
        <v>12</v>
      </c>
      <c r="E5">
        <v>101</v>
      </c>
      <c r="F5">
        <v>7688</v>
      </c>
      <c r="G5">
        <v>0</v>
      </c>
      <c r="H5">
        <v>69506</v>
      </c>
      <c r="I5">
        <v>3809</v>
      </c>
      <c r="J5">
        <v>11431</v>
      </c>
    </row>
    <row r="6" spans="1:10" x14ac:dyDescent="0.3">
      <c r="A6">
        <v>12</v>
      </c>
      <c r="B6">
        <v>2022</v>
      </c>
      <c r="C6" t="s">
        <v>14</v>
      </c>
      <c r="D6" t="s">
        <v>11</v>
      </c>
      <c r="E6">
        <v>0</v>
      </c>
      <c r="F6">
        <v>13060</v>
      </c>
      <c r="G6">
        <v>55</v>
      </c>
      <c r="H6">
        <v>89637</v>
      </c>
      <c r="I6">
        <v>2549</v>
      </c>
      <c r="J6">
        <v>5861</v>
      </c>
    </row>
    <row r="7" spans="1:10" x14ac:dyDescent="0.3">
      <c r="A7">
        <v>12</v>
      </c>
      <c r="B7">
        <v>2022</v>
      </c>
      <c r="C7" t="s">
        <v>14</v>
      </c>
      <c r="D7" t="s">
        <v>12</v>
      </c>
      <c r="E7">
        <v>0</v>
      </c>
      <c r="F7">
        <v>13025</v>
      </c>
      <c r="G7">
        <v>55</v>
      </c>
      <c r="H7">
        <v>89317</v>
      </c>
      <c r="I7">
        <v>2537</v>
      </c>
      <c r="J7">
        <v>5844</v>
      </c>
    </row>
    <row r="8" spans="1:10" x14ac:dyDescent="0.3">
      <c r="A8">
        <v>12</v>
      </c>
      <c r="B8">
        <v>2022</v>
      </c>
      <c r="C8" t="s">
        <v>15</v>
      </c>
      <c r="D8" t="s">
        <v>11</v>
      </c>
      <c r="E8">
        <v>0</v>
      </c>
      <c r="F8">
        <v>100216</v>
      </c>
      <c r="G8">
        <v>6420</v>
      </c>
      <c r="H8">
        <v>64953</v>
      </c>
      <c r="I8">
        <v>81</v>
      </c>
      <c r="J8">
        <v>6669</v>
      </c>
    </row>
    <row r="9" spans="1:10" x14ac:dyDescent="0.3">
      <c r="A9">
        <v>12</v>
      </c>
      <c r="B9">
        <v>2022</v>
      </c>
      <c r="C9" t="s">
        <v>15</v>
      </c>
      <c r="D9" t="s">
        <v>12</v>
      </c>
      <c r="E9">
        <v>0</v>
      </c>
      <c r="F9">
        <v>99566</v>
      </c>
      <c r="G9">
        <v>6393</v>
      </c>
      <c r="H9">
        <v>64774</v>
      </c>
      <c r="I9">
        <v>81</v>
      </c>
      <c r="J9">
        <v>6661</v>
      </c>
    </row>
    <row r="10" spans="1:10" x14ac:dyDescent="0.3">
      <c r="A10">
        <v>12</v>
      </c>
      <c r="B10">
        <v>2022</v>
      </c>
      <c r="C10" t="s">
        <v>16</v>
      </c>
      <c r="D10" t="s">
        <v>11</v>
      </c>
      <c r="E10">
        <v>0</v>
      </c>
      <c r="F10">
        <v>1535</v>
      </c>
      <c r="G10">
        <v>0</v>
      </c>
      <c r="H10">
        <v>22801</v>
      </c>
      <c r="I10">
        <v>1673</v>
      </c>
      <c r="J10">
        <v>4859</v>
      </c>
    </row>
    <row r="11" spans="1:10" x14ac:dyDescent="0.3">
      <c r="A11">
        <v>12</v>
      </c>
      <c r="B11">
        <v>2022</v>
      </c>
      <c r="C11" t="s">
        <v>16</v>
      </c>
      <c r="D11" t="s">
        <v>12</v>
      </c>
      <c r="E11">
        <v>0</v>
      </c>
      <c r="F11">
        <v>1534</v>
      </c>
      <c r="G11">
        <v>0</v>
      </c>
      <c r="H11">
        <v>22742</v>
      </c>
      <c r="I11">
        <v>1662</v>
      </c>
      <c r="J11">
        <v>4849</v>
      </c>
    </row>
    <row r="12" spans="1:10" x14ac:dyDescent="0.3">
      <c r="A12">
        <v>12</v>
      </c>
      <c r="B12">
        <v>2022</v>
      </c>
      <c r="C12" t="s">
        <v>17</v>
      </c>
      <c r="D12" t="s">
        <v>11</v>
      </c>
      <c r="E12">
        <v>0</v>
      </c>
      <c r="F12">
        <v>20672</v>
      </c>
      <c r="G12">
        <v>102</v>
      </c>
      <c r="H12">
        <v>20768</v>
      </c>
      <c r="I12">
        <v>4536</v>
      </c>
      <c r="J12">
        <v>6071</v>
      </c>
    </row>
    <row r="13" spans="1:10" x14ac:dyDescent="0.3">
      <c r="A13">
        <v>12</v>
      </c>
      <c r="B13">
        <v>2022</v>
      </c>
      <c r="C13" t="s">
        <v>17</v>
      </c>
      <c r="D13" t="s">
        <v>12</v>
      </c>
      <c r="E13">
        <v>0</v>
      </c>
      <c r="F13">
        <v>20518</v>
      </c>
      <c r="G13">
        <v>101</v>
      </c>
      <c r="H13">
        <v>20601</v>
      </c>
      <c r="I13">
        <v>4481</v>
      </c>
      <c r="J13">
        <v>6047</v>
      </c>
    </row>
    <row r="14" spans="1:10" x14ac:dyDescent="0.3">
      <c r="A14">
        <v>12</v>
      </c>
      <c r="B14">
        <v>2022</v>
      </c>
      <c r="C14" t="s">
        <v>18</v>
      </c>
      <c r="D14" t="s">
        <v>11</v>
      </c>
      <c r="E14">
        <v>38</v>
      </c>
      <c r="F14">
        <v>357</v>
      </c>
      <c r="G14">
        <v>0</v>
      </c>
      <c r="H14">
        <v>118675</v>
      </c>
      <c r="I14">
        <v>2231</v>
      </c>
      <c r="J14">
        <v>3615</v>
      </c>
    </row>
    <row r="15" spans="1:10" x14ac:dyDescent="0.3">
      <c r="A15">
        <v>12</v>
      </c>
      <c r="B15">
        <v>2022</v>
      </c>
      <c r="C15" t="s">
        <v>18</v>
      </c>
      <c r="D15" t="s">
        <v>12</v>
      </c>
      <c r="E15">
        <v>38</v>
      </c>
      <c r="F15">
        <v>357</v>
      </c>
      <c r="G15">
        <v>0</v>
      </c>
      <c r="H15">
        <v>118046</v>
      </c>
      <c r="I15">
        <v>2225</v>
      </c>
      <c r="J15">
        <v>3607</v>
      </c>
    </row>
    <row r="16" spans="1:10" x14ac:dyDescent="0.3">
      <c r="A16">
        <v>12</v>
      </c>
      <c r="B16">
        <v>2022</v>
      </c>
      <c r="C16" t="s">
        <v>19</v>
      </c>
      <c r="D16" t="s">
        <v>11</v>
      </c>
      <c r="E16">
        <v>93</v>
      </c>
      <c r="F16">
        <v>70</v>
      </c>
      <c r="G16">
        <v>0</v>
      </c>
      <c r="H16">
        <v>12262</v>
      </c>
      <c r="I16">
        <v>1901</v>
      </c>
      <c r="J16">
        <v>2363</v>
      </c>
    </row>
    <row r="17" spans="1:10" x14ac:dyDescent="0.3">
      <c r="A17">
        <v>12</v>
      </c>
      <c r="B17">
        <v>2022</v>
      </c>
      <c r="C17" t="s">
        <v>19</v>
      </c>
      <c r="D17" t="s">
        <v>12</v>
      </c>
      <c r="E17">
        <v>92</v>
      </c>
      <c r="F17">
        <v>70</v>
      </c>
      <c r="G17">
        <v>0</v>
      </c>
      <c r="H17">
        <v>12214</v>
      </c>
      <c r="I17">
        <v>1894</v>
      </c>
      <c r="J17">
        <v>2361</v>
      </c>
    </row>
    <row r="18" spans="1:10" x14ac:dyDescent="0.3">
      <c r="A18">
        <v>12</v>
      </c>
      <c r="B18">
        <v>2022</v>
      </c>
      <c r="C18" t="s">
        <v>20</v>
      </c>
      <c r="D18" t="s">
        <v>11</v>
      </c>
      <c r="E18">
        <v>0</v>
      </c>
      <c r="F18">
        <v>3180</v>
      </c>
      <c r="G18">
        <v>0</v>
      </c>
      <c r="H18">
        <v>60352</v>
      </c>
      <c r="I18">
        <v>3640</v>
      </c>
      <c r="J18">
        <v>7807</v>
      </c>
    </row>
    <row r="19" spans="1:10" x14ac:dyDescent="0.3">
      <c r="A19">
        <v>12</v>
      </c>
      <c r="B19">
        <v>2022</v>
      </c>
      <c r="C19" t="s">
        <v>20</v>
      </c>
      <c r="D19" t="s">
        <v>12</v>
      </c>
      <c r="E19">
        <v>0</v>
      </c>
      <c r="F19">
        <v>3138</v>
      </c>
      <c r="G19">
        <v>0</v>
      </c>
      <c r="H19">
        <v>60136</v>
      </c>
      <c r="I19">
        <v>3629</v>
      </c>
      <c r="J19">
        <v>7794</v>
      </c>
    </row>
    <row r="20" spans="1:10" x14ac:dyDescent="0.3">
      <c r="A20">
        <v>12</v>
      </c>
      <c r="B20">
        <v>2022</v>
      </c>
      <c r="C20" t="s">
        <v>21</v>
      </c>
      <c r="D20" t="s">
        <v>11</v>
      </c>
      <c r="E20">
        <v>0</v>
      </c>
      <c r="F20">
        <v>3565</v>
      </c>
      <c r="G20">
        <v>0</v>
      </c>
      <c r="H20">
        <v>67799</v>
      </c>
      <c r="I20">
        <v>1646</v>
      </c>
      <c r="J20">
        <v>6713</v>
      </c>
    </row>
    <row r="21" spans="1:10" x14ac:dyDescent="0.3">
      <c r="A21">
        <v>12</v>
      </c>
      <c r="B21">
        <v>2022</v>
      </c>
      <c r="C21" t="s">
        <v>21</v>
      </c>
      <c r="D21" t="s">
        <v>12</v>
      </c>
      <c r="E21">
        <v>0</v>
      </c>
      <c r="F21">
        <v>3552</v>
      </c>
      <c r="G21">
        <v>0</v>
      </c>
      <c r="H21">
        <v>67700</v>
      </c>
      <c r="I21">
        <v>1642</v>
      </c>
      <c r="J21">
        <v>6701</v>
      </c>
    </row>
    <row r="22" spans="1:10" x14ac:dyDescent="0.3">
      <c r="A22">
        <v>12</v>
      </c>
      <c r="B22">
        <v>2022</v>
      </c>
      <c r="C22" t="s">
        <v>22</v>
      </c>
      <c r="D22" t="s">
        <v>11</v>
      </c>
      <c r="E22">
        <v>0</v>
      </c>
      <c r="F22">
        <v>278</v>
      </c>
      <c r="G22">
        <v>921</v>
      </c>
      <c r="H22">
        <v>100688</v>
      </c>
      <c r="I22">
        <v>1069</v>
      </c>
      <c r="J22">
        <v>4480</v>
      </c>
    </row>
    <row r="23" spans="1:10" x14ac:dyDescent="0.3">
      <c r="A23">
        <v>12</v>
      </c>
      <c r="B23">
        <v>2022</v>
      </c>
      <c r="C23" t="s">
        <v>22</v>
      </c>
      <c r="D23" t="s">
        <v>12</v>
      </c>
      <c r="E23">
        <v>0</v>
      </c>
      <c r="F23">
        <v>272</v>
      </c>
      <c r="G23">
        <v>920</v>
      </c>
      <c r="H23">
        <v>99746</v>
      </c>
      <c r="I23">
        <v>1060</v>
      </c>
      <c r="J23">
        <v>4471</v>
      </c>
    </row>
    <row r="24" spans="1:10" x14ac:dyDescent="0.3">
      <c r="A24">
        <v>12</v>
      </c>
      <c r="B24">
        <v>2022</v>
      </c>
      <c r="C24" t="s">
        <v>23</v>
      </c>
      <c r="D24" t="s">
        <v>11</v>
      </c>
      <c r="E24">
        <v>0</v>
      </c>
      <c r="F24">
        <v>84</v>
      </c>
      <c r="G24">
        <v>0</v>
      </c>
      <c r="H24">
        <v>84716</v>
      </c>
      <c r="I24">
        <v>3714</v>
      </c>
      <c r="J24">
        <v>5409</v>
      </c>
    </row>
    <row r="25" spans="1:10" x14ac:dyDescent="0.3">
      <c r="A25">
        <v>12</v>
      </c>
      <c r="B25">
        <v>2022</v>
      </c>
      <c r="C25" t="s">
        <v>23</v>
      </c>
      <c r="D25" t="s">
        <v>12</v>
      </c>
      <c r="E25">
        <v>0</v>
      </c>
      <c r="F25">
        <v>83</v>
      </c>
      <c r="G25">
        <v>0</v>
      </c>
      <c r="H25">
        <v>83962</v>
      </c>
      <c r="I25">
        <v>3669</v>
      </c>
      <c r="J25">
        <v>5398</v>
      </c>
    </row>
    <row r="26" spans="1:10" x14ac:dyDescent="0.3">
      <c r="A26">
        <v>12</v>
      </c>
      <c r="B26">
        <v>2022</v>
      </c>
      <c r="C26" t="s">
        <v>24</v>
      </c>
      <c r="D26" t="s">
        <v>11</v>
      </c>
      <c r="E26">
        <v>0</v>
      </c>
      <c r="F26">
        <v>1336</v>
      </c>
      <c r="G26">
        <v>0</v>
      </c>
      <c r="H26">
        <v>131729</v>
      </c>
      <c r="I26">
        <v>3184</v>
      </c>
      <c r="J26">
        <v>8680</v>
      </c>
    </row>
    <row r="27" spans="1:10" x14ac:dyDescent="0.3">
      <c r="A27">
        <v>12</v>
      </c>
      <c r="B27">
        <v>2022</v>
      </c>
      <c r="C27" t="s">
        <v>24</v>
      </c>
      <c r="D27" t="s">
        <v>12</v>
      </c>
      <c r="E27">
        <v>0</v>
      </c>
      <c r="F27">
        <v>1272</v>
      </c>
      <c r="G27">
        <v>0</v>
      </c>
      <c r="H27">
        <v>130263</v>
      </c>
      <c r="I27">
        <v>3152</v>
      </c>
      <c r="J27">
        <v>8666</v>
      </c>
    </row>
    <row r="28" spans="1:10" x14ac:dyDescent="0.3">
      <c r="A28">
        <v>12</v>
      </c>
      <c r="B28">
        <v>2022</v>
      </c>
      <c r="C28" t="s">
        <v>25</v>
      </c>
      <c r="D28" t="s">
        <v>11</v>
      </c>
      <c r="E28">
        <v>0</v>
      </c>
      <c r="F28">
        <v>82</v>
      </c>
      <c r="G28">
        <v>0</v>
      </c>
      <c r="H28">
        <v>33500</v>
      </c>
      <c r="I28">
        <v>973</v>
      </c>
      <c r="J28">
        <v>3666</v>
      </c>
    </row>
    <row r="29" spans="1:10" x14ac:dyDescent="0.3">
      <c r="A29">
        <v>12</v>
      </c>
      <c r="B29">
        <v>2022</v>
      </c>
      <c r="C29" t="s">
        <v>25</v>
      </c>
      <c r="D29" t="s">
        <v>12</v>
      </c>
      <c r="E29">
        <v>0</v>
      </c>
      <c r="F29">
        <v>82</v>
      </c>
      <c r="G29">
        <v>0</v>
      </c>
      <c r="H29">
        <v>33462</v>
      </c>
      <c r="I29">
        <v>972</v>
      </c>
      <c r="J29">
        <v>3661</v>
      </c>
    </row>
    <row r="30" spans="1:10" x14ac:dyDescent="0.3">
      <c r="A30">
        <v>12</v>
      </c>
      <c r="B30">
        <v>2022</v>
      </c>
      <c r="C30" t="s">
        <v>26</v>
      </c>
      <c r="D30" t="s">
        <v>11</v>
      </c>
      <c r="E30">
        <v>164</v>
      </c>
      <c r="F30">
        <v>1555</v>
      </c>
      <c r="G30">
        <v>22</v>
      </c>
      <c r="H30">
        <v>62473</v>
      </c>
      <c r="I30">
        <v>1120</v>
      </c>
      <c r="J30">
        <v>4312</v>
      </c>
    </row>
    <row r="31" spans="1:10" x14ac:dyDescent="0.3">
      <c r="A31">
        <v>12</v>
      </c>
      <c r="B31">
        <v>2022</v>
      </c>
      <c r="C31" t="s">
        <v>26</v>
      </c>
      <c r="D31" t="s">
        <v>12</v>
      </c>
      <c r="E31">
        <v>162</v>
      </c>
      <c r="F31">
        <v>1552</v>
      </c>
      <c r="G31">
        <v>22</v>
      </c>
      <c r="H31">
        <v>62094</v>
      </c>
      <c r="I31">
        <v>1117</v>
      </c>
      <c r="J31">
        <v>4307</v>
      </c>
    </row>
    <row r="32" spans="1:10" x14ac:dyDescent="0.3">
      <c r="A32">
        <v>12</v>
      </c>
      <c r="B32">
        <v>2022</v>
      </c>
      <c r="C32" t="s">
        <v>27</v>
      </c>
      <c r="D32" t="s">
        <v>11</v>
      </c>
      <c r="E32">
        <v>0</v>
      </c>
      <c r="F32">
        <v>69504</v>
      </c>
      <c r="G32">
        <v>7775</v>
      </c>
      <c r="H32">
        <v>40461</v>
      </c>
      <c r="I32">
        <v>65</v>
      </c>
      <c r="J32">
        <v>2872</v>
      </c>
    </row>
    <row r="33" spans="1:10" x14ac:dyDescent="0.3">
      <c r="A33">
        <v>12</v>
      </c>
      <c r="B33">
        <v>2022</v>
      </c>
      <c r="C33" t="s">
        <v>27</v>
      </c>
      <c r="D33" t="s">
        <v>12</v>
      </c>
      <c r="E33">
        <v>0</v>
      </c>
      <c r="F33">
        <v>69109</v>
      </c>
      <c r="G33">
        <v>7743</v>
      </c>
      <c r="H33">
        <v>40291</v>
      </c>
      <c r="I33">
        <v>65</v>
      </c>
      <c r="J33">
        <v>2872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A8B1-BB18-43EB-BABF-9C48901D86B4}">
  <sheetPr codeName="Sheet3"/>
  <dimension ref="A1:O97"/>
  <sheetViews>
    <sheetView topLeftCell="E1" workbookViewId="0">
      <pane ySplit="1" topLeftCell="A2" activePane="bottomLeft" state="frozen"/>
      <selection activeCell="C1" sqref="C1"/>
      <selection pane="bottomLeft" activeCell="E12" sqref="E12"/>
    </sheetView>
  </sheetViews>
  <sheetFormatPr defaultRowHeight="14.4" x14ac:dyDescent="0.3"/>
  <cols>
    <col min="1" max="1" width="7.77734375" bestFit="1" customWidth="1"/>
    <col min="2" max="2" width="6.88671875" bestFit="1" customWidth="1"/>
    <col min="3" max="3" width="12" bestFit="1" customWidth="1"/>
    <col min="4" max="4" width="13.109375" bestFit="1" customWidth="1"/>
    <col min="5" max="5" width="12.109375" bestFit="1" customWidth="1"/>
    <col min="6" max="6" width="11.33203125" bestFit="1" customWidth="1"/>
    <col min="7" max="7" width="17.33203125" bestFit="1" customWidth="1"/>
    <col min="8" max="8" width="14.33203125" bestFit="1" customWidth="1"/>
    <col min="9" max="9" width="14" bestFit="1" customWidth="1"/>
    <col min="10" max="10" width="13.109375" bestFit="1" customWidth="1"/>
    <col min="11" max="11" width="12.44140625" bestFit="1" customWidth="1"/>
    <col min="12" max="12" width="22.5546875" bestFit="1" customWidth="1"/>
    <col min="13" max="13" width="21.77734375" bestFit="1" customWidth="1"/>
    <col min="14" max="14" width="12.88671875" bestFit="1" customWidth="1"/>
    <col min="15" max="15" width="30" bestFit="1" customWidth="1"/>
  </cols>
  <sheetData>
    <row r="1" spans="1:15" x14ac:dyDescent="0.3">
      <c r="A1" t="s">
        <v>0</v>
      </c>
      <c r="B1" t="s">
        <v>1</v>
      </c>
      <c r="C1" t="s">
        <v>28</v>
      </c>
      <c r="D1" t="s">
        <v>29</v>
      </c>
      <c r="E1" t="s">
        <v>30</v>
      </c>
      <c r="F1" t="s">
        <v>31</v>
      </c>
      <c r="G1" t="s">
        <v>37</v>
      </c>
      <c r="H1" t="s">
        <v>38</v>
      </c>
      <c r="I1" t="s">
        <v>39</v>
      </c>
      <c r="J1" t="s">
        <v>40</v>
      </c>
      <c r="K1" t="s">
        <v>41</v>
      </c>
      <c r="L1" t="s">
        <v>42</v>
      </c>
      <c r="M1" t="s">
        <v>43</v>
      </c>
      <c r="N1" t="s">
        <v>44</v>
      </c>
      <c r="O1" t="s">
        <v>58</v>
      </c>
    </row>
    <row r="2" spans="1:15" x14ac:dyDescent="0.3">
      <c r="A2">
        <v>12</v>
      </c>
      <c r="B2">
        <v>2022</v>
      </c>
      <c r="C2" t="s">
        <v>10</v>
      </c>
      <c r="D2" t="s">
        <v>4</v>
      </c>
      <c r="E2">
        <v>0</v>
      </c>
      <c r="F2">
        <v>0</v>
      </c>
      <c r="I2" t="s">
        <v>32</v>
      </c>
      <c r="J2" t="s">
        <v>32</v>
      </c>
      <c r="K2" t="s">
        <v>45</v>
      </c>
      <c r="L2" t="s">
        <v>32</v>
      </c>
      <c r="M2" t="s">
        <v>46</v>
      </c>
      <c r="N2" t="s">
        <v>47</v>
      </c>
      <c r="O2" t="s">
        <v>59</v>
      </c>
    </row>
    <row r="3" spans="1:15" x14ac:dyDescent="0.3">
      <c r="A3">
        <v>12</v>
      </c>
      <c r="B3">
        <v>2022</v>
      </c>
      <c r="C3" t="s">
        <v>10</v>
      </c>
      <c r="D3" t="s">
        <v>5</v>
      </c>
      <c r="E3">
        <v>4533</v>
      </c>
      <c r="F3">
        <v>4524</v>
      </c>
      <c r="G3">
        <v>0.99801455989410981</v>
      </c>
      <c r="H3">
        <v>1.9854401058901389E-3</v>
      </c>
      <c r="I3" t="s">
        <v>48</v>
      </c>
      <c r="J3" t="s">
        <v>49</v>
      </c>
      <c r="K3" t="s">
        <v>49</v>
      </c>
      <c r="L3" t="s">
        <v>50</v>
      </c>
      <c r="M3" t="s">
        <v>51</v>
      </c>
      <c r="N3" t="s">
        <v>52</v>
      </c>
      <c r="O3" t="s">
        <v>60</v>
      </c>
    </row>
    <row r="4" spans="1:15" x14ac:dyDescent="0.3">
      <c r="A4">
        <v>12</v>
      </c>
      <c r="B4">
        <v>2022</v>
      </c>
      <c r="C4" t="s">
        <v>10</v>
      </c>
      <c r="D4" t="s">
        <v>6</v>
      </c>
      <c r="E4">
        <v>0</v>
      </c>
      <c r="F4">
        <v>0</v>
      </c>
      <c r="I4" t="s">
        <v>32</v>
      </c>
      <c r="J4" t="s">
        <v>32</v>
      </c>
      <c r="K4" t="s">
        <v>45</v>
      </c>
      <c r="L4" t="s">
        <v>32</v>
      </c>
      <c r="M4" t="s">
        <v>46</v>
      </c>
      <c r="N4" t="s">
        <v>47</v>
      </c>
      <c r="O4" t="s">
        <v>61</v>
      </c>
    </row>
    <row r="5" spans="1:15" x14ac:dyDescent="0.3">
      <c r="A5">
        <v>12</v>
      </c>
      <c r="B5">
        <v>2022</v>
      </c>
      <c r="C5" t="s">
        <v>10</v>
      </c>
      <c r="D5" t="s">
        <v>7</v>
      </c>
      <c r="E5">
        <v>86178</v>
      </c>
      <c r="F5">
        <v>85839</v>
      </c>
      <c r="G5">
        <v>0.99606628141753117</v>
      </c>
      <c r="H5">
        <v>3.9337185824688432E-3</v>
      </c>
      <c r="I5" t="s">
        <v>48</v>
      </c>
      <c r="J5" t="s">
        <v>49</v>
      </c>
      <c r="K5" t="s">
        <v>49</v>
      </c>
      <c r="L5" t="s">
        <v>50</v>
      </c>
      <c r="M5" t="s">
        <v>51</v>
      </c>
      <c r="N5" t="s">
        <v>52</v>
      </c>
      <c r="O5" t="s">
        <v>62</v>
      </c>
    </row>
    <row r="6" spans="1:15" x14ac:dyDescent="0.3">
      <c r="A6">
        <v>12</v>
      </c>
      <c r="B6">
        <v>2022</v>
      </c>
      <c r="C6" t="s">
        <v>10</v>
      </c>
      <c r="D6" t="s">
        <v>8</v>
      </c>
      <c r="E6">
        <v>3741</v>
      </c>
      <c r="F6">
        <v>3730</v>
      </c>
      <c r="G6">
        <v>0.99705960973001873</v>
      </c>
      <c r="H6">
        <v>2.9403902699812884E-3</v>
      </c>
      <c r="I6" t="s">
        <v>48</v>
      </c>
      <c r="J6" t="s">
        <v>49</v>
      </c>
      <c r="K6" t="s">
        <v>49</v>
      </c>
      <c r="L6" t="s">
        <v>50</v>
      </c>
      <c r="M6" t="s">
        <v>51</v>
      </c>
      <c r="N6" t="s">
        <v>52</v>
      </c>
      <c r="O6" t="s">
        <v>63</v>
      </c>
    </row>
    <row r="7" spans="1:15" x14ac:dyDescent="0.3">
      <c r="A7">
        <v>12</v>
      </c>
      <c r="B7">
        <v>2022</v>
      </c>
      <c r="C7" t="s">
        <v>10</v>
      </c>
      <c r="D7" t="s">
        <v>9</v>
      </c>
      <c r="E7">
        <v>7736</v>
      </c>
      <c r="F7">
        <v>7725</v>
      </c>
      <c r="G7">
        <v>0.99857807652533614</v>
      </c>
      <c r="H7">
        <v>1.4219234746639089E-3</v>
      </c>
      <c r="I7" t="s">
        <v>48</v>
      </c>
      <c r="J7" t="s">
        <v>49</v>
      </c>
      <c r="K7" t="s">
        <v>49</v>
      </c>
      <c r="L7" t="s">
        <v>50</v>
      </c>
      <c r="M7" t="s">
        <v>51</v>
      </c>
      <c r="N7" t="s">
        <v>52</v>
      </c>
      <c r="O7" t="s">
        <v>64</v>
      </c>
    </row>
    <row r="8" spans="1:15" x14ac:dyDescent="0.3">
      <c r="A8">
        <v>12</v>
      </c>
      <c r="B8">
        <v>2022</v>
      </c>
      <c r="C8" t="s">
        <v>19</v>
      </c>
      <c r="D8" t="s">
        <v>4</v>
      </c>
      <c r="E8">
        <v>93</v>
      </c>
      <c r="F8">
        <v>92</v>
      </c>
      <c r="G8">
        <v>0.989247311827957</v>
      </c>
      <c r="H8">
        <v>1.0752688172043012E-2</v>
      </c>
      <c r="I8" t="s">
        <v>48</v>
      </c>
      <c r="J8" t="s">
        <v>53</v>
      </c>
      <c r="K8" t="s">
        <v>53</v>
      </c>
      <c r="L8" t="s">
        <v>50</v>
      </c>
      <c r="M8" t="s">
        <v>46</v>
      </c>
      <c r="N8" t="s">
        <v>54</v>
      </c>
      <c r="O8" t="s">
        <v>65</v>
      </c>
    </row>
    <row r="9" spans="1:15" x14ac:dyDescent="0.3">
      <c r="A9">
        <v>12</v>
      </c>
      <c r="B9">
        <v>2022</v>
      </c>
      <c r="C9" t="s">
        <v>19</v>
      </c>
      <c r="D9" t="s">
        <v>5</v>
      </c>
      <c r="E9">
        <v>70</v>
      </c>
      <c r="F9">
        <v>70</v>
      </c>
      <c r="G9">
        <v>1</v>
      </c>
      <c r="H9">
        <v>0</v>
      </c>
      <c r="I9" t="s">
        <v>48</v>
      </c>
      <c r="J9" t="s">
        <v>53</v>
      </c>
      <c r="K9" t="s">
        <v>53</v>
      </c>
      <c r="L9" t="s">
        <v>55</v>
      </c>
      <c r="M9" t="s">
        <v>46</v>
      </c>
      <c r="N9" t="s">
        <v>54</v>
      </c>
      <c r="O9" t="s">
        <v>66</v>
      </c>
    </row>
    <row r="10" spans="1:15" x14ac:dyDescent="0.3">
      <c r="A10">
        <v>12</v>
      </c>
      <c r="B10">
        <v>2022</v>
      </c>
      <c r="C10" t="s">
        <v>19</v>
      </c>
      <c r="D10" t="s">
        <v>6</v>
      </c>
      <c r="E10">
        <v>0</v>
      </c>
      <c r="F10">
        <v>0</v>
      </c>
      <c r="I10" t="s">
        <v>32</v>
      </c>
      <c r="J10" t="s">
        <v>32</v>
      </c>
      <c r="K10" t="s">
        <v>45</v>
      </c>
      <c r="L10" t="s">
        <v>32</v>
      </c>
      <c r="M10" t="s">
        <v>46</v>
      </c>
      <c r="N10" t="s">
        <v>47</v>
      </c>
      <c r="O10" t="s">
        <v>67</v>
      </c>
    </row>
    <row r="11" spans="1:15" x14ac:dyDescent="0.3">
      <c r="A11">
        <v>12</v>
      </c>
      <c r="B11">
        <v>2022</v>
      </c>
      <c r="C11" t="s">
        <v>19</v>
      </c>
      <c r="D11" t="s">
        <v>7</v>
      </c>
      <c r="E11">
        <v>12262</v>
      </c>
      <c r="F11">
        <v>12214</v>
      </c>
      <c r="G11">
        <v>0.99608546729734138</v>
      </c>
      <c r="H11">
        <v>3.9145327026586197E-3</v>
      </c>
      <c r="I11" t="s">
        <v>48</v>
      </c>
      <c r="J11" t="s">
        <v>49</v>
      </c>
      <c r="K11" t="s">
        <v>49</v>
      </c>
      <c r="L11" t="s">
        <v>50</v>
      </c>
      <c r="M11" t="s">
        <v>51</v>
      </c>
      <c r="N11" t="s">
        <v>52</v>
      </c>
      <c r="O11" t="s">
        <v>68</v>
      </c>
    </row>
    <row r="12" spans="1:15" x14ac:dyDescent="0.3">
      <c r="A12">
        <v>12</v>
      </c>
      <c r="B12">
        <v>2022</v>
      </c>
      <c r="C12" t="s">
        <v>19</v>
      </c>
      <c r="D12" t="s">
        <v>8</v>
      </c>
      <c r="E12">
        <v>1901</v>
      </c>
      <c r="F12">
        <v>1894</v>
      </c>
      <c r="G12">
        <v>0.99631772751183589</v>
      </c>
      <c r="H12">
        <v>3.682272488164124E-3</v>
      </c>
      <c r="I12" t="s">
        <v>48</v>
      </c>
      <c r="J12" t="s">
        <v>49</v>
      </c>
      <c r="K12" t="s">
        <v>49</v>
      </c>
      <c r="L12" t="s">
        <v>50</v>
      </c>
      <c r="M12" t="s">
        <v>51</v>
      </c>
      <c r="N12" t="s">
        <v>52</v>
      </c>
      <c r="O12" t="s">
        <v>69</v>
      </c>
    </row>
    <row r="13" spans="1:15" x14ac:dyDescent="0.3">
      <c r="A13">
        <v>12</v>
      </c>
      <c r="B13">
        <v>2022</v>
      </c>
      <c r="C13" t="s">
        <v>19</v>
      </c>
      <c r="D13" t="s">
        <v>9</v>
      </c>
      <c r="E13">
        <v>2363</v>
      </c>
      <c r="F13">
        <v>2361</v>
      </c>
      <c r="G13">
        <v>0.99915361828184512</v>
      </c>
      <c r="H13">
        <v>8.4638171815488788E-4</v>
      </c>
      <c r="I13" t="s">
        <v>48</v>
      </c>
      <c r="J13" t="s">
        <v>49</v>
      </c>
      <c r="K13" t="s">
        <v>49</v>
      </c>
      <c r="L13" t="s">
        <v>50</v>
      </c>
      <c r="M13" t="s">
        <v>51</v>
      </c>
      <c r="N13" t="s">
        <v>52</v>
      </c>
      <c r="O13" t="s">
        <v>70</v>
      </c>
    </row>
    <row r="14" spans="1:15" x14ac:dyDescent="0.3">
      <c r="A14">
        <v>12</v>
      </c>
      <c r="B14">
        <v>2022</v>
      </c>
      <c r="C14" t="s">
        <v>20</v>
      </c>
      <c r="D14" t="s">
        <v>4</v>
      </c>
      <c r="E14">
        <v>0</v>
      </c>
      <c r="F14">
        <v>0</v>
      </c>
      <c r="I14" t="s">
        <v>32</v>
      </c>
      <c r="J14" t="s">
        <v>32</v>
      </c>
      <c r="K14" t="s">
        <v>45</v>
      </c>
      <c r="L14" t="s">
        <v>32</v>
      </c>
      <c r="M14" t="s">
        <v>46</v>
      </c>
      <c r="N14" t="s">
        <v>47</v>
      </c>
      <c r="O14" t="s">
        <v>71</v>
      </c>
    </row>
    <row r="15" spans="1:15" x14ac:dyDescent="0.3">
      <c r="A15">
        <v>12</v>
      </c>
      <c r="B15">
        <v>2022</v>
      </c>
      <c r="C15" t="s">
        <v>20</v>
      </c>
      <c r="D15" t="s">
        <v>5</v>
      </c>
      <c r="E15">
        <v>3180</v>
      </c>
      <c r="F15">
        <v>3138</v>
      </c>
      <c r="G15">
        <v>0.98679245283018868</v>
      </c>
      <c r="H15">
        <v>1.3207547169811321E-2</v>
      </c>
      <c r="I15" t="s">
        <v>48</v>
      </c>
      <c r="J15" t="s">
        <v>49</v>
      </c>
      <c r="K15" t="s">
        <v>49</v>
      </c>
      <c r="L15" t="s">
        <v>50</v>
      </c>
      <c r="M15" t="s">
        <v>51</v>
      </c>
      <c r="N15" t="s">
        <v>52</v>
      </c>
      <c r="O15" t="s">
        <v>72</v>
      </c>
    </row>
    <row r="16" spans="1:15" x14ac:dyDescent="0.3">
      <c r="A16">
        <v>12</v>
      </c>
      <c r="B16">
        <v>2022</v>
      </c>
      <c r="C16" t="s">
        <v>20</v>
      </c>
      <c r="D16" t="s">
        <v>6</v>
      </c>
      <c r="E16">
        <v>0</v>
      </c>
      <c r="F16">
        <v>0</v>
      </c>
      <c r="I16" t="s">
        <v>32</v>
      </c>
      <c r="J16" t="s">
        <v>32</v>
      </c>
      <c r="K16" t="s">
        <v>45</v>
      </c>
      <c r="L16" t="s">
        <v>32</v>
      </c>
      <c r="M16" t="s">
        <v>46</v>
      </c>
      <c r="N16" t="s">
        <v>47</v>
      </c>
      <c r="O16" t="s">
        <v>73</v>
      </c>
    </row>
    <row r="17" spans="1:15" x14ac:dyDescent="0.3">
      <c r="A17">
        <v>12</v>
      </c>
      <c r="B17">
        <v>2022</v>
      </c>
      <c r="C17" t="s">
        <v>20</v>
      </c>
      <c r="D17" t="s">
        <v>7</v>
      </c>
      <c r="E17">
        <v>60352</v>
      </c>
      <c r="F17">
        <v>60136</v>
      </c>
      <c r="G17">
        <v>0.99642099681866381</v>
      </c>
      <c r="H17">
        <v>3.5790031813361612E-3</v>
      </c>
      <c r="I17" t="s">
        <v>48</v>
      </c>
      <c r="J17" t="s">
        <v>49</v>
      </c>
      <c r="K17" t="s">
        <v>49</v>
      </c>
      <c r="L17" t="s">
        <v>50</v>
      </c>
      <c r="M17" t="s">
        <v>51</v>
      </c>
      <c r="N17" t="s">
        <v>52</v>
      </c>
      <c r="O17" t="s">
        <v>74</v>
      </c>
    </row>
    <row r="18" spans="1:15" x14ac:dyDescent="0.3">
      <c r="A18">
        <v>12</v>
      </c>
      <c r="B18">
        <v>2022</v>
      </c>
      <c r="C18" t="s">
        <v>20</v>
      </c>
      <c r="D18" t="s">
        <v>8</v>
      </c>
      <c r="E18">
        <v>3640</v>
      </c>
      <c r="F18">
        <v>3629</v>
      </c>
      <c r="G18">
        <v>0.99697802197802199</v>
      </c>
      <c r="H18">
        <v>3.0219780219780221E-3</v>
      </c>
      <c r="I18" t="s">
        <v>48</v>
      </c>
      <c r="J18" t="s">
        <v>49</v>
      </c>
      <c r="K18" t="s">
        <v>49</v>
      </c>
      <c r="L18" t="s">
        <v>50</v>
      </c>
      <c r="M18" t="s">
        <v>51</v>
      </c>
      <c r="N18" t="s">
        <v>52</v>
      </c>
      <c r="O18" t="s">
        <v>75</v>
      </c>
    </row>
    <row r="19" spans="1:15" x14ac:dyDescent="0.3">
      <c r="A19">
        <v>12</v>
      </c>
      <c r="B19">
        <v>2022</v>
      </c>
      <c r="C19" t="s">
        <v>20</v>
      </c>
      <c r="D19" t="s">
        <v>9</v>
      </c>
      <c r="E19">
        <v>7807</v>
      </c>
      <c r="F19">
        <v>7794</v>
      </c>
      <c r="G19">
        <v>0.99833482771871396</v>
      </c>
      <c r="H19">
        <v>1.6651722812860254E-3</v>
      </c>
      <c r="I19" t="s">
        <v>48</v>
      </c>
      <c r="J19" t="s">
        <v>49</v>
      </c>
      <c r="K19" t="s">
        <v>49</v>
      </c>
      <c r="L19" t="s">
        <v>50</v>
      </c>
      <c r="M19" t="s">
        <v>51</v>
      </c>
      <c r="N19" t="s">
        <v>52</v>
      </c>
      <c r="O19" t="s">
        <v>76</v>
      </c>
    </row>
    <row r="20" spans="1:15" x14ac:dyDescent="0.3">
      <c r="A20">
        <v>12</v>
      </c>
      <c r="B20">
        <v>2022</v>
      </c>
      <c r="C20" t="s">
        <v>13</v>
      </c>
      <c r="D20" t="s">
        <v>4</v>
      </c>
      <c r="E20">
        <v>103</v>
      </c>
      <c r="F20">
        <v>101</v>
      </c>
      <c r="G20">
        <v>0.98058252427184467</v>
      </c>
      <c r="H20">
        <v>1.9417475728155338E-2</v>
      </c>
      <c r="I20" t="s">
        <v>48</v>
      </c>
      <c r="J20" t="s">
        <v>49</v>
      </c>
      <c r="K20" t="s">
        <v>49</v>
      </c>
      <c r="L20" t="s">
        <v>50</v>
      </c>
      <c r="M20" t="s">
        <v>51</v>
      </c>
      <c r="N20" t="s">
        <v>52</v>
      </c>
      <c r="O20" t="s">
        <v>77</v>
      </c>
    </row>
    <row r="21" spans="1:15" x14ac:dyDescent="0.3">
      <c r="A21">
        <v>12</v>
      </c>
      <c r="B21">
        <v>2022</v>
      </c>
      <c r="C21" t="s">
        <v>13</v>
      </c>
      <c r="D21" t="s">
        <v>5</v>
      </c>
      <c r="E21">
        <v>7746</v>
      </c>
      <c r="F21">
        <v>7688</v>
      </c>
      <c r="G21">
        <v>0.99251226439452622</v>
      </c>
      <c r="H21">
        <v>7.4877356054737932E-3</v>
      </c>
      <c r="I21" t="s">
        <v>48</v>
      </c>
      <c r="J21" t="s">
        <v>49</v>
      </c>
      <c r="K21" t="s">
        <v>49</v>
      </c>
      <c r="L21" t="s">
        <v>50</v>
      </c>
      <c r="M21" t="s">
        <v>51</v>
      </c>
      <c r="N21" t="s">
        <v>52</v>
      </c>
      <c r="O21" t="s">
        <v>78</v>
      </c>
    </row>
    <row r="22" spans="1:15" x14ac:dyDescent="0.3">
      <c r="A22">
        <v>12</v>
      </c>
      <c r="B22">
        <v>2022</v>
      </c>
      <c r="C22" t="s">
        <v>13</v>
      </c>
      <c r="D22" t="s">
        <v>6</v>
      </c>
      <c r="E22">
        <v>0</v>
      </c>
      <c r="F22">
        <v>0</v>
      </c>
      <c r="I22" t="s">
        <v>32</v>
      </c>
      <c r="J22" t="s">
        <v>32</v>
      </c>
      <c r="K22" t="s">
        <v>45</v>
      </c>
      <c r="L22" t="s">
        <v>32</v>
      </c>
      <c r="M22" t="s">
        <v>46</v>
      </c>
      <c r="N22" t="s">
        <v>47</v>
      </c>
      <c r="O22" t="s">
        <v>79</v>
      </c>
    </row>
    <row r="23" spans="1:15" x14ac:dyDescent="0.3">
      <c r="A23">
        <v>12</v>
      </c>
      <c r="B23">
        <v>2022</v>
      </c>
      <c r="C23" t="s">
        <v>13</v>
      </c>
      <c r="D23" t="s">
        <v>7</v>
      </c>
      <c r="E23">
        <v>69835</v>
      </c>
      <c r="F23">
        <v>69506</v>
      </c>
      <c r="G23">
        <v>0.99528889525309661</v>
      </c>
      <c r="H23">
        <v>4.7111047469034148E-3</v>
      </c>
      <c r="I23" t="s">
        <v>48</v>
      </c>
      <c r="J23" t="s">
        <v>49</v>
      </c>
      <c r="K23" t="s">
        <v>49</v>
      </c>
      <c r="L23" t="s">
        <v>50</v>
      </c>
      <c r="M23" t="s">
        <v>51</v>
      </c>
      <c r="N23" t="s">
        <v>52</v>
      </c>
      <c r="O23" t="s">
        <v>80</v>
      </c>
    </row>
    <row r="24" spans="1:15" x14ac:dyDescent="0.3">
      <c r="A24">
        <v>12</v>
      </c>
      <c r="B24">
        <v>2022</v>
      </c>
      <c r="C24" t="s">
        <v>13</v>
      </c>
      <c r="D24" t="s">
        <v>8</v>
      </c>
      <c r="E24">
        <v>3823</v>
      </c>
      <c r="F24">
        <v>3809</v>
      </c>
      <c r="G24">
        <v>0.99633795448600571</v>
      </c>
      <c r="H24">
        <v>3.6620455139942452E-3</v>
      </c>
      <c r="I24" t="s">
        <v>48</v>
      </c>
      <c r="J24" t="s">
        <v>49</v>
      </c>
      <c r="K24" t="s">
        <v>49</v>
      </c>
      <c r="L24" t="s">
        <v>50</v>
      </c>
      <c r="M24" t="s">
        <v>51</v>
      </c>
      <c r="N24" t="s">
        <v>52</v>
      </c>
      <c r="O24" t="s">
        <v>81</v>
      </c>
    </row>
    <row r="25" spans="1:15" x14ac:dyDescent="0.3">
      <c r="A25">
        <v>12</v>
      </c>
      <c r="B25">
        <v>2022</v>
      </c>
      <c r="C25" t="s">
        <v>13</v>
      </c>
      <c r="D25" t="s">
        <v>9</v>
      </c>
      <c r="E25">
        <v>11465</v>
      </c>
      <c r="F25">
        <v>11431</v>
      </c>
      <c r="G25">
        <v>0.99703445268207591</v>
      </c>
      <c r="H25">
        <v>2.965547317924117E-3</v>
      </c>
      <c r="I25" t="s">
        <v>48</v>
      </c>
      <c r="J25" t="s">
        <v>49</v>
      </c>
      <c r="K25" t="s">
        <v>49</v>
      </c>
      <c r="L25" t="s">
        <v>50</v>
      </c>
      <c r="M25" t="s">
        <v>51</v>
      </c>
      <c r="N25" t="s">
        <v>52</v>
      </c>
      <c r="O25" t="s">
        <v>82</v>
      </c>
    </row>
    <row r="26" spans="1:15" x14ac:dyDescent="0.3">
      <c r="A26">
        <v>12</v>
      </c>
      <c r="B26">
        <v>2022</v>
      </c>
      <c r="C26" t="s">
        <v>14</v>
      </c>
      <c r="D26" t="s">
        <v>4</v>
      </c>
      <c r="E26">
        <v>0</v>
      </c>
      <c r="F26">
        <v>0</v>
      </c>
      <c r="I26" t="s">
        <v>32</v>
      </c>
      <c r="J26" t="s">
        <v>32</v>
      </c>
      <c r="K26" t="s">
        <v>45</v>
      </c>
      <c r="L26" t="s">
        <v>32</v>
      </c>
      <c r="M26" t="s">
        <v>46</v>
      </c>
      <c r="N26" t="s">
        <v>47</v>
      </c>
      <c r="O26" t="s">
        <v>83</v>
      </c>
    </row>
    <row r="27" spans="1:15" x14ac:dyDescent="0.3">
      <c r="A27">
        <v>12</v>
      </c>
      <c r="B27">
        <v>2022</v>
      </c>
      <c r="C27" t="s">
        <v>14</v>
      </c>
      <c r="D27" t="s">
        <v>5</v>
      </c>
      <c r="E27">
        <v>13060</v>
      </c>
      <c r="F27">
        <v>13025</v>
      </c>
      <c r="G27">
        <v>0.99732006125574268</v>
      </c>
      <c r="H27">
        <v>2.6799387442572741E-3</v>
      </c>
      <c r="I27" t="s">
        <v>48</v>
      </c>
      <c r="J27" t="s">
        <v>49</v>
      </c>
      <c r="K27" t="s">
        <v>49</v>
      </c>
      <c r="L27" t="s">
        <v>50</v>
      </c>
      <c r="M27" t="s">
        <v>51</v>
      </c>
      <c r="N27" t="s">
        <v>52</v>
      </c>
      <c r="O27" t="s">
        <v>84</v>
      </c>
    </row>
    <row r="28" spans="1:15" x14ac:dyDescent="0.3">
      <c r="A28">
        <v>12</v>
      </c>
      <c r="B28">
        <v>2022</v>
      </c>
      <c r="C28" t="s">
        <v>14</v>
      </c>
      <c r="D28" t="s">
        <v>6</v>
      </c>
      <c r="E28">
        <v>55</v>
      </c>
      <c r="F28">
        <v>55</v>
      </c>
      <c r="G28">
        <v>1</v>
      </c>
      <c r="H28">
        <v>0</v>
      </c>
      <c r="I28" t="s">
        <v>48</v>
      </c>
      <c r="J28" t="s">
        <v>53</v>
      </c>
      <c r="K28" t="s">
        <v>53</v>
      </c>
      <c r="L28" t="s">
        <v>55</v>
      </c>
      <c r="M28" t="s">
        <v>46</v>
      </c>
      <c r="N28" t="s">
        <v>54</v>
      </c>
      <c r="O28" t="s">
        <v>85</v>
      </c>
    </row>
    <row r="29" spans="1:15" x14ac:dyDescent="0.3">
      <c r="A29">
        <v>12</v>
      </c>
      <c r="B29">
        <v>2022</v>
      </c>
      <c r="C29" t="s">
        <v>14</v>
      </c>
      <c r="D29" t="s">
        <v>7</v>
      </c>
      <c r="E29">
        <v>89637</v>
      </c>
      <c r="F29">
        <v>89317</v>
      </c>
      <c r="G29">
        <v>0.99643004562847937</v>
      </c>
      <c r="H29">
        <v>3.569954371520689E-3</v>
      </c>
      <c r="I29" t="s">
        <v>48</v>
      </c>
      <c r="J29" t="s">
        <v>49</v>
      </c>
      <c r="K29" t="s">
        <v>49</v>
      </c>
      <c r="L29" t="s">
        <v>50</v>
      </c>
      <c r="M29" t="s">
        <v>51</v>
      </c>
      <c r="N29" t="s">
        <v>52</v>
      </c>
      <c r="O29" t="s">
        <v>86</v>
      </c>
    </row>
    <row r="30" spans="1:15" x14ac:dyDescent="0.3">
      <c r="A30">
        <v>12</v>
      </c>
      <c r="B30">
        <v>2022</v>
      </c>
      <c r="C30" t="s">
        <v>14</v>
      </c>
      <c r="D30" t="s">
        <v>8</v>
      </c>
      <c r="E30">
        <v>2549</v>
      </c>
      <c r="F30">
        <v>2537</v>
      </c>
      <c r="G30">
        <v>0.99529227147901134</v>
      </c>
      <c r="H30">
        <v>4.7077285209886233E-3</v>
      </c>
      <c r="I30" t="s">
        <v>48</v>
      </c>
      <c r="J30" t="s">
        <v>49</v>
      </c>
      <c r="K30" t="s">
        <v>49</v>
      </c>
      <c r="L30" t="s">
        <v>50</v>
      </c>
      <c r="M30" t="s">
        <v>51</v>
      </c>
      <c r="N30" t="s">
        <v>52</v>
      </c>
      <c r="O30" t="s">
        <v>87</v>
      </c>
    </row>
    <row r="31" spans="1:15" x14ac:dyDescent="0.3">
      <c r="A31">
        <v>12</v>
      </c>
      <c r="B31">
        <v>2022</v>
      </c>
      <c r="C31" t="s">
        <v>14</v>
      </c>
      <c r="D31" t="s">
        <v>9</v>
      </c>
      <c r="E31">
        <v>5861</v>
      </c>
      <c r="F31">
        <v>5844</v>
      </c>
      <c r="G31">
        <v>0.99709947108002051</v>
      </c>
      <c r="H31">
        <v>2.9005289199795256E-3</v>
      </c>
      <c r="I31" t="s">
        <v>48</v>
      </c>
      <c r="J31" t="s">
        <v>49</v>
      </c>
      <c r="K31" t="s">
        <v>49</v>
      </c>
      <c r="L31" t="s">
        <v>50</v>
      </c>
      <c r="M31" t="s">
        <v>51</v>
      </c>
      <c r="N31" t="s">
        <v>52</v>
      </c>
      <c r="O31" t="s">
        <v>88</v>
      </c>
    </row>
    <row r="32" spans="1:15" x14ac:dyDescent="0.3">
      <c r="A32">
        <v>12</v>
      </c>
      <c r="B32">
        <v>2022</v>
      </c>
      <c r="C32" t="s">
        <v>21</v>
      </c>
      <c r="D32" t="s">
        <v>4</v>
      </c>
      <c r="E32">
        <v>0</v>
      </c>
      <c r="F32">
        <v>0</v>
      </c>
      <c r="I32" t="s">
        <v>32</v>
      </c>
      <c r="J32" t="s">
        <v>32</v>
      </c>
      <c r="K32" t="s">
        <v>45</v>
      </c>
      <c r="L32" t="s">
        <v>32</v>
      </c>
      <c r="M32" t="s">
        <v>46</v>
      </c>
      <c r="N32" t="s">
        <v>47</v>
      </c>
      <c r="O32" t="s">
        <v>89</v>
      </c>
    </row>
    <row r="33" spans="1:15" x14ac:dyDescent="0.3">
      <c r="A33">
        <v>12</v>
      </c>
      <c r="B33">
        <v>2022</v>
      </c>
      <c r="C33" t="s">
        <v>21</v>
      </c>
      <c r="D33" t="s">
        <v>5</v>
      </c>
      <c r="E33">
        <v>3565</v>
      </c>
      <c r="F33">
        <v>3552</v>
      </c>
      <c r="G33">
        <v>0.99635343618513328</v>
      </c>
      <c r="H33">
        <v>3.6465638148667602E-3</v>
      </c>
      <c r="I33" t="s">
        <v>48</v>
      </c>
      <c r="J33" t="s">
        <v>49</v>
      </c>
      <c r="K33" t="s">
        <v>49</v>
      </c>
      <c r="L33" t="s">
        <v>50</v>
      </c>
      <c r="M33" t="s">
        <v>51</v>
      </c>
      <c r="N33" t="s">
        <v>52</v>
      </c>
      <c r="O33" t="s">
        <v>90</v>
      </c>
    </row>
    <row r="34" spans="1:15" x14ac:dyDescent="0.3">
      <c r="A34">
        <v>12</v>
      </c>
      <c r="B34">
        <v>2022</v>
      </c>
      <c r="C34" t="s">
        <v>21</v>
      </c>
      <c r="D34" t="s">
        <v>6</v>
      </c>
      <c r="E34">
        <v>0</v>
      </c>
      <c r="F34">
        <v>0</v>
      </c>
      <c r="I34" t="s">
        <v>32</v>
      </c>
      <c r="J34" t="s">
        <v>32</v>
      </c>
      <c r="K34" t="s">
        <v>45</v>
      </c>
      <c r="L34" t="s">
        <v>32</v>
      </c>
      <c r="M34" t="s">
        <v>46</v>
      </c>
      <c r="N34" t="s">
        <v>47</v>
      </c>
      <c r="O34" t="s">
        <v>91</v>
      </c>
    </row>
    <row r="35" spans="1:15" x14ac:dyDescent="0.3">
      <c r="A35">
        <v>12</v>
      </c>
      <c r="B35">
        <v>2022</v>
      </c>
      <c r="C35" t="s">
        <v>21</v>
      </c>
      <c r="D35" t="s">
        <v>7</v>
      </c>
      <c r="E35">
        <v>67799</v>
      </c>
      <c r="F35">
        <v>67700</v>
      </c>
      <c r="G35">
        <v>0.99853980147199817</v>
      </c>
      <c r="H35">
        <v>1.4601985280018879E-3</v>
      </c>
      <c r="I35" t="s">
        <v>48</v>
      </c>
      <c r="J35" t="s">
        <v>49</v>
      </c>
      <c r="K35" t="s">
        <v>49</v>
      </c>
      <c r="L35" t="s">
        <v>50</v>
      </c>
      <c r="M35" t="s">
        <v>51</v>
      </c>
      <c r="N35" t="s">
        <v>52</v>
      </c>
      <c r="O35" t="s">
        <v>92</v>
      </c>
    </row>
    <row r="36" spans="1:15" x14ac:dyDescent="0.3">
      <c r="A36">
        <v>12</v>
      </c>
      <c r="B36">
        <v>2022</v>
      </c>
      <c r="C36" t="s">
        <v>21</v>
      </c>
      <c r="D36" t="s">
        <v>8</v>
      </c>
      <c r="E36">
        <v>1646</v>
      </c>
      <c r="F36">
        <v>1642</v>
      </c>
      <c r="G36">
        <v>0.99756986634264888</v>
      </c>
      <c r="H36">
        <v>2.4301336573511541E-3</v>
      </c>
      <c r="I36" t="s">
        <v>48</v>
      </c>
      <c r="J36" t="s">
        <v>49</v>
      </c>
      <c r="K36" t="s">
        <v>49</v>
      </c>
      <c r="L36" t="s">
        <v>50</v>
      </c>
      <c r="M36" t="s">
        <v>51</v>
      </c>
      <c r="N36" t="s">
        <v>52</v>
      </c>
      <c r="O36" t="s">
        <v>93</v>
      </c>
    </row>
    <row r="37" spans="1:15" x14ac:dyDescent="0.3">
      <c r="A37">
        <v>12</v>
      </c>
      <c r="B37">
        <v>2022</v>
      </c>
      <c r="C37" t="s">
        <v>21</v>
      </c>
      <c r="D37" t="s">
        <v>9</v>
      </c>
      <c r="E37">
        <v>6713</v>
      </c>
      <c r="F37">
        <v>6701</v>
      </c>
      <c r="G37">
        <v>0.99821242365559359</v>
      </c>
      <c r="H37">
        <v>1.7875763444063757E-3</v>
      </c>
      <c r="I37" t="s">
        <v>48</v>
      </c>
      <c r="J37" t="s">
        <v>49</v>
      </c>
      <c r="K37" t="s">
        <v>49</v>
      </c>
      <c r="L37" t="s">
        <v>50</v>
      </c>
      <c r="M37" t="s">
        <v>51</v>
      </c>
      <c r="N37" t="s">
        <v>52</v>
      </c>
      <c r="O37" t="s">
        <v>94</v>
      </c>
    </row>
    <row r="38" spans="1:15" x14ac:dyDescent="0.3">
      <c r="A38">
        <v>12</v>
      </c>
      <c r="B38">
        <v>2022</v>
      </c>
      <c r="C38" t="s">
        <v>26</v>
      </c>
      <c r="D38" t="s">
        <v>4</v>
      </c>
      <c r="E38">
        <v>164</v>
      </c>
      <c r="F38">
        <v>162</v>
      </c>
      <c r="G38">
        <v>0.98780487804878048</v>
      </c>
      <c r="H38">
        <v>1.2195121951219513E-2</v>
      </c>
      <c r="I38" t="s">
        <v>48</v>
      </c>
      <c r="J38" t="s">
        <v>49</v>
      </c>
      <c r="K38" t="s">
        <v>49</v>
      </c>
      <c r="L38" t="s">
        <v>50</v>
      </c>
      <c r="M38" t="s">
        <v>51</v>
      </c>
      <c r="N38" t="s">
        <v>52</v>
      </c>
      <c r="O38" t="s">
        <v>95</v>
      </c>
    </row>
    <row r="39" spans="1:15" x14ac:dyDescent="0.3">
      <c r="A39">
        <v>12</v>
      </c>
      <c r="B39">
        <v>2022</v>
      </c>
      <c r="C39" t="s">
        <v>26</v>
      </c>
      <c r="D39" t="s">
        <v>5</v>
      </c>
      <c r="E39">
        <v>1555</v>
      </c>
      <c r="F39">
        <v>1552</v>
      </c>
      <c r="G39">
        <v>0.99807073954983927</v>
      </c>
      <c r="H39">
        <v>1.9292604501607716E-3</v>
      </c>
      <c r="I39" t="s">
        <v>48</v>
      </c>
      <c r="J39" t="s">
        <v>49</v>
      </c>
      <c r="K39" t="s">
        <v>49</v>
      </c>
      <c r="L39" t="s">
        <v>50</v>
      </c>
      <c r="M39" t="s">
        <v>51</v>
      </c>
      <c r="N39" t="s">
        <v>52</v>
      </c>
      <c r="O39" t="s">
        <v>96</v>
      </c>
    </row>
    <row r="40" spans="1:15" x14ac:dyDescent="0.3">
      <c r="A40">
        <v>12</v>
      </c>
      <c r="B40">
        <v>2022</v>
      </c>
      <c r="C40" t="s">
        <v>26</v>
      </c>
      <c r="D40" t="s">
        <v>6</v>
      </c>
      <c r="E40">
        <v>22</v>
      </c>
      <c r="F40">
        <v>22</v>
      </c>
      <c r="G40">
        <v>1</v>
      </c>
      <c r="H40">
        <v>0</v>
      </c>
      <c r="I40" t="s">
        <v>48</v>
      </c>
      <c r="J40" t="s">
        <v>53</v>
      </c>
      <c r="K40" t="s">
        <v>53</v>
      </c>
      <c r="L40" t="s">
        <v>55</v>
      </c>
      <c r="M40" t="s">
        <v>46</v>
      </c>
      <c r="N40" t="s">
        <v>54</v>
      </c>
      <c r="O40" t="s">
        <v>97</v>
      </c>
    </row>
    <row r="41" spans="1:15" x14ac:dyDescent="0.3">
      <c r="A41">
        <v>12</v>
      </c>
      <c r="B41">
        <v>2022</v>
      </c>
      <c r="C41" t="s">
        <v>26</v>
      </c>
      <c r="D41" t="s">
        <v>7</v>
      </c>
      <c r="E41">
        <v>62473</v>
      </c>
      <c r="F41">
        <v>62094</v>
      </c>
      <c r="G41">
        <v>0.99393337921982294</v>
      </c>
      <c r="H41">
        <v>6.0666207801770367E-3</v>
      </c>
      <c r="I41" t="s">
        <v>48</v>
      </c>
      <c r="J41" t="s">
        <v>49</v>
      </c>
      <c r="K41" t="s">
        <v>49</v>
      </c>
      <c r="L41" t="s">
        <v>50</v>
      </c>
      <c r="M41" t="s">
        <v>51</v>
      </c>
      <c r="N41" t="s">
        <v>52</v>
      </c>
      <c r="O41" t="s">
        <v>98</v>
      </c>
    </row>
    <row r="42" spans="1:15" x14ac:dyDescent="0.3">
      <c r="A42">
        <v>12</v>
      </c>
      <c r="B42">
        <v>2022</v>
      </c>
      <c r="C42" t="s">
        <v>26</v>
      </c>
      <c r="D42" t="s">
        <v>8</v>
      </c>
      <c r="E42">
        <v>1120</v>
      </c>
      <c r="F42">
        <v>1117</v>
      </c>
      <c r="G42">
        <v>0.99732142857142858</v>
      </c>
      <c r="H42">
        <v>2.6785714285714286E-3</v>
      </c>
      <c r="I42" t="s">
        <v>48</v>
      </c>
      <c r="J42" t="s">
        <v>49</v>
      </c>
      <c r="K42" t="s">
        <v>49</v>
      </c>
      <c r="L42" t="s">
        <v>50</v>
      </c>
      <c r="M42" t="s">
        <v>51</v>
      </c>
      <c r="N42" t="s">
        <v>52</v>
      </c>
      <c r="O42" t="s">
        <v>99</v>
      </c>
    </row>
    <row r="43" spans="1:15" x14ac:dyDescent="0.3">
      <c r="A43">
        <v>12</v>
      </c>
      <c r="B43">
        <v>2022</v>
      </c>
      <c r="C43" t="s">
        <v>26</v>
      </c>
      <c r="D43" t="s">
        <v>9</v>
      </c>
      <c r="E43">
        <v>4312</v>
      </c>
      <c r="F43">
        <v>4307</v>
      </c>
      <c r="G43">
        <v>0.99884044526901672</v>
      </c>
      <c r="H43">
        <v>1.1595547309833025E-3</v>
      </c>
      <c r="I43" t="s">
        <v>48</v>
      </c>
      <c r="J43" t="s">
        <v>49</v>
      </c>
      <c r="K43" t="s">
        <v>49</v>
      </c>
      <c r="L43" t="s">
        <v>50</v>
      </c>
      <c r="M43" t="s">
        <v>51</v>
      </c>
      <c r="N43" t="s">
        <v>52</v>
      </c>
      <c r="O43" t="s">
        <v>100</v>
      </c>
    </row>
    <row r="44" spans="1:15" x14ac:dyDescent="0.3">
      <c r="A44">
        <v>12</v>
      </c>
      <c r="B44">
        <v>2022</v>
      </c>
      <c r="C44" t="s">
        <v>15</v>
      </c>
      <c r="D44" t="s">
        <v>4</v>
      </c>
      <c r="E44">
        <v>0</v>
      </c>
      <c r="F44">
        <v>0</v>
      </c>
      <c r="I44" t="s">
        <v>32</v>
      </c>
      <c r="J44" t="s">
        <v>32</v>
      </c>
      <c r="K44" t="s">
        <v>45</v>
      </c>
      <c r="L44" t="s">
        <v>32</v>
      </c>
      <c r="M44" t="s">
        <v>46</v>
      </c>
      <c r="N44" t="s">
        <v>47</v>
      </c>
      <c r="O44" t="s">
        <v>101</v>
      </c>
    </row>
    <row r="45" spans="1:15" x14ac:dyDescent="0.3">
      <c r="A45">
        <v>12</v>
      </c>
      <c r="B45">
        <v>2022</v>
      </c>
      <c r="C45" t="s">
        <v>15</v>
      </c>
      <c r="D45" t="s">
        <v>5</v>
      </c>
      <c r="E45">
        <v>100216</v>
      </c>
      <c r="F45">
        <v>99566</v>
      </c>
      <c r="G45">
        <v>0.99351400973896387</v>
      </c>
      <c r="H45">
        <v>6.4859902610361619E-3</v>
      </c>
      <c r="I45" t="s">
        <v>48</v>
      </c>
      <c r="J45" t="s">
        <v>49</v>
      </c>
      <c r="K45" t="s">
        <v>49</v>
      </c>
      <c r="L45" t="s">
        <v>50</v>
      </c>
      <c r="M45" t="s">
        <v>51</v>
      </c>
      <c r="N45" t="s">
        <v>52</v>
      </c>
      <c r="O45" t="s">
        <v>102</v>
      </c>
    </row>
    <row r="46" spans="1:15" x14ac:dyDescent="0.3">
      <c r="A46">
        <v>12</v>
      </c>
      <c r="B46">
        <v>2022</v>
      </c>
      <c r="C46" t="s">
        <v>15</v>
      </c>
      <c r="D46" t="s">
        <v>6</v>
      </c>
      <c r="E46">
        <v>6420</v>
      </c>
      <c r="F46">
        <v>6393</v>
      </c>
      <c r="G46">
        <v>0.99579439252336444</v>
      </c>
      <c r="H46">
        <v>4.2056074766355141E-3</v>
      </c>
      <c r="I46" t="s">
        <v>48</v>
      </c>
      <c r="J46" t="s">
        <v>49</v>
      </c>
      <c r="K46" t="s">
        <v>49</v>
      </c>
      <c r="L46" t="s">
        <v>50</v>
      </c>
      <c r="M46" t="s">
        <v>51</v>
      </c>
      <c r="N46" t="s">
        <v>52</v>
      </c>
      <c r="O46" t="s">
        <v>103</v>
      </c>
    </row>
    <row r="47" spans="1:15" x14ac:dyDescent="0.3">
      <c r="A47">
        <v>12</v>
      </c>
      <c r="B47">
        <v>2022</v>
      </c>
      <c r="C47" t="s">
        <v>15</v>
      </c>
      <c r="D47" t="s">
        <v>7</v>
      </c>
      <c r="E47">
        <v>64953</v>
      </c>
      <c r="F47">
        <v>64774</v>
      </c>
      <c r="G47">
        <v>0.99724416116268688</v>
      </c>
      <c r="H47">
        <v>2.7558388373131342E-3</v>
      </c>
      <c r="I47" t="s">
        <v>48</v>
      </c>
      <c r="J47" t="s">
        <v>49</v>
      </c>
      <c r="K47" t="s">
        <v>49</v>
      </c>
      <c r="L47" t="s">
        <v>50</v>
      </c>
      <c r="M47" t="s">
        <v>51</v>
      </c>
      <c r="N47" t="s">
        <v>52</v>
      </c>
      <c r="O47" t="s">
        <v>104</v>
      </c>
    </row>
    <row r="48" spans="1:15" x14ac:dyDescent="0.3">
      <c r="A48">
        <v>12</v>
      </c>
      <c r="B48">
        <v>2022</v>
      </c>
      <c r="C48" t="s">
        <v>15</v>
      </c>
      <c r="D48" t="s">
        <v>8</v>
      </c>
      <c r="E48">
        <v>81</v>
      </c>
      <c r="F48">
        <v>81</v>
      </c>
      <c r="G48">
        <v>1</v>
      </c>
      <c r="H48">
        <v>0</v>
      </c>
      <c r="I48" t="s">
        <v>48</v>
      </c>
      <c r="J48" t="s">
        <v>53</v>
      </c>
      <c r="K48" t="s">
        <v>53</v>
      </c>
      <c r="L48" t="s">
        <v>55</v>
      </c>
      <c r="M48" t="s">
        <v>46</v>
      </c>
      <c r="N48" t="s">
        <v>54</v>
      </c>
      <c r="O48" t="s">
        <v>105</v>
      </c>
    </row>
    <row r="49" spans="1:15" x14ac:dyDescent="0.3">
      <c r="A49">
        <v>12</v>
      </c>
      <c r="B49">
        <v>2022</v>
      </c>
      <c r="C49" t="s">
        <v>15</v>
      </c>
      <c r="D49" t="s">
        <v>9</v>
      </c>
      <c r="E49">
        <v>6669</v>
      </c>
      <c r="F49">
        <v>6661</v>
      </c>
      <c r="G49">
        <v>0.99880041985305146</v>
      </c>
      <c r="H49">
        <v>1.1995801469485679E-3</v>
      </c>
      <c r="I49" t="s">
        <v>48</v>
      </c>
      <c r="J49" t="s">
        <v>49</v>
      </c>
      <c r="K49" t="s">
        <v>49</v>
      </c>
      <c r="L49" t="s">
        <v>50</v>
      </c>
      <c r="M49" t="s">
        <v>51</v>
      </c>
      <c r="N49" t="s">
        <v>52</v>
      </c>
      <c r="O49" t="s">
        <v>106</v>
      </c>
    </row>
    <row r="50" spans="1:15" x14ac:dyDescent="0.3">
      <c r="A50">
        <v>12</v>
      </c>
      <c r="B50">
        <v>2022</v>
      </c>
      <c r="C50" t="s">
        <v>27</v>
      </c>
      <c r="D50" t="s">
        <v>4</v>
      </c>
      <c r="E50">
        <v>0</v>
      </c>
      <c r="F50">
        <v>0</v>
      </c>
      <c r="I50" t="s">
        <v>32</v>
      </c>
      <c r="J50" t="s">
        <v>32</v>
      </c>
      <c r="K50" t="s">
        <v>45</v>
      </c>
      <c r="L50" t="s">
        <v>32</v>
      </c>
      <c r="M50" t="s">
        <v>46</v>
      </c>
      <c r="N50" t="s">
        <v>47</v>
      </c>
      <c r="O50" t="s">
        <v>107</v>
      </c>
    </row>
    <row r="51" spans="1:15" x14ac:dyDescent="0.3">
      <c r="A51">
        <v>12</v>
      </c>
      <c r="B51">
        <v>2022</v>
      </c>
      <c r="C51" t="s">
        <v>27</v>
      </c>
      <c r="D51" t="s">
        <v>5</v>
      </c>
      <c r="E51">
        <v>69504</v>
      </c>
      <c r="F51">
        <v>69109</v>
      </c>
      <c r="G51">
        <v>0.99431687384898715</v>
      </c>
      <c r="H51">
        <v>5.6831261510128916E-3</v>
      </c>
      <c r="I51" t="s">
        <v>48</v>
      </c>
      <c r="J51" t="s">
        <v>49</v>
      </c>
      <c r="K51" t="s">
        <v>49</v>
      </c>
      <c r="L51" t="s">
        <v>50</v>
      </c>
      <c r="M51" t="s">
        <v>51</v>
      </c>
      <c r="N51" t="s">
        <v>52</v>
      </c>
      <c r="O51" t="s">
        <v>108</v>
      </c>
    </row>
    <row r="52" spans="1:15" x14ac:dyDescent="0.3">
      <c r="A52">
        <v>12</v>
      </c>
      <c r="B52">
        <v>2022</v>
      </c>
      <c r="C52" t="s">
        <v>27</v>
      </c>
      <c r="D52" t="s">
        <v>6</v>
      </c>
      <c r="E52">
        <v>7775</v>
      </c>
      <c r="F52">
        <v>7743</v>
      </c>
      <c r="G52">
        <v>0.99588424437299039</v>
      </c>
      <c r="H52">
        <v>4.115755627009646E-3</v>
      </c>
      <c r="I52" t="s">
        <v>48</v>
      </c>
      <c r="J52" t="s">
        <v>49</v>
      </c>
      <c r="K52" t="s">
        <v>49</v>
      </c>
      <c r="L52" t="s">
        <v>50</v>
      </c>
      <c r="M52" t="s">
        <v>51</v>
      </c>
      <c r="N52" t="s">
        <v>52</v>
      </c>
      <c r="O52" t="s">
        <v>109</v>
      </c>
    </row>
    <row r="53" spans="1:15" x14ac:dyDescent="0.3">
      <c r="A53">
        <v>12</v>
      </c>
      <c r="B53">
        <v>2022</v>
      </c>
      <c r="C53" t="s">
        <v>27</v>
      </c>
      <c r="D53" t="s">
        <v>7</v>
      </c>
      <c r="E53">
        <v>40461</v>
      </c>
      <c r="F53">
        <v>40291</v>
      </c>
      <c r="G53">
        <v>0.99579842317293199</v>
      </c>
      <c r="H53">
        <v>4.2015768270680411E-3</v>
      </c>
      <c r="I53" t="s">
        <v>48</v>
      </c>
      <c r="J53" t="s">
        <v>49</v>
      </c>
      <c r="K53" t="s">
        <v>49</v>
      </c>
      <c r="L53" t="s">
        <v>50</v>
      </c>
      <c r="M53" t="s">
        <v>51</v>
      </c>
      <c r="N53" t="s">
        <v>52</v>
      </c>
      <c r="O53" t="s">
        <v>110</v>
      </c>
    </row>
    <row r="54" spans="1:15" x14ac:dyDescent="0.3">
      <c r="A54">
        <v>12</v>
      </c>
      <c r="B54">
        <v>2022</v>
      </c>
      <c r="C54" t="s">
        <v>27</v>
      </c>
      <c r="D54" t="s">
        <v>8</v>
      </c>
      <c r="E54">
        <v>65</v>
      </c>
      <c r="F54">
        <v>65</v>
      </c>
      <c r="G54">
        <v>1</v>
      </c>
      <c r="H54">
        <v>0</v>
      </c>
      <c r="I54" t="s">
        <v>48</v>
      </c>
      <c r="J54" t="s">
        <v>53</v>
      </c>
      <c r="K54" t="s">
        <v>53</v>
      </c>
      <c r="L54" t="s">
        <v>55</v>
      </c>
      <c r="M54" t="s">
        <v>46</v>
      </c>
      <c r="N54" t="s">
        <v>54</v>
      </c>
      <c r="O54" t="s">
        <v>111</v>
      </c>
    </row>
    <row r="55" spans="1:15" x14ac:dyDescent="0.3">
      <c r="A55">
        <v>12</v>
      </c>
      <c r="B55">
        <v>2022</v>
      </c>
      <c r="C55" t="s">
        <v>27</v>
      </c>
      <c r="D55" t="s">
        <v>9</v>
      </c>
      <c r="E55">
        <v>2872</v>
      </c>
      <c r="F55">
        <v>2872</v>
      </c>
      <c r="G55">
        <v>1</v>
      </c>
      <c r="H55">
        <v>0</v>
      </c>
      <c r="I55" t="s">
        <v>48</v>
      </c>
      <c r="J55" t="s">
        <v>49</v>
      </c>
      <c r="K55" t="s">
        <v>49</v>
      </c>
      <c r="L55" t="s">
        <v>50</v>
      </c>
      <c r="M55" t="s">
        <v>51</v>
      </c>
      <c r="N55" t="s">
        <v>52</v>
      </c>
      <c r="O55" t="s">
        <v>112</v>
      </c>
    </row>
    <row r="56" spans="1:15" x14ac:dyDescent="0.3">
      <c r="A56">
        <v>12</v>
      </c>
      <c r="B56">
        <v>2022</v>
      </c>
      <c r="C56" t="s">
        <v>17</v>
      </c>
      <c r="D56" t="s">
        <v>4</v>
      </c>
      <c r="E56">
        <v>0</v>
      </c>
      <c r="F56">
        <v>0</v>
      </c>
      <c r="I56" t="s">
        <v>32</v>
      </c>
      <c r="J56" t="s">
        <v>32</v>
      </c>
      <c r="K56" t="s">
        <v>45</v>
      </c>
      <c r="L56" t="s">
        <v>32</v>
      </c>
      <c r="M56" t="s">
        <v>46</v>
      </c>
      <c r="N56" t="s">
        <v>47</v>
      </c>
      <c r="O56" t="s">
        <v>113</v>
      </c>
    </row>
    <row r="57" spans="1:15" x14ac:dyDescent="0.3">
      <c r="A57">
        <v>12</v>
      </c>
      <c r="B57">
        <v>2022</v>
      </c>
      <c r="C57" t="s">
        <v>17</v>
      </c>
      <c r="D57" t="s">
        <v>5</v>
      </c>
      <c r="E57">
        <v>20672</v>
      </c>
      <c r="F57">
        <v>20518</v>
      </c>
      <c r="G57">
        <v>0.99255030959752322</v>
      </c>
      <c r="H57">
        <v>7.4496904024767803E-3</v>
      </c>
      <c r="I57" t="s">
        <v>48</v>
      </c>
      <c r="J57" t="s">
        <v>49</v>
      </c>
      <c r="K57" t="s">
        <v>49</v>
      </c>
      <c r="L57" t="s">
        <v>50</v>
      </c>
      <c r="M57" t="s">
        <v>51</v>
      </c>
      <c r="N57" t="s">
        <v>52</v>
      </c>
      <c r="O57" t="s">
        <v>114</v>
      </c>
    </row>
    <row r="58" spans="1:15" x14ac:dyDescent="0.3">
      <c r="A58">
        <v>12</v>
      </c>
      <c r="B58">
        <v>2022</v>
      </c>
      <c r="C58" t="s">
        <v>17</v>
      </c>
      <c r="D58" t="s">
        <v>6</v>
      </c>
      <c r="E58">
        <v>102</v>
      </c>
      <c r="F58">
        <v>101</v>
      </c>
      <c r="G58">
        <v>0.99019607843137258</v>
      </c>
      <c r="H58">
        <v>9.8039215686274508E-3</v>
      </c>
      <c r="I58" t="s">
        <v>48</v>
      </c>
      <c r="J58" t="s">
        <v>49</v>
      </c>
      <c r="K58" t="s">
        <v>49</v>
      </c>
      <c r="L58" t="s">
        <v>50</v>
      </c>
      <c r="M58" t="s">
        <v>51</v>
      </c>
      <c r="N58" t="s">
        <v>52</v>
      </c>
      <c r="O58" t="s">
        <v>115</v>
      </c>
    </row>
    <row r="59" spans="1:15" x14ac:dyDescent="0.3">
      <c r="A59">
        <v>12</v>
      </c>
      <c r="B59">
        <v>2022</v>
      </c>
      <c r="C59" t="s">
        <v>17</v>
      </c>
      <c r="D59" t="s">
        <v>7</v>
      </c>
      <c r="E59">
        <v>20768</v>
      </c>
      <c r="F59">
        <v>20601</v>
      </c>
      <c r="G59">
        <v>0.99195878274268101</v>
      </c>
      <c r="H59">
        <v>8.0412172573189524E-3</v>
      </c>
      <c r="I59" t="s">
        <v>48</v>
      </c>
      <c r="J59" t="s">
        <v>49</v>
      </c>
      <c r="K59" t="s">
        <v>49</v>
      </c>
      <c r="L59" t="s">
        <v>50</v>
      </c>
      <c r="M59" t="s">
        <v>51</v>
      </c>
      <c r="N59" t="s">
        <v>52</v>
      </c>
      <c r="O59" t="s">
        <v>116</v>
      </c>
    </row>
    <row r="60" spans="1:15" x14ac:dyDescent="0.3">
      <c r="A60">
        <v>12</v>
      </c>
      <c r="B60">
        <v>2022</v>
      </c>
      <c r="C60" t="s">
        <v>17</v>
      </c>
      <c r="D60" t="s">
        <v>8</v>
      </c>
      <c r="E60">
        <v>4536</v>
      </c>
      <c r="F60">
        <v>4481</v>
      </c>
      <c r="G60">
        <v>0.9878747795414462</v>
      </c>
      <c r="H60">
        <v>1.2125220458553791E-2</v>
      </c>
      <c r="I60" t="s">
        <v>48</v>
      </c>
      <c r="J60" t="s">
        <v>49</v>
      </c>
      <c r="K60" t="s">
        <v>49</v>
      </c>
      <c r="L60" t="s">
        <v>50</v>
      </c>
      <c r="M60" t="s">
        <v>51</v>
      </c>
      <c r="N60" t="s">
        <v>52</v>
      </c>
      <c r="O60" t="s">
        <v>117</v>
      </c>
    </row>
    <row r="61" spans="1:15" x14ac:dyDescent="0.3">
      <c r="A61">
        <v>12</v>
      </c>
      <c r="B61">
        <v>2022</v>
      </c>
      <c r="C61" t="s">
        <v>17</v>
      </c>
      <c r="D61" t="s">
        <v>9</v>
      </c>
      <c r="E61">
        <v>6071</v>
      </c>
      <c r="F61">
        <v>6047</v>
      </c>
      <c r="G61">
        <v>0.99604677977268985</v>
      </c>
      <c r="H61">
        <v>3.9532202273101632E-3</v>
      </c>
      <c r="I61" t="s">
        <v>48</v>
      </c>
      <c r="J61" t="s">
        <v>49</v>
      </c>
      <c r="K61" t="s">
        <v>49</v>
      </c>
      <c r="L61" t="s">
        <v>50</v>
      </c>
      <c r="M61" t="s">
        <v>51</v>
      </c>
      <c r="N61" t="s">
        <v>52</v>
      </c>
      <c r="O61" t="s">
        <v>118</v>
      </c>
    </row>
    <row r="62" spans="1:15" x14ac:dyDescent="0.3">
      <c r="A62">
        <v>12</v>
      </c>
      <c r="B62">
        <v>2022</v>
      </c>
      <c r="C62" t="s">
        <v>22</v>
      </c>
      <c r="D62" t="s">
        <v>4</v>
      </c>
      <c r="E62">
        <v>0</v>
      </c>
      <c r="F62">
        <v>0</v>
      </c>
      <c r="I62" t="s">
        <v>32</v>
      </c>
      <c r="J62" t="s">
        <v>32</v>
      </c>
      <c r="K62" t="s">
        <v>45</v>
      </c>
      <c r="L62" t="s">
        <v>32</v>
      </c>
      <c r="M62" t="s">
        <v>46</v>
      </c>
      <c r="N62" t="s">
        <v>47</v>
      </c>
      <c r="O62" t="s">
        <v>119</v>
      </c>
    </row>
    <row r="63" spans="1:15" x14ac:dyDescent="0.3">
      <c r="A63">
        <v>12</v>
      </c>
      <c r="B63">
        <v>2022</v>
      </c>
      <c r="C63" t="s">
        <v>22</v>
      </c>
      <c r="D63" t="s">
        <v>5</v>
      </c>
      <c r="E63">
        <v>278</v>
      </c>
      <c r="F63">
        <v>272</v>
      </c>
      <c r="G63">
        <v>0.97841726618705038</v>
      </c>
      <c r="H63">
        <v>2.1582733812949641E-2</v>
      </c>
      <c r="I63" t="s">
        <v>48</v>
      </c>
      <c r="J63" t="s">
        <v>49</v>
      </c>
      <c r="K63" t="s">
        <v>49</v>
      </c>
      <c r="L63" t="s">
        <v>56</v>
      </c>
      <c r="M63" t="s">
        <v>46</v>
      </c>
      <c r="N63" t="s">
        <v>57</v>
      </c>
      <c r="O63" t="s">
        <v>120</v>
      </c>
    </row>
    <row r="64" spans="1:15" x14ac:dyDescent="0.3">
      <c r="A64">
        <v>12</v>
      </c>
      <c r="B64">
        <v>2022</v>
      </c>
      <c r="C64" t="s">
        <v>22</v>
      </c>
      <c r="D64" t="s">
        <v>6</v>
      </c>
      <c r="E64">
        <v>921</v>
      </c>
      <c r="F64">
        <v>920</v>
      </c>
      <c r="G64">
        <v>0.998914223669924</v>
      </c>
      <c r="H64">
        <v>1.0857763300760044E-3</v>
      </c>
      <c r="I64" t="s">
        <v>48</v>
      </c>
      <c r="J64" t="s">
        <v>49</v>
      </c>
      <c r="K64" t="s">
        <v>49</v>
      </c>
      <c r="L64" t="s">
        <v>50</v>
      </c>
      <c r="M64" t="s">
        <v>51</v>
      </c>
      <c r="N64" t="s">
        <v>52</v>
      </c>
      <c r="O64" t="s">
        <v>121</v>
      </c>
    </row>
    <row r="65" spans="1:15" x14ac:dyDescent="0.3">
      <c r="A65">
        <v>12</v>
      </c>
      <c r="B65">
        <v>2022</v>
      </c>
      <c r="C65" t="s">
        <v>22</v>
      </c>
      <c r="D65" t="s">
        <v>7</v>
      </c>
      <c r="E65">
        <v>100688</v>
      </c>
      <c r="F65">
        <v>99746</v>
      </c>
      <c r="G65">
        <v>0.99064436675671386</v>
      </c>
      <c r="H65">
        <v>9.3556332432861902E-3</v>
      </c>
      <c r="I65" t="s">
        <v>48</v>
      </c>
      <c r="J65" t="s">
        <v>49</v>
      </c>
      <c r="K65" t="s">
        <v>49</v>
      </c>
      <c r="L65" t="s">
        <v>50</v>
      </c>
      <c r="M65" t="s">
        <v>51</v>
      </c>
      <c r="N65" t="s">
        <v>52</v>
      </c>
      <c r="O65" t="s">
        <v>122</v>
      </c>
    </row>
    <row r="66" spans="1:15" x14ac:dyDescent="0.3">
      <c r="A66">
        <v>12</v>
      </c>
      <c r="B66">
        <v>2022</v>
      </c>
      <c r="C66" t="s">
        <v>22</v>
      </c>
      <c r="D66" t="s">
        <v>8</v>
      </c>
      <c r="E66">
        <v>1069</v>
      </c>
      <c r="F66">
        <v>1060</v>
      </c>
      <c r="G66">
        <v>0.99158091674462112</v>
      </c>
      <c r="H66">
        <v>8.4190832553788595E-3</v>
      </c>
      <c r="I66" t="s">
        <v>48</v>
      </c>
      <c r="J66" t="s">
        <v>49</v>
      </c>
      <c r="K66" t="s">
        <v>49</v>
      </c>
      <c r="L66" t="s">
        <v>50</v>
      </c>
      <c r="M66" t="s">
        <v>51</v>
      </c>
      <c r="N66" t="s">
        <v>52</v>
      </c>
      <c r="O66" t="s">
        <v>123</v>
      </c>
    </row>
    <row r="67" spans="1:15" x14ac:dyDescent="0.3">
      <c r="A67">
        <v>12</v>
      </c>
      <c r="B67">
        <v>2022</v>
      </c>
      <c r="C67" t="s">
        <v>22</v>
      </c>
      <c r="D67" t="s">
        <v>9</v>
      </c>
      <c r="E67">
        <v>4480</v>
      </c>
      <c r="F67">
        <v>4471</v>
      </c>
      <c r="G67">
        <v>0.99799107142857146</v>
      </c>
      <c r="H67">
        <v>2.0089285714285712E-3</v>
      </c>
      <c r="I67" t="s">
        <v>48</v>
      </c>
      <c r="J67" t="s">
        <v>49</v>
      </c>
      <c r="K67" t="s">
        <v>49</v>
      </c>
      <c r="L67" t="s">
        <v>50</v>
      </c>
      <c r="M67" t="s">
        <v>51</v>
      </c>
      <c r="N67" t="s">
        <v>52</v>
      </c>
      <c r="O67" t="s">
        <v>124</v>
      </c>
    </row>
    <row r="68" spans="1:15" x14ac:dyDescent="0.3">
      <c r="A68">
        <v>12</v>
      </c>
      <c r="B68">
        <v>2022</v>
      </c>
      <c r="C68" t="s">
        <v>18</v>
      </c>
      <c r="D68" t="s">
        <v>4</v>
      </c>
      <c r="E68">
        <v>38</v>
      </c>
      <c r="F68">
        <v>38</v>
      </c>
      <c r="G68">
        <v>1</v>
      </c>
      <c r="H68">
        <v>0</v>
      </c>
      <c r="I68" t="s">
        <v>48</v>
      </c>
      <c r="J68" t="s">
        <v>53</v>
      </c>
      <c r="K68" t="s">
        <v>53</v>
      </c>
      <c r="L68" t="s">
        <v>55</v>
      </c>
      <c r="M68" t="s">
        <v>46</v>
      </c>
      <c r="N68" t="s">
        <v>54</v>
      </c>
      <c r="O68" t="s">
        <v>125</v>
      </c>
    </row>
    <row r="69" spans="1:15" x14ac:dyDescent="0.3">
      <c r="A69">
        <v>12</v>
      </c>
      <c r="B69">
        <v>2022</v>
      </c>
      <c r="C69" t="s">
        <v>18</v>
      </c>
      <c r="D69" t="s">
        <v>5</v>
      </c>
      <c r="E69">
        <v>357</v>
      </c>
      <c r="F69">
        <v>357</v>
      </c>
      <c r="G69">
        <v>1</v>
      </c>
      <c r="H69">
        <v>0</v>
      </c>
      <c r="I69" t="s">
        <v>48</v>
      </c>
      <c r="J69" t="s">
        <v>49</v>
      </c>
      <c r="K69" t="s">
        <v>49</v>
      </c>
      <c r="L69" t="s">
        <v>50</v>
      </c>
      <c r="M69" t="s">
        <v>51</v>
      </c>
      <c r="N69" t="s">
        <v>52</v>
      </c>
      <c r="O69" t="s">
        <v>126</v>
      </c>
    </row>
    <row r="70" spans="1:15" x14ac:dyDescent="0.3">
      <c r="A70">
        <v>12</v>
      </c>
      <c r="B70">
        <v>2022</v>
      </c>
      <c r="C70" t="s">
        <v>18</v>
      </c>
      <c r="D70" t="s">
        <v>6</v>
      </c>
      <c r="E70">
        <v>0</v>
      </c>
      <c r="F70">
        <v>0</v>
      </c>
      <c r="I70" t="s">
        <v>32</v>
      </c>
      <c r="J70" t="s">
        <v>32</v>
      </c>
      <c r="K70" t="s">
        <v>45</v>
      </c>
      <c r="L70" t="s">
        <v>32</v>
      </c>
      <c r="M70" t="s">
        <v>46</v>
      </c>
      <c r="N70" t="s">
        <v>47</v>
      </c>
      <c r="O70" t="s">
        <v>127</v>
      </c>
    </row>
    <row r="71" spans="1:15" x14ac:dyDescent="0.3">
      <c r="A71">
        <v>12</v>
      </c>
      <c r="B71">
        <v>2022</v>
      </c>
      <c r="C71" t="s">
        <v>18</v>
      </c>
      <c r="D71" t="s">
        <v>7</v>
      </c>
      <c r="E71">
        <v>118675</v>
      </c>
      <c r="F71">
        <v>118046</v>
      </c>
      <c r="G71">
        <v>0.99469981040657263</v>
      </c>
      <c r="H71">
        <v>5.3001895934274281E-3</v>
      </c>
      <c r="I71" t="s">
        <v>48</v>
      </c>
      <c r="J71" t="s">
        <v>49</v>
      </c>
      <c r="K71" t="s">
        <v>49</v>
      </c>
      <c r="L71" t="s">
        <v>50</v>
      </c>
      <c r="M71" t="s">
        <v>51</v>
      </c>
      <c r="N71" t="s">
        <v>52</v>
      </c>
      <c r="O71" t="s">
        <v>128</v>
      </c>
    </row>
    <row r="72" spans="1:15" x14ac:dyDescent="0.3">
      <c r="A72">
        <v>12</v>
      </c>
      <c r="B72">
        <v>2022</v>
      </c>
      <c r="C72" t="s">
        <v>18</v>
      </c>
      <c r="D72" t="s">
        <v>8</v>
      </c>
      <c r="E72">
        <v>2231</v>
      </c>
      <c r="F72">
        <v>2225</v>
      </c>
      <c r="G72">
        <v>0.99731062303899598</v>
      </c>
      <c r="H72">
        <v>2.689376961004034E-3</v>
      </c>
      <c r="I72" t="s">
        <v>48</v>
      </c>
      <c r="J72" t="s">
        <v>49</v>
      </c>
      <c r="K72" t="s">
        <v>49</v>
      </c>
      <c r="L72" t="s">
        <v>50</v>
      </c>
      <c r="M72" t="s">
        <v>51</v>
      </c>
      <c r="N72" t="s">
        <v>52</v>
      </c>
      <c r="O72" t="s">
        <v>129</v>
      </c>
    </row>
    <row r="73" spans="1:15" x14ac:dyDescent="0.3">
      <c r="A73">
        <v>12</v>
      </c>
      <c r="B73">
        <v>2022</v>
      </c>
      <c r="C73" t="s">
        <v>18</v>
      </c>
      <c r="D73" t="s">
        <v>9</v>
      </c>
      <c r="E73">
        <v>3615</v>
      </c>
      <c r="F73">
        <v>3607</v>
      </c>
      <c r="G73">
        <v>0.99778699861687414</v>
      </c>
      <c r="H73">
        <v>2.2130013831258644E-3</v>
      </c>
      <c r="I73" t="s">
        <v>48</v>
      </c>
      <c r="J73" t="s">
        <v>49</v>
      </c>
      <c r="K73" t="s">
        <v>49</v>
      </c>
      <c r="L73" t="s">
        <v>50</v>
      </c>
      <c r="M73" t="s">
        <v>51</v>
      </c>
      <c r="N73" t="s">
        <v>52</v>
      </c>
      <c r="O73" t="s">
        <v>130</v>
      </c>
    </row>
    <row r="74" spans="1:15" x14ac:dyDescent="0.3">
      <c r="A74">
        <v>12</v>
      </c>
      <c r="B74">
        <v>2022</v>
      </c>
      <c r="C74" t="s">
        <v>23</v>
      </c>
      <c r="D74" t="s">
        <v>4</v>
      </c>
      <c r="E74">
        <v>0</v>
      </c>
      <c r="F74">
        <v>0</v>
      </c>
      <c r="I74" t="s">
        <v>32</v>
      </c>
      <c r="J74" t="s">
        <v>32</v>
      </c>
      <c r="K74" t="s">
        <v>45</v>
      </c>
      <c r="L74" t="s">
        <v>32</v>
      </c>
      <c r="M74" t="s">
        <v>46</v>
      </c>
      <c r="N74" t="s">
        <v>47</v>
      </c>
      <c r="O74" t="s">
        <v>131</v>
      </c>
    </row>
    <row r="75" spans="1:15" x14ac:dyDescent="0.3">
      <c r="A75">
        <v>12</v>
      </c>
      <c r="B75">
        <v>2022</v>
      </c>
      <c r="C75" t="s">
        <v>23</v>
      </c>
      <c r="D75" t="s">
        <v>5</v>
      </c>
      <c r="E75">
        <v>84</v>
      </c>
      <c r="F75">
        <v>83</v>
      </c>
      <c r="G75">
        <v>0.98809523809523814</v>
      </c>
      <c r="H75">
        <v>1.1904761904761904E-2</v>
      </c>
      <c r="I75" t="s">
        <v>48</v>
      </c>
      <c r="J75" t="s">
        <v>53</v>
      </c>
      <c r="K75" t="s">
        <v>53</v>
      </c>
      <c r="L75" t="s">
        <v>50</v>
      </c>
      <c r="M75" t="s">
        <v>46</v>
      </c>
      <c r="N75" t="s">
        <v>54</v>
      </c>
      <c r="O75" t="s">
        <v>132</v>
      </c>
    </row>
    <row r="76" spans="1:15" x14ac:dyDescent="0.3">
      <c r="A76">
        <v>12</v>
      </c>
      <c r="B76">
        <v>2022</v>
      </c>
      <c r="C76" t="s">
        <v>23</v>
      </c>
      <c r="D76" t="s">
        <v>6</v>
      </c>
      <c r="E76">
        <v>0</v>
      </c>
      <c r="F76">
        <v>0</v>
      </c>
      <c r="I76" t="s">
        <v>32</v>
      </c>
      <c r="J76" t="s">
        <v>32</v>
      </c>
      <c r="K76" t="s">
        <v>45</v>
      </c>
      <c r="L76" t="s">
        <v>32</v>
      </c>
      <c r="M76" t="s">
        <v>46</v>
      </c>
      <c r="N76" t="s">
        <v>47</v>
      </c>
      <c r="O76" t="s">
        <v>133</v>
      </c>
    </row>
    <row r="77" spans="1:15" x14ac:dyDescent="0.3">
      <c r="A77">
        <v>12</v>
      </c>
      <c r="B77">
        <v>2022</v>
      </c>
      <c r="C77" t="s">
        <v>23</v>
      </c>
      <c r="D77" t="s">
        <v>7</v>
      </c>
      <c r="E77">
        <v>84716</v>
      </c>
      <c r="F77">
        <v>83962</v>
      </c>
      <c r="G77">
        <v>0.99109967420558098</v>
      </c>
      <c r="H77">
        <v>8.9003257944189999E-3</v>
      </c>
      <c r="I77" t="s">
        <v>48</v>
      </c>
      <c r="J77" t="s">
        <v>49</v>
      </c>
      <c r="K77" t="s">
        <v>49</v>
      </c>
      <c r="L77" t="s">
        <v>50</v>
      </c>
      <c r="M77" t="s">
        <v>51</v>
      </c>
      <c r="N77" t="s">
        <v>52</v>
      </c>
      <c r="O77" t="s">
        <v>134</v>
      </c>
    </row>
    <row r="78" spans="1:15" x14ac:dyDescent="0.3">
      <c r="A78">
        <v>12</v>
      </c>
      <c r="B78">
        <v>2022</v>
      </c>
      <c r="C78" t="s">
        <v>23</v>
      </c>
      <c r="D78" t="s">
        <v>8</v>
      </c>
      <c r="E78">
        <v>3714</v>
      </c>
      <c r="F78">
        <v>3669</v>
      </c>
      <c r="G78">
        <v>0.98788368336025845</v>
      </c>
      <c r="H78">
        <v>1.2116316639741519E-2</v>
      </c>
      <c r="I78" t="s">
        <v>48</v>
      </c>
      <c r="J78" t="s">
        <v>49</v>
      </c>
      <c r="K78" t="s">
        <v>49</v>
      </c>
      <c r="L78" t="s">
        <v>50</v>
      </c>
      <c r="M78" t="s">
        <v>51</v>
      </c>
      <c r="N78" t="s">
        <v>52</v>
      </c>
      <c r="O78" t="s">
        <v>135</v>
      </c>
    </row>
    <row r="79" spans="1:15" x14ac:dyDescent="0.3">
      <c r="A79">
        <v>12</v>
      </c>
      <c r="B79">
        <v>2022</v>
      </c>
      <c r="C79" t="s">
        <v>23</v>
      </c>
      <c r="D79" t="s">
        <v>9</v>
      </c>
      <c r="E79">
        <v>5409</v>
      </c>
      <c r="F79">
        <v>5398</v>
      </c>
      <c r="G79">
        <v>0.99796635237567022</v>
      </c>
      <c r="H79">
        <v>2.0336476243298205E-3</v>
      </c>
      <c r="I79" t="s">
        <v>48</v>
      </c>
      <c r="J79" t="s">
        <v>49</v>
      </c>
      <c r="K79" t="s">
        <v>49</v>
      </c>
      <c r="L79" t="s">
        <v>50</v>
      </c>
      <c r="M79" t="s">
        <v>51</v>
      </c>
      <c r="N79" t="s">
        <v>52</v>
      </c>
      <c r="O79" t="s">
        <v>136</v>
      </c>
    </row>
    <row r="80" spans="1:15" x14ac:dyDescent="0.3">
      <c r="A80">
        <v>12</v>
      </c>
      <c r="B80">
        <v>2022</v>
      </c>
      <c r="C80" t="s">
        <v>24</v>
      </c>
      <c r="D80" t="s">
        <v>4</v>
      </c>
      <c r="E80">
        <v>0</v>
      </c>
      <c r="F80">
        <v>0</v>
      </c>
      <c r="I80" t="s">
        <v>32</v>
      </c>
      <c r="J80" t="s">
        <v>32</v>
      </c>
      <c r="K80" t="s">
        <v>45</v>
      </c>
      <c r="L80" t="s">
        <v>32</v>
      </c>
      <c r="M80" t="s">
        <v>46</v>
      </c>
      <c r="N80" t="s">
        <v>47</v>
      </c>
      <c r="O80" t="s">
        <v>137</v>
      </c>
    </row>
    <row r="81" spans="1:15" x14ac:dyDescent="0.3">
      <c r="A81">
        <v>12</v>
      </c>
      <c r="B81">
        <v>2022</v>
      </c>
      <c r="C81" t="s">
        <v>24</v>
      </c>
      <c r="D81" t="s">
        <v>5</v>
      </c>
      <c r="E81">
        <v>1336</v>
      </c>
      <c r="F81">
        <v>1272</v>
      </c>
      <c r="G81">
        <v>0.95209580838323349</v>
      </c>
      <c r="H81">
        <v>4.790419161676647E-2</v>
      </c>
      <c r="I81" t="s">
        <v>48</v>
      </c>
      <c r="J81" t="s">
        <v>49</v>
      </c>
      <c r="K81" t="s">
        <v>49</v>
      </c>
      <c r="L81" t="s">
        <v>56</v>
      </c>
      <c r="M81" t="s">
        <v>46</v>
      </c>
      <c r="N81" t="s">
        <v>57</v>
      </c>
      <c r="O81" t="s">
        <v>138</v>
      </c>
    </row>
    <row r="82" spans="1:15" x14ac:dyDescent="0.3">
      <c r="A82">
        <v>12</v>
      </c>
      <c r="B82">
        <v>2022</v>
      </c>
      <c r="C82" t="s">
        <v>24</v>
      </c>
      <c r="D82" t="s">
        <v>6</v>
      </c>
      <c r="E82">
        <v>0</v>
      </c>
      <c r="F82">
        <v>0</v>
      </c>
      <c r="I82" t="s">
        <v>32</v>
      </c>
      <c r="J82" t="s">
        <v>32</v>
      </c>
      <c r="K82" t="s">
        <v>45</v>
      </c>
      <c r="L82" t="s">
        <v>32</v>
      </c>
      <c r="M82" t="s">
        <v>46</v>
      </c>
      <c r="N82" t="s">
        <v>47</v>
      </c>
      <c r="O82" t="s">
        <v>139</v>
      </c>
    </row>
    <row r="83" spans="1:15" x14ac:dyDescent="0.3">
      <c r="A83">
        <v>12</v>
      </c>
      <c r="B83">
        <v>2022</v>
      </c>
      <c r="C83" t="s">
        <v>24</v>
      </c>
      <c r="D83" t="s">
        <v>7</v>
      </c>
      <c r="E83">
        <v>131729</v>
      </c>
      <c r="F83">
        <v>130263</v>
      </c>
      <c r="G83">
        <v>0.98887109140735907</v>
      </c>
      <c r="H83">
        <v>1.1128908592640952E-2</v>
      </c>
      <c r="I83" t="s">
        <v>48</v>
      </c>
      <c r="J83" t="s">
        <v>49</v>
      </c>
      <c r="K83" t="s">
        <v>49</v>
      </c>
      <c r="L83" t="s">
        <v>50</v>
      </c>
      <c r="M83" t="s">
        <v>51</v>
      </c>
      <c r="N83" t="s">
        <v>52</v>
      </c>
      <c r="O83" t="s">
        <v>140</v>
      </c>
    </row>
    <row r="84" spans="1:15" x14ac:dyDescent="0.3">
      <c r="A84">
        <v>12</v>
      </c>
      <c r="B84">
        <v>2022</v>
      </c>
      <c r="C84" t="s">
        <v>24</v>
      </c>
      <c r="D84" t="s">
        <v>8</v>
      </c>
      <c r="E84">
        <v>3184</v>
      </c>
      <c r="F84">
        <v>3152</v>
      </c>
      <c r="G84">
        <v>0.98994974874371855</v>
      </c>
      <c r="H84">
        <v>1.0050251256281407E-2</v>
      </c>
      <c r="I84" t="s">
        <v>48</v>
      </c>
      <c r="J84" t="s">
        <v>49</v>
      </c>
      <c r="K84" t="s">
        <v>49</v>
      </c>
      <c r="L84" t="s">
        <v>50</v>
      </c>
      <c r="M84" t="s">
        <v>51</v>
      </c>
      <c r="N84" t="s">
        <v>52</v>
      </c>
      <c r="O84" t="s">
        <v>141</v>
      </c>
    </row>
    <row r="85" spans="1:15" x14ac:dyDescent="0.3">
      <c r="A85">
        <v>12</v>
      </c>
      <c r="B85">
        <v>2022</v>
      </c>
      <c r="C85" t="s">
        <v>24</v>
      </c>
      <c r="D85" t="s">
        <v>9</v>
      </c>
      <c r="E85">
        <v>8680</v>
      </c>
      <c r="F85">
        <v>8666</v>
      </c>
      <c r="G85">
        <v>0.99838709677419357</v>
      </c>
      <c r="H85">
        <v>1.6129032258064516E-3</v>
      </c>
      <c r="I85" t="s">
        <v>48</v>
      </c>
      <c r="J85" t="s">
        <v>49</v>
      </c>
      <c r="K85" t="s">
        <v>49</v>
      </c>
      <c r="L85" t="s">
        <v>50</v>
      </c>
      <c r="M85" t="s">
        <v>51</v>
      </c>
      <c r="N85" t="s">
        <v>52</v>
      </c>
      <c r="O85" t="s">
        <v>142</v>
      </c>
    </row>
    <row r="86" spans="1:15" x14ac:dyDescent="0.3">
      <c r="A86">
        <v>12</v>
      </c>
      <c r="B86">
        <v>2022</v>
      </c>
      <c r="C86" t="s">
        <v>16</v>
      </c>
      <c r="D86" t="s">
        <v>4</v>
      </c>
      <c r="E86">
        <v>0</v>
      </c>
      <c r="F86">
        <v>0</v>
      </c>
      <c r="I86" t="s">
        <v>32</v>
      </c>
      <c r="J86" t="s">
        <v>32</v>
      </c>
      <c r="K86" t="s">
        <v>45</v>
      </c>
      <c r="L86" t="s">
        <v>32</v>
      </c>
      <c r="M86" t="s">
        <v>46</v>
      </c>
      <c r="N86" t="s">
        <v>47</v>
      </c>
      <c r="O86" t="s">
        <v>143</v>
      </c>
    </row>
    <row r="87" spans="1:15" x14ac:dyDescent="0.3">
      <c r="A87">
        <v>12</v>
      </c>
      <c r="B87">
        <v>2022</v>
      </c>
      <c r="C87" t="s">
        <v>16</v>
      </c>
      <c r="D87" t="s">
        <v>5</v>
      </c>
      <c r="E87">
        <v>1535</v>
      </c>
      <c r="F87">
        <v>1534</v>
      </c>
      <c r="G87">
        <v>0.99934853420195435</v>
      </c>
      <c r="H87">
        <v>6.5146579804560263E-4</v>
      </c>
      <c r="I87" t="s">
        <v>48</v>
      </c>
      <c r="J87" t="s">
        <v>49</v>
      </c>
      <c r="K87" t="s">
        <v>49</v>
      </c>
      <c r="L87" t="s">
        <v>50</v>
      </c>
      <c r="M87" t="s">
        <v>51</v>
      </c>
      <c r="N87" t="s">
        <v>52</v>
      </c>
      <c r="O87" t="s">
        <v>144</v>
      </c>
    </row>
    <row r="88" spans="1:15" x14ac:dyDescent="0.3">
      <c r="A88">
        <v>12</v>
      </c>
      <c r="B88">
        <v>2022</v>
      </c>
      <c r="C88" t="s">
        <v>16</v>
      </c>
      <c r="D88" t="s">
        <v>6</v>
      </c>
      <c r="E88">
        <v>0</v>
      </c>
      <c r="F88">
        <v>0</v>
      </c>
      <c r="I88" t="s">
        <v>32</v>
      </c>
      <c r="J88" t="s">
        <v>32</v>
      </c>
      <c r="K88" t="s">
        <v>45</v>
      </c>
      <c r="L88" t="s">
        <v>32</v>
      </c>
      <c r="M88" t="s">
        <v>46</v>
      </c>
      <c r="N88" t="s">
        <v>47</v>
      </c>
      <c r="O88" t="s">
        <v>145</v>
      </c>
    </row>
    <row r="89" spans="1:15" x14ac:dyDescent="0.3">
      <c r="A89">
        <v>12</v>
      </c>
      <c r="B89">
        <v>2022</v>
      </c>
      <c r="C89" t="s">
        <v>16</v>
      </c>
      <c r="D89" t="s">
        <v>7</v>
      </c>
      <c r="E89">
        <v>22801</v>
      </c>
      <c r="F89">
        <v>22742</v>
      </c>
      <c r="G89">
        <v>0.99741239419323713</v>
      </c>
      <c r="H89">
        <v>2.5876058067628611E-3</v>
      </c>
      <c r="I89" t="s">
        <v>48</v>
      </c>
      <c r="J89" t="s">
        <v>49</v>
      </c>
      <c r="K89" t="s">
        <v>49</v>
      </c>
      <c r="L89" t="s">
        <v>50</v>
      </c>
      <c r="M89" t="s">
        <v>51</v>
      </c>
      <c r="N89" t="s">
        <v>52</v>
      </c>
      <c r="O89" t="s">
        <v>146</v>
      </c>
    </row>
    <row r="90" spans="1:15" x14ac:dyDescent="0.3">
      <c r="A90">
        <v>12</v>
      </c>
      <c r="B90">
        <v>2022</v>
      </c>
      <c r="C90" t="s">
        <v>16</v>
      </c>
      <c r="D90" t="s">
        <v>8</v>
      </c>
      <c r="E90">
        <v>1673</v>
      </c>
      <c r="F90">
        <v>1662</v>
      </c>
      <c r="G90">
        <v>0.99342498505678423</v>
      </c>
      <c r="H90">
        <v>6.5750149432157803E-3</v>
      </c>
      <c r="I90" t="s">
        <v>48</v>
      </c>
      <c r="J90" t="s">
        <v>49</v>
      </c>
      <c r="K90" t="s">
        <v>49</v>
      </c>
      <c r="L90" t="s">
        <v>50</v>
      </c>
      <c r="M90" t="s">
        <v>51</v>
      </c>
      <c r="N90" t="s">
        <v>52</v>
      </c>
      <c r="O90" t="s">
        <v>147</v>
      </c>
    </row>
    <row r="91" spans="1:15" x14ac:dyDescent="0.3">
      <c r="A91">
        <v>12</v>
      </c>
      <c r="B91">
        <v>2022</v>
      </c>
      <c r="C91" t="s">
        <v>16</v>
      </c>
      <c r="D91" t="s">
        <v>9</v>
      </c>
      <c r="E91">
        <v>4859</v>
      </c>
      <c r="F91">
        <v>4849</v>
      </c>
      <c r="G91">
        <v>0.99794196336694796</v>
      </c>
      <c r="H91">
        <v>2.0580366330520683E-3</v>
      </c>
      <c r="I91" t="s">
        <v>48</v>
      </c>
      <c r="J91" t="s">
        <v>49</v>
      </c>
      <c r="K91" t="s">
        <v>49</v>
      </c>
      <c r="L91" t="s">
        <v>50</v>
      </c>
      <c r="M91" t="s">
        <v>51</v>
      </c>
      <c r="N91" t="s">
        <v>52</v>
      </c>
      <c r="O91" t="s">
        <v>148</v>
      </c>
    </row>
    <row r="92" spans="1:15" x14ac:dyDescent="0.3">
      <c r="A92">
        <v>12</v>
      </c>
      <c r="B92">
        <v>2022</v>
      </c>
      <c r="C92" t="s">
        <v>25</v>
      </c>
      <c r="D92" t="s">
        <v>4</v>
      </c>
      <c r="E92">
        <v>0</v>
      </c>
      <c r="F92">
        <v>0</v>
      </c>
      <c r="I92" t="s">
        <v>32</v>
      </c>
      <c r="J92" t="s">
        <v>32</v>
      </c>
      <c r="K92" t="s">
        <v>45</v>
      </c>
      <c r="L92" t="s">
        <v>32</v>
      </c>
      <c r="M92" t="s">
        <v>46</v>
      </c>
      <c r="N92" t="s">
        <v>47</v>
      </c>
      <c r="O92" t="s">
        <v>149</v>
      </c>
    </row>
    <row r="93" spans="1:15" x14ac:dyDescent="0.3">
      <c r="A93">
        <v>12</v>
      </c>
      <c r="B93">
        <v>2022</v>
      </c>
      <c r="C93" t="s">
        <v>25</v>
      </c>
      <c r="D93" t="s">
        <v>5</v>
      </c>
      <c r="E93">
        <v>82</v>
      </c>
      <c r="F93">
        <v>82</v>
      </c>
      <c r="G93">
        <v>1</v>
      </c>
      <c r="H93">
        <v>0</v>
      </c>
      <c r="I93" t="s">
        <v>48</v>
      </c>
      <c r="J93" t="s">
        <v>53</v>
      </c>
      <c r="K93" t="s">
        <v>53</v>
      </c>
      <c r="L93" t="s">
        <v>55</v>
      </c>
      <c r="M93" t="s">
        <v>46</v>
      </c>
      <c r="N93" t="s">
        <v>54</v>
      </c>
      <c r="O93" t="s">
        <v>150</v>
      </c>
    </row>
    <row r="94" spans="1:15" x14ac:dyDescent="0.3">
      <c r="A94">
        <v>12</v>
      </c>
      <c r="B94">
        <v>2022</v>
      </c>
      <c r="C94" t="s">
        <v>25</v>
      </c>
      <c r="D94" t="s">
        <v>6</v>
      </c>
      <c r="E94">
        <v>0</v>
      </c>
      <c r="F94">
        <v>0</v>
      </c>
      <c r="I94" t="s">
        <v>32</v>
      </c>
      <c r="J94" t="s">
        <v>32</v>
      </c>
      <c r="K94" t="s">
        <v>45</v>
      </c>
      <c r="L94" t="s">
        <v>32</v>
      </c>
      <c r="M94" t="s">
        <v>46</v>
      </c>
      <c r="N94" t="s">
        <v>47</v>
      </c>
      <c r="O94" t="s">
        <v>151</v>
      </c>
    </row>
    <row r="95" spans="1:15" x14ac:dyDescent="0.3">
      <c r="A95">
        <v>12</v>
      </c>
      <c r="B95">
        <v>2022</v>
      </c>
      <c r="C95" t="s">
        <v>25</v>
      </c>
      <c r="D95" t="s">
        <v>7</v>
      </c>
      <c r="E95">
        <v>33500</v>
      </c>
      <c r="F95">
        <v>33462</v>
      </c>
      <c r="G95">
        <v>0.99886567164179108</v>
      </c>
      <c r="H95">
        <v>1.1343283582089553E-3</v>
      </c>
      <c r="I95" t="s">
        <v>48</v>
      </c>
      <c r="J95" t="s">
        <v>49</v>
      </c>
      <c r="K95" t="s">
        <v>49</v>
      </c>
      <c r="L95" t="s">
        <v>50</v>
      </c>
      <c r="M95" t="s">
        <v>51</v>
      </c>
      <c r="N95" t="s">
        <v>52</v>
      </c>
      <c r="O95" t="s">
        <v>152</v>
      </c>
    </row>
    <row r="96" spans="1:15" x14ac:dyDescent="0.3">
      <c r="A96">
        <v>12</v>
      </c>
      <c r="B96">
        <v>2022</v>
      </c>
      <c r="C96" t="s">
        <v>25</v>
      </c>
      <c r="D96" t="s">
        <v>8</v>
      </c>
      <c r="E96">
        <v>973</v>
      </c>
      <c r="F96">
        <v>972</v>
      </c>
      <c r="G96">
        <v>0.99897225077081198</v>
      </c>
      <c r="H96">
        <v>1.0277492291880781E-3</v>
      </c>
      <c r="I96" t="s">
        <v>48</v>
      </c>
      <c r="J96" t="s">
        <v>49</v>
      </c>
      <c r="K96" t="s">
        <v>49</v>
      </c>
      <c r="L96" t="s">
        <v>50</v>
      </c>
      <c r="M96" t="s">
        <v>51</v>
      </c>
      <c r="N96" t="s">
        <v>52</v>
      </c>
      <c r="O96" t="s">
        <v>153</v>
      </c>
    </row>
    <row r="97" spans="1:15" x14ac:dyDescent="0.3">
      <c r="A97">
        <v>12</v>
      </c>
      <c r="B97">
        <v>2022</v>
      </c>
      <c r="C97" t="s">
        <v>25</v>
      </c>
      <c r="D97" t="s">
        <v>9</v>
      </c>
      <c r="E97">
        <v>3666</v>
      </c>
      <c r="F97">
        <v>3661</v>
      </c>
      <c r="G97">
        <v>0.9986361156573923</v>
      </c>
      <c r="H97">
        <v>1.363884342607747E-3</v>
      </c>
      <c r="I97" t="s">
        <v>48</v>
      </c>
      <c r="J97" t="s">
        <v>49</v>
      </c>
      <c r="K97" t="s">
        <v>49</v>
      </c>
      <c r="L97" t="s">
        <v>50</v>
      </c>
      <c r="M97" t="s">
        <v>51</v>
      </c>
      <c r="N97" t="s">
        <v>52</v>
      </c>
      <c r="O97" t="s">
        <v>154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BC32-DF49-459B-8334-447C6DF03634}">
  <sheetPr codeName="Sheet4"/>
  <dimension ref="A1:G385"/>
  <sheetViews>
    <sheetView workbookViewId="0">
      <pane ySplit="1" topLeftCell="A39" activePane="bottomLeft" state="frozen"/>
      <selection pane="bottomLeft" activeCell="E21" sqref="E21"/>
    </sheetView>
  </sheetViews>
  <sheetFormatPr defaultRowHeight="14.4" x14ac:dyDescent="0.3"/>
  <cols>
    <col min="1" max="1" width="7.77734375" bestFit="1" customWidth="1"/>
    <col min="2" max="2" width="6.88671875" bestFit="1" customWidth="1"/>
    <col min="3" max="3" width="12" bestFit="1" customWidth="1"/>
    <col min="4" max="4" width="13.109375" bestFit="1" customWidth="1"/>
    <col min="5" max="5" width="30" bestFit="1" customWidth="1"/>
    <col min="6" max="6" width="17.77734375" bestFit="1" customWidth="1"/>
    <col min="7" max="7" width="16.88671875" bestFit="1" customWidth="1"/>
  </cols>
  <sheetData>
    <row r="1" spans="1:7" x14ac:dyDescent="0.3">
      <c r="A1" t="s">
        <v>0</v>
      </c>
      <c r="B1" t="s">
        <v>1</v>
      </c>
      <c r="C1" t="s">
        <v>28</v>
      </c>
      <c r="D1" t="s">
        <v>29</v>
      </c>
      <c r="E1" t="s">
        <v>58</v>
      </c>
      <c r="F1" t="s">
        <v>155</v>
      </c>
      <c r="G1" t="s">
        <v>156</v>
      </c>
    </row>
    <row r="2" spans="1:7" x14ac:dyDescent="0.3">
      <c r="A2">
        <v>12</v>
      </c>
      <c r="B2">
        <v>2022</v>
      </c>
      <c r="C2" t="s">
        <v>10</v>
      </c>
      <c r="D2" t="s">
        <v>5</v>
      </c>
      <c r="E2" t="s">
        <v>60</v>
      </c>
      <c r="F2" t="s">
        <v>35</v>
      </c>
      <c r="G2" t="s">
        <v>33</v>
      </c>
    </row>
    <row r="3" spans="1:7" x14ac:dyDescent="0.3">
      <c r="A3">
        <v>12</v>
      </c>
      <c r="B3">
        <v>2022</v>
      </c>
      <c r="C3" t="s">
        <v>10</v>
      </c>
      <c r="D3" t="s">
        <v>5</v>
      </c>
      <c r="E3" t="s">
        <v>60</v>
      </c>
      <c r="F3" t="s">
        <v>36</v>
      </c>
      <c r="G3" t="s">
        <v>33</v>
      </c>
    </row>
    <row r="4" spans="1:7" x14ac:dyDescent="0.3">
      <c r="A4">
        <v>12</v>
      </c>
      <c r="B4">
        <v>2022</v>
      </c>
      <c r="C4" t="s">
        <v>10</v>
      </c>
      <c r="D4" t="s">
        <v>5</v>
      </c>
      <c r="E4" t="s">
        <v>60</v>
      </c>
      <c r="F4" t="s">
        <v>34</v>
      </c>
      <c r="G4" t="s">
        <v>33</v>
      </c>
    </row>
    <row r="5" spans="1:7" x14ac:dyDescent="0.3">
      <c r="A5">
        <v>12</v>
      </c>
      <c r="B5">
        <v>2022</v>
      </c>
      <c r="C5" t="s">
        <v>10</v>
      </c>
      <c r="D5" t="s">
        <v>5</v>
      </c>
      <c r="E5" t="s">
        <v>60</v>
      </c>
      <c r="F5" t="s">
        <v>157</v>
      </c>
      <c r="G5" t="s">
        <v>33</v>
      </c>
    </row>
    <row r="6" spans="1:7" x14ac:dyDescent="0.3">
      <c r="A6">
        <v>12</v>
      </c>
      <c r="B6">
        <v>2022</v>
      </c>
      <c r="C6" t="s">
        <v>19</v>
      </c>
      <c r="D6" t="s">
        <v>5</v>
      </c>
      <c r="E6" t="s">
        <v>66</v>
      </c>
      <c r="F6" t="s">
        <v>35</v>
      </c>
      <c r="G6" t="s">
        <v>33</v>
      </c>
    </row>
    <row r="7" spans="1:7" x14ac:dyDescent="0.3">
      <c r="A7">
        <v>12</v>
      </c>
      <c r="B7">
        <v>2022</v>
      </c>
      <c r="C7" t="s">
        <v>19</v>
      </c>
      <c r="D7" t="s">
        <v>5</v>
      </c>
      <c r="E7" t="s">
        <v>66</v>
      </c>
      <c r="F7" t="s">
        <v>36</v>
      </c>
      <c r="G7" t="s">
        <v>33</v>
      </c>
    </row>
    <row r="8" spans="1:7" x14ac:dyDescent="0.3">
      <c r="A8">
        <v>12</v>
      </c>
      <c r="B8">
        <v>2022</v>
      </c>
      <c r="C8" t="s">
        <v>19</v>
      </c>
      <c r="D8" t="s">
        <v>5</v>
      </c>
      <c r="E8" t="s">
        <v>66</v>
      </c>
      <c r="F8" t="s">
        <v>34</v>
      </c>
      <c r="G8" t="s">
        <v>33</v>
      </c>
    </row>
    <row r="9" spans="1:7" x14ac:dyDescent="0.3">
      <c r="A9">
        <v>12</v>
      </c>
      <c r="B9">
        <v>2022</v>
      </c>
      <c r="C9" t="s">
        <v>19</v>
      </c>
      <c r="D9" t="s">
        <v>5</v>
      </c>
      <c r="E9" t="s">
        <v>66</v>
      </c>
      <c r="F9" t="s">
        <v>157</v>
      </c>
      <c r="G9" t="s">
        <v>33</v>
      </c>
    </row>
    <row r="10" spans="1:7" x14ac:dyDescent="0.3">
      <c r="A10">
        <v>12</v>
      </c>
      <c r="B10">
        <v>2022</v>
      </c>
      <c r="C10" t="s">
        <v>20</v>
      </c>
      <c r="D10" t="s">
        <v>5</v>
      </c>
      <c r="E10" t="s">
        <v>72</v>
      </c>
      <c r="F10" t="s">
        <v>35</v>
      </c>
      <c r="G10" t="s">
        <v>33</v>
      </c>
    </row>
    <row r="11" spans="1:7" x14ac:dyDescent="0.3">
      <c r="A11">
        <v>12</v>
      </c>
      <c r="B11">
        <v>2022</v>
      </c>
      <c r="C11" t="s">
        <v>20</v>
      </c>
      <c r="D11" t="s">
        <v>5</v>
      </c>
      <c r="E11" t="s">
        <v>72</v>
      </c>
      <c r="F11" t="s">
        <v>36</v>
      </c>
      <c r="G11" t="s">
        <v>33</v>
      </c>
    </row>
    <row r="12" spans="1:7" x14ac:dyDescent="0.3">
      <c r="A12">
        <v>12</v>
      </c>
      <c r="B12">
        <v>2022</v>
      </c>
      <c r="C12" t="s">
        <v>20</v>
      </c>
      <c r="D12" t="s">
        <v>5</v>
      </c>
      <c r="E12" t="s">
        <v>72</v>
      </c>
      <c r="F12" t="s">
        <v>34</v>
      </c>
      <c r="G12" t="s">
        <v>33</v>
      </c>
    </row>
    <row r="13" spans="1:7" x14ac:dyDescent="0.3">
      <c r="A13">
        <v>12</v>
      </c>
      <c r="B13">
        <v>2022</v>
      </c>
      <c r="C13" t="s">
        <v>20</v>
      </c>
      <c r="D13" t="s">
        <v>5</v>
      </c>
      <c r="E13" t="s">
        <v>72</v>
      </c>
      <c r="F13" t="s">
        <v>157</v>
      </c>
      <c r="G13" t="s">
        <v>33</v>
      </c>
    </row>
    <row r="14" spans="1:7" x14ac:dyDescent="0.3">
      <c r="A14">
        <v>12</v>
      </c>
      <c r="B14">
        <v>2022</v>
      </c>
      <c r="C14" t="s">
        <v>13</v>
      </c>
      <c r="D14" t="s">
        <v>5</v>
      </c>
      <c r="E14" t="s">
        <v>78</v>
      </c>
      <c r="F14" t="s">
        <v>35</v>
      </c>
      <c r="G14" t="s">
        <v>33</v>
      </c>
    </row>
    <row r="15" spans="1:7" x14ac:dyDescent="0.3">
      <c r="A15">
        <v>12</v>
      </c>
      <c r="B15">
        <v>2022</v>
      </c>
      <c r="C15" t="s">
        <v>13</v>
      </c>
      <c r="D15" t="s">
        <v>5</v>
      </c>
      <c r="E15" t="s">
        <v>78</v>
      </c>
      <c r="F15" t="s">
        <v>36</v>
      </c>
      <c r="G15" t="s">
        <v>33</v>
      </c>
    </row>
    <row r="16" spans="1:7" x14ac:dyDescent="0.3">
      <c r="A16">
        <v>12</v>
      </c>
      <c r="B16">
        <v>2022</v>
      </c>
      <c r="C16" t="s">
        <v>13</v>
      </c>
      <c r="D16" t="s">
        <v>5</v>
      </c>
      <c r="E16" t="s">
        <v>78</v>
      </c>
      <c r="F16" t="s">
        <v>34</v>
      </c>
      <c r="G16" t="s">
        <v>33</v>
      </c>
    </row>
    <row r="17" spans="1:7" x14ac:dyDescent="0.3">
      <c r="A17">
        <v>12</v>
      </c>
      <c r="B17">
        <v>2022</v>
      </c>
      <c r="C17" t="s">
        <v>13</v>
      </c>
      <c r="D17" t="s">
        <v>5</v>
      </c>
      <c r="E17" t="s">
        <v>78</v>
      </c>
      <c r="F17" t="s">
        <v>157</v>
      </c>
      <c r="G17" t="s">
        <v>33</v>
      </c>
    </row>
    <row r="18" spans="1:7" x14ac:dyDescent="0.3">
      <c r="A18">
        <v>12</v>
      </c>
      <c r="B18">
        <v>2022</v>
      </c>
      <c r="C18" t="s">
        <v>14</v>
      </c>
      <c r="D18" t="s">
        <v>5</v>
      </c>
      <c r="E18" t="s">
        <v>84</v>
      </c>
      <c r="F18" t="s">
        <v>35</v>
      </c>
      <c r="G18" t="s">
        <v>33</v>
      </c>
    </row>
    <row r="19" spans="1:7" x14ac:dyDescent="0.3">
      <c r="A19">
        <v>12</v>
      </c>
      <c r="B19">
        <v>2022</v>
      </c>
      <c r="C19" t="s">
        <v>14</v>
      </c>
      <c r="D19" t="s">
        <v>5</v>
      </c>
      <c r="E19" t="s">
        <v>84</v>
      </c>
      <c r="F19" t="s">
        <v>36</v>
      </c>
      <c r="G19" t="s">
        <v>33</v>
      </c>
    </row>
    <row r="20" spans="1:7" x14ac:dyDescent="0.3">
      <c r="A20">
        <v>12</v>
      </c>
      <c r="B20">
        <v>2022</v>
      </c>
      <c r="C20" t="s">
        <v>14</v>
      </c>
      <c r="D20" t="s">
        <v>5</v>
      </c>
      <c r="E20" t="s">
        <v>84</v>
      </c>
      <c r="F20" t="s">
        <v>34</v>
      </c>
      <c r="G20" t="s">
        <v>33</v>
      </c>
    </row>
    <row r="21" spans="1:7" x14ac:dyDescent="0.3">
      <c r="A21">
        <v>12</v>
      </c>
      <c r="B21">
        <v>2022</v>
      </c>
      <c r="C21" t="s">
        <v>14</v>
      </c>
      <c r="D21" t="s">
        <v>5</v>
      </c>
      <c r="E21" t="s">
        <v>84</v>
      </c>
      <c r="F21" t="s">
        <v>157</v>
      </c>
      <c r="G21" t="s">
        <v>33</v>
      </c>
    </row>
    <row r="22" spans="1:7" x14ac:dyDescent="0.3">
      <c r="A22">
        <v>12</v>
      </c>
      <c r="B22">
        <v>2022</v>
      </c>
      <c r="C22" t="s">
        <v>21</v>
      </c>
      <c r="D22" t="s">
        <v>5</v>
      </c>
      <c r="E22" t="s">
        <v>90</v>
      </c>
      <c r="F22" t="s">
        <v>35</v>
      </c>
      <c r="G22" t="s">
        <v>33</v>
      </c>
    </row>
    <row r="23" spans="1:7" x14ac:dyDescent="0.3">
      <c r="A23">
        <v>12</v>
      </c>
      <c r="B23">
        <v>2022</v>
      </c>
      <c r="C23" t="s">
        <v>21</v>
      </c>
      <c r="D23" t="s">
        <v>5</v>
      </c>
      <c r="E23" t="s">
        <v>90</v>
      </c>
      <c r="F23" t="s">
        <v>36</v>
      </c>
      <c r="G23" t="s">
        <v>33</v>
      </c>
    </row>
    <row r="24" spans="1:7" x14ac:dyDescent="0.3">
      <c r="A24">
        <v>12</v>
      </c>
      <c r="B24">
        <v>2022</v>
      </c>
      <c r="C24" t="s">
        <v>21</v>
      </c>
      <c r="D24" t="s">
        <v>5</v>
      </c>
      <c r="E24" t="s">
        <v>90</v>
      </c>
      <c r="F24" t="s">
        <v>34</v>
      </c>
      <c r="G24" t="s">
        <v>33</v>
      </c>
    </row>
    <row r="25" spans="1:7" x14ac:dyDescent="0.3">
      <c r="A25">
        <v>12</v>
      </c>
      <c r="B25">
        <v>2022</v>
      </c>
      <c r="C25" t="s">
        <v>21</v>
      </c>
      <c r="D25" t="s">
        <v>5</v>
      </c>
      <c r="E25" t="s">
        <v>90</v>
      </c>
      <c r="F25" t="s">
        <v>157</v>
      </c>
      <c r="G25" t="s">
        <v>33</v>
      </c>
    </row>
    <row r="26" spans="1:7" x14ac:dyDescent="0.3">
      <c r="A26">
        <v>12</v>
      </c>
      <c r="B26">
        <v>2022</v>
      </c>
      <c r="C26" t="s">
        <v>26</v>
      </c>
      <c r="D26" t="s">
        <v>5</v>
      </c>
      <c r="E26" t="s">
        <v>96</v>
      </c>
      <c r="F26" t="s">
        <v>35</v>
      </c>
      <c r="G26" t="s">
        <v>33</v>
      </c>
    </row>
    <row r="27" spans="1:7" x14ac:dyDescent="0.3">
      <c r="A27">
        <v>12</v>
      </c>
      <c r="B27">
        <v>2022</v>
      </c>
      <c r="C27" t="s">
        <v>26</v>
      </c>
      <c r="D27" t="s">
        <v>5</v>
      </c>
      <c r="E27" t="s">
        <v>96</v>
      </c>
      <c r="F27" t="s">
        <v>36</v>
      </c>
      <c r="G27" t="s">
        <v>33</v>
      </c>
    </row>
    <row r="28" spans="1:7" x14ac:dyDescent="0.3">
      <c r="A28">
        <v>12</v>
      </c>
      <c r="B28">
        <v>2022</v>
      </c>
      <c r="C28" t="s">
        <v>26</v>
      </c>
      <c r="D28" t="s">
        <v>5</v>
      </c>
      <c r="E28" t="s">
        <v>96</v>
      </c>
      <c r="F28" t="s">
        <v>34</v>
      </c>
      <c r="G28" t="s">
        <v>33</v>
      </c>
    </row>
    <row r="29" spans="1:7" x14ac:dyDescent="0.3">
      <c r="A29">
        <v>12</v>
      </c>
      <c r="B29">
        <v>2022</v>
      </c>
      <c r="C29" t="s">
        <v>26</v>
      </c>
      <c r="D29" t="s">
        <v>5</v>
      </c>
      <c r="E29" t="s">
        <v>96</v>
      </c>
      <c r="F29" t="s">
        <v>157</v>
      </c>
      <c r="G29" t="s">
        <v>33</v>
      </c>
    </row>
    <row r="30" spans="1:7" x14ac:dyDescent="0.3">
      <c r="A30">
        <v>12</v>
      </c>
      <c r="B30">
        <v>2022</v>
      </c>
      <c r="C30" t="s">
        <v>15</v>
      </c>
      <c r="D30" t="s">
        <v>5</v>
      </c>
      <c r="E30" t="s">
        <v>102</v>
      </c>
      <c r="F30" t="s">
        <v>35</v>
      </c>
      <c r="G30" t="s">
        <v>33</v>
      </c>
    </row>
    <row r="31" spans="1:7" x14ac:dyDescent="0.3">
      <c r="A31">
        <v>12</v>
      </c>
      <c r="B31">
        <v>2022</v>
      </c>
      <c r="C31" t="s">
        <v>15</v>
      </c>
      <c r="D31" t="s">
        <v>5</v>
      </c>
      <c r="E31" t="s">
        <v>102</v>
      </c>
      <c r="F31" t="s">
        <v>36</v>
      </c>
      <c r="G31" t="s">
        <v>33</v>
      </c>
    </row>
    <row r="32" spans="1:7" x14ac:dyDescent="0.3">
      <c r="A32">
        <v>12</v>
      </c>
      <c r="B32">
        <v>2022</v>
      </c>
      <c r="C32" t="s">
        <v>15</v>
      </c>
      <c r="D32" t="s">
        <v>5</v>
      </c>
      <c r="E32" t="s">
        <v>102</v>
      </c>
      <c r="F32" t="s">
        <v>34</v>
      </c>
      <c r="G32" t="s">
        <v>33</v>
      </c>
    </row>
    <row r="33" spans="1:7" x14ac:dyDescent="0.3">
      <c r="A33">
        <v>12</v>
      </c>
      <c r="B33">
        <v>2022</v>
      </c>
      <c r="C33" t="s">
        <v>15</v>
      </c>
      <c r="D33" t="s">
        <v>5</v>
      </c>
      <c r="E33" t="s">
        <v>102</v>
      </c>
      <c r="F33" t="s">
        <v>157</v>
      </c>
      <c r="G33" t="s">
        <v>33</v>
      </c>
    </row>
    <row r="34" spans="1:7" x14ac:dyDescent="0.3">
      <c r="A34">
        <v>12</v>
      </c>
      <c r="B34">
        <v>2022</v>
      </c>
      <c r="C34" t="s">
        <v>27</v>
      </c>
      <c r="D34" t="s">
        <v>5</v>
      </c>
      <c r="E34" t="s">
        <v>108</v>
      </c>
      <c r="F34" t="s">
        <v>35</v>
      </c>
      <c r="G34" t="s">
        <v>33</v>
      </c>
    </row>
    <row r="35" spans="1:7" x14ac:dyDescent="0.3">
      <c r="A35">
        <v>12</v>
      </c>
      <c r="B35">
        <v>2022</v>
      </c>
      <c r="C35" t="s">
        <v>27</v>
      </c>
      <c r="D35" t="s">
        <v>5</v>
      </c>
      <c r="E35" t="s">
        <v>108</v>
      </c>
      <c r="F35" t="s">
        <v>36</v>
      </c>
      <c r="G35" t="s">
        <v>33</v>
      </c>
    </row>
    <row r="36" spans="1:7" x14ac:dyDescent="0.3">
      <c r="A36">
        <v>12</v>
      </c>
      <c r="B36">
        <v>2022</v>
      </c>
      <c r="C36" t="s">
        <v>27</v>
      </c>
      <c r="D36" t="s">
        <v>5</v>
      </c>
      <c r="E36" t="s">
        <v>108</v>
      </c>
      <c r="F36" t="s">
        <v>34</v>
      </c>
      <c r="G36" t="s">
        <v>33</v>
      </c>
    </row>
    <row r="37" spans="1:7" x14ac:dyDescent="0.3">
      <c r="A37">
        <v>12</v>
      </c>
      <c r="B37">
        <v>2022</v>
      </c>
      <c r="C37" t="s">
        <v>27</v>
      </c>
      <c r="D37" t="s">
        <v>5</v>
      </c>
      <c r="E37" t="s">
        <v>108</v>
      </c>
      <c r="F37" t="s">
        <v>157</v>
      </c>
      <c r="G37" t="s">
        <v>33</v>
      </c>
    </row>
    <row r="38" spans="1:7" x14ac:dyDescent="0.3">
      <c r="A38">
        <v>12</v>
      </c>
      <c r="B38">
        <v>2022</v>
      </c>
      <c r="C38" t="s">
        <v>17</v>
      </c>
      <c r="D38" t="s">
        <v>5</v>
      </c>
      <c r="E38" t="s">
        <v>114</v>
      </c>
      <c r="F38" t="s">
        <v>35</v>
      </c>
      <c r="G38" t="s">
        <v>33</v>
      </c>
    </row>
    <row r="39" spans="1:7" x14ac:dyDescent="0.3">
      <c r="A39">
        <v>12</v>
      </c>
      <c r="B39">
        <v>2022</v>
      </c>
      <c r="C39" t="s">
        <v>17</v>
      </c>
      <c r="D39" t="s">
        <v>5</v>
      </c>
      <c r="E39" t="s">
        <v>114</v>
      </c>
      <c r="F39" t="s">
        <v>36</v>
      </c>
      <c r="G39" t="s">
        <v>33</v>
      </c>
    </row>
    <row r="40" spans="1:7" x14ac:dyDescent="0.3">
      <c r="A40">
        <v>12</v>
      </c>
      <c r="B40">
        <v>2022</v>
      </c>
      <c r="C40" t="s">
        <v>17</v>
      </c>
      <c r="D40" t="s">
        <v>5</v>
      </c>
      <c r="E40" t="s">
        <v>114</v>
      </c>
      <c r="F40" t="s">
        <v>34</v>
      </c>
      <c r="G40" t="s">
        <v>33</v>
      </c>
    </row>
    <row r="41" spans="1:7" x14ac:dyDescent="0.3">
      <c r="A41">
        <v>12</v>
      </c>
      <c r="B41">
        <v>2022</v>
      </c>
      <c r="C41" t="s">
        <v>17</v>
      </c>
      <c r="D41" t="s">
        <v>5</v>
      </c>
      <c r="E41" t="s">
        <v>114</v>
      </c>
      <c r="F41" t="s">
        <v>157</v>
      </c>
      <c r="G41" t="s">
        <v>33</v>
      </c>
    </row>
    <row r="42" spans="1:7" x14ac:dyDescent="0.3">
      <c r="A42">
        <v>12</v>
      </c>
      <c r="B42">
        <v>2022</v>
      </c>
      <c r="C42" t="s">
        <v>22</v>
      </c>
      <c r="D42" t="s">
        <v>5</v>
      </c>
      <c r="E42" t="s">
        <v>120</v>
      </c>
      <c r="F42" t="s">
        <v>35</v>
      </c>
      <c r="G42" t="s">
        <v>33</v>
      </c>
    </row>
    <row r="43" spans="1:7" x14ac:dyDescent="0.3">
      <c r="A43">
        <v>12</v>
      </c>
      <c r="B43">
        <v>2022</v>
      </c>
      <c r="C43" t="s">
        <v>22</v>
      </c>
      <c r="D43" t="s">
        <v>5</v>
      </c>
      <c r="E43" t="s">
        <v>120</v>
      </c>
      <c r="F43" t="s">
        <v>36</v>
      </c>
      <c r="G43" t="s">
        <v>33</v>
      </c>
    </row>
    <row r="44" spans="1:7" x14ac:dyDescent="0.3">
      <c r="A44">
        <v>12</v>
      </c>
      <c r="B44">
        <v>2022</v>
      </c>
      <c r="C44" t="s">
        <v>22</v>
      </c>
      <c r="D44" t="s">
        <v>5</v>
      </c>
      <c r="E44" t="s">
        <v>120</v>
      </c>
      <c r="F44" t="s">
        <v>34</v>
      </c>
      <c r="G44" t="s">
        <v>33</v>
      </c>
    </row>
    <row r="45" spans="1:7" x14ac:dyDescent="0.3">
      <c r="A45">
        <v>12</v>
      </c>
      <c r="B45">
        <v>2022</v>
      </c>
      <c r="C45" t="s">
        <v>22</v>
      </c>
      <c r="D45" t="s">
        <v>5</v>
      </c>
      <c r="E45" t="s">
        <v>120</v>
      </c>
      <c r="F45" t="s">
        <v>157</v>
      </c>
      <c r="G45" t="s">
        <v>33</v>
      </c>
    </row>
    <row r="46" spans="1:7" x14ac:dyDescent="0.3">
      <c r="A46">
        <v>12</v>
      </c>
      <c r="B46">
        <v>2022</v>
      </c>
      <c r="C46" t="s">
        <v>18</v>
      </c>
      <c r="D46" t="s">
        <v>5</v>
      </c>
      <c r="E46" t="s">
        <v>126</v>
      </c>
      <c r="F46" t="s">
        <v>35</v>
      </c>
      <c r="G46" t="s">
        <v>33</v>
      </c>
    </row>
    <row r="47" spans="1:7" x14ac:dyDescent="0.3">
      <c r="A47">
        <v>12</v>
      </c>
      <c r="B47">
        <v>2022</v>
      </c>
      <c r="C47" t="s">
        <v>18</v>
      </c>
      <c r="D47" t="s">
        <v>5</v>
      </c>
      <c r="E47" t="s">
        <v>126</v>
      </c>
      <c r="F47" t="s">
        <v>36</v>
      </c>
      <c r="G47" t="s">
        <v>33</v>
      </c>
    </row>
    <row r="48" spans="1:7" x14ac:dyDescent="0.3">
      <c r="A48">
        <v>12</v>
      </c>
      <c r="B48">
        <v>2022</v>
      </c>
      <c r="C48" t="s">
        <v>18</v>
      </c>
      <c r="D48" t="s">
        <v>5</v>
      </c>
      <c r="E48" t="s">
        <v>126</v>
      </c>
      <c r="F48" t="s">
        <v>34</v>
      </c>
      <c r="G48" t="s">
        <v>33</v>
      </c>
    </row>
    <row r="49" spans="1:7" x14ac:dyDescent="0.3">
      <c r="A49">
        <v>12</v>
      </c>
      <c r="B49">
        <v>2022</v>
      </c>
      <c r="C49" t="s">
        <v>18</v>
      </c>
      <c r="D49" t="s">
        <v>5</v>
      </c>
      <c r="E49" t="s">
        <v>126</v>
      </c>
      <c r="F49" t="s">
        <v>157</v>
      </c>
      <c r="G49" t="s">
        <v>33</v>
      </c>
    </row>
    <row r="50" spans="1:7" x14ac:dyDescent="0.3">
      <c r="A50">
        <v>12</v>
      </c>
      <c r="B50">
        <v>2022</v>
      </c>
      <c r="C50" t="s">
        <v>23</v>
      </c>
      <c r="D50" t="s">
        <v>5</v>
      </c>
      <c r="E50" t="s">
        <v>132</v>
      </c>
      <c r="F50" t="s">
        <v>35</v>
      </c>
      <c r="G50" t="s">
        <v>33</v>
      </c>
    </row>
    <row r="51" spans="1:7" x14ac:dyDescent="0.3">
      <c r="A51">
        <v>12</v>
      </c>
      <c r="B51">
        <v>2022</v>
      </c>
      <c r="C51" t="s">
        <v>23</v>
      </c>
      <c r="D51" t="s">
        <v>5</v>
      </c>
      <c r="E51" t="s">
        <v>132</v>
      </c>
      <c r="F51" t="s">
        <v>36</v>
      </c>
      <c r="G51" t="s">
        <v>33</v>
      </c>
    </row>
    <row r="52" spans="1:7" x14ac:dyDescent="0.3">
      <c r="A52">
        <v>12</v>
      </c>
      <c r="B52">
        <v>2022</v>
      </c>
      <c r="C52" t="s">
        <v>23</v>
      </c>
      <c r="D52" t="s">
        <v>5</v>
      </c>
      <c r="E52" t="s">
        <v>132</v>
      </c>
      <c r="F52" t="s">
        <v>34</v>
      </c>
      <c r="G52" t="s">
        <v>33</v>
      </c>
    </row>
    <row r="53" spans="1:7" x14ac:dyDescent="0.3">
      <c r="A53">
        <v>12</v>
      </c>
      <c r="B53">
        <v>2022</v>
      </c>
      <c r="C53" t="s">
        <v>23</v>
      </c>
      <c r="D53" t="s">
        <v>5</v>
      </c>
      <c r="E53" t="s">
        <v>132</v>
      </c>
      <c r="F53" t="s">
        <v>157</v>
      </c>
      <c r="G53" t="s">
        <v>33</v>
      </c>
    </row>
    <row r="54" spans="1:7" x14ac:dyDescent="0.3">
      <c r="A54">
        <v>12</v>
      </c>
      <c r="B54">
        <v>2022</v>
      </c>
      <c r="C54" t="s">
        <v>24</v>
      </c>
      <c r="D54" t="s">
        <v>5</v>
      </c>
      <c r="E54" t="s">
        <v>138</v>
      </c>
      <c r="F54" t="s">
        <v>35</v>
      </c>
      <c r="G54" t="s">
        <v>33</v>
      </c>
    </row>
    <row r="55" spans="1:7" x14ac:dyDescent="0.3">
      <c r="A55">
        <v>12</v>
      </c>
      <c r="B55">
        <v>2022</v>
      </c>
      <c r="C55" t="s">
        <v>24</v>
      </c>
      <c r="D55" t="s">
        <v>5</v>
      </c>
      <c r="E55" t="s">
        <v>138</v>
      </c>
      <c r="F55" t="s">
        <v>36</v>
      </c>
      <c r="G55" t="s">
        <v>33</v>
      </c>
    </row>
    <row r="56" spans="1:7" x14ac:dyDescent="0.3">
      <c r="A56">
        <v>12</v>
      </c>
      <c r="B56">
        <v>2022</v>
      </c>
      <c r="C56" t="s">
        <v>24</v>
      </c>
      <c r="D56" t="s">
        <v>5</v>
      </c>
      <c r="E56" t="s">
        <v>138</v>
      </c>
      <c r="F56" t="s">
        <v>34</v>
      </c>
      <c r="G56" t="s">
        <v>33</v>
      </c>
    </row>
    <row r="57" spans="1:7" x14ac:dyDescent="0.3">
      <c r="A57">
        <v>12</v>
      </c>
      <c r="B57">
        <v>2022</v>
      </c>
      <c r="C57" t="s">
        <v>24</v>
      </c>
      <c r="D57" t="s">
        <v>5</v>
      </c>
      <c r="E57" t="s">
        <v>138</v>
      </c>
      <c r="F57" t="s">
        <v>157</v>
      </c>
      <c r="G57" t="s">
        <v>33</v>
      </c>
    </row>
    <row r="58" spans="1:7" x14ac:dyDescent="0.3">
      <c r="A58">
        <v>12</v>
      </c>
      <c r="B58">
        <v>2022</v>
      </c>
      <c r="C58" t="s">
        <v>16</v>
      </c>
      <c r="D58" t="s">
        <v>5</v>
      </c>
      <c r="E58" t="s">
        <v>144</v>
      </c>
      <c r="F58" t="s">
        <v>35</v>
      </c>
      <c r="G58" t="s">
        <v>33</v>
      </c>
    </row>
    <row r="59" spans="1:7" x14ac:dyDescent="0.3">
      <c r="A59">
        <v>12</v>
      </c>
      <c r="B59">
        <v>2022</v>
      </c>
      <c r="C59" t="s">
        <v>16</v>
      </c>
      <c r="D59" t="s">
        <v>5</v>
      </c>
      <c r="E59" t="s">
        <v>144</v>
      </c>
      <c r="F59" t="s">
        <v>36</v>
      </c>
      <c r="G59" t="s">
        <v>33</v>
      </c>
    </row>
    <row r="60" spans="1:7" x14ac:dyDescent="0.3">
      <c r="A60">
        <v>12</v>
      </c>
      <c r="B60">
        <v>2022</v>
      </c>
      <c r="C60" t="s">
        <v>16</v>
      </c>
      <c r="D60" t="s">
        <v>5</v>
      </c>
      <c r="E60" t="s">
        <v>144</v>
      </c>
      <c r="F60" t="s">
        <v>34</v>
      </c>
      <c r="G60" t="s">
        <v>33</v>
      </c>
    </row>
    <row r="61" spans="1:7" x14ac:dyDescent="0.3">
      <c r="A61">
        <v>12</v>
      </c>
      <c r="B61">
        <v>2022</v>
      </c>
      <c r="C61" t="s">
        <v>16</v>
      </c>
      <c r="D61" t="s">
        <v>5</v>
      </c>
      <c r="E61" t="s">
        <v>144</v>
      </c>
      <c r="F61" t="s">
        <v>157</v>
      </c>
      <c r="G61" t="s">
        <v>33</v>
      </c>
    </row>
    <row r="62" spans="1:7" x14ac:dyDescent="0.3">
      <c r="A62">
        <v>12</v>
      </c>
      <c r="B62">
        <v>2022</v>
      </c>
      <c r="C62" t="s">
        <v>25</v>
      </c>
      <c r="D62" t="s">
        <v>5</v>
      </c>
      <c r="E62" t="s">
        <v>150</v>
      </c>
      <c r="F62" t="s">
        <v>35</v>
      </c>
      <c r="G62" t="s">
        <v>33</v>
      </c>
    </row>
    <row r="63" spans="1:7" x14ac:dyDescent="0.3">
      <c r="A63">
        <v>12</v>
      </c>
      <c r="B63">
        <v>2022</v>
      </c>
      <c r="C63" t="s">
        <v>25</v>
      </c>
      <c r="D63" t="s">
        <v>5</v>
      </c>
      <c r="E63" t="s">
        <v>150</v>
      </c>
      <c r="F63" t="s">
        <v>36</v>
      </c>
      <c r="G63" t="s">
        <v>33</v>
      </c>
    </row>
    <row r="64" spans="1:7" x14ac:dyDescent="0.3">
      <c r="A64">
        <v>12</v>
      </c>
      <c r="B64">
        <v>2022</v>
      </c>
      <c r="C64" t="s">
        <v>25</v>
      </c>
      <c r="D64" t="s">
        <v>5</v>
      </c>
      <c r="E64" t="s">
        <v>150</v>
      </c>
      <c r="F64" t="s">
        <v>34</v>
      </c>
      <c r="G64" t="s">
        <v>33</v>
      </c>
    </row>
    <row r="65" spans="1:7" x14ac:dyDescent="0.3">
      <c r="A65">
        <v>12</v>
      </c>
      <c r="B65">
        <v>2022</v>
      </c>
      <c r="C65" t="s">
        <v>25</v>
      </c>
      <c r="D65" t="s">
        <v>5</v>
      </c>
      <c r="E65" t="s">
        <v>150</v>
      </c>
      <c r="F65" t="s">
        <v>157</v>
      </c>
      <c r="G65" t="s">
        <v>33</v>
      </c>
    </row>
    <row r="66" spans="1:7" x14ac:dyDescent="0.3">
      <c r="A66">
        <v>12</v>
      </c>
      <c r="B66">
        <v>2022</v>
      </c>
      <c r="C66" t="s">
        <v>10</v>
      </c>
      <c r="D66" t="s">
        <v>7</v>
      </c>
      <c r="E66" t="s">
        <v>62</v>
      </c>
      <c r="F66" t="s">
        <v>35</v>
      </c>
      <c r="G66" t="s">
        <v>33</v>
      </c>
    </row>
    <row r="67" spans="1:7" x14ac:dyDescent="0.3">
      <c r="A67">
        <v>12</v>
      </c>
      <c r="B67">
        <v>2022</v>
      </c>
      <c r="C67" t="s">
        <v>10</v>
      </c>
      <c r="D67" t="s">
        <v>7</v>
      </c>
      <c r="E67" t="s">
        <v>62</v>
      </c>
      <c r="F67" t="s">
        <v>36</v>
      </c>
      <c r="G67" t="s">
        <v>33</v>
      </c>
    </row>
    <row r="68" spans="1:7" x14ac:dyDescent="0.3">
      <c r="A68">
        <v>12</v>
      </c>
      <c r="B68">
        <v>2022</v>
      </c>
      <c r="C68" t="s">
        <v>10</v>
      </c>
      <c r="D68" t="s">
        <v>7</v>
      </c>
      <c r="E68" t="s">
        <v>62</v>
      </c>
      <c r="F68" t="s">
        <v>34</v>
      </c>
      <c r="G68" t="s">
        <v>33</v>
      </c>
    </row>
    <row r="69" spans="1:7" x14ac:dyDescent="0.3">
      <c r="A69">
        <v>12</v>
      </c>
      <c r="B69">
        <v>2022</v>
      </c>
      <c r="C69" t="s">
        <v>10</v>
      </c>
      <c r="D69" t="s">
        <v>7</v>
      </c>
      <c r="E69" t="s">
        <v>62</v>
      </c>
      <c r="F69" t="s">
        <v>157</v>
      </c>
      <c r="G69" t="s">
        <v>33</v>
      </c>
    </row>
    <row r="70" spans="1:7" x14ac:dyDescent="0.3">
      <c r="A70">
        <v>12</v>
      </c>
      <c r="B70">
        <v>2022</v>
      </c>
      <c r="C70" t="s">
        <v>19</v>
      </c>
      <c r="D70" t="s">
        <v>7</v>
      </c>
      <c r="E70" t="s">
        <v>68</v>
      </c>
      <c r="F70" t="s">
        <v>35</v>
      </c>
      <c r="G70" t="s">
        <v>33</v>
      </c>
    </row>
    <row r="71" spans="1:7" x14ac:dyDescent="0.3">
      <c r="A71">
        <v>12</v>
      </c>
      <c r="B71">
        <v>2022</v>
      </c>
      <c r="C71" t="s">
        <v>19</v>
      </c>
      <c r="D71" t="s">
        <v>7</v>
      </c>
      <c r="E71" t="s">
        <v>68</v>
      </c>
      <c r="F71" t="s">
        <v>36</v>
      </c>
      <c r="G71" t="s">
        <v>33</v>
      </c>
    </row>
    <row r="72" spans="1:7" x14ac:dyDescent="0.3">
      <c r="A72">
        <v>12</v>
      </c>
      <c r="B72">
        <v>2022</v>
      </c>
      <c r="C72" t="s">
        <v>19</v>
      </c>
      <c r="D72" t="s">
        <v>7</v>
      </c>
      <c r="E72" t="s">
        <v>68</v>
      </c>
      <c r="F72" t="s">
        <v>34</v>
      </c>
      <c r="G72" t="s">
        <v>33</v>
      </c>
    </row>
    <row r="73" spans="1:7" x14ac:dyDescent="0.3">
      <c r="A73">
        <v>12</v>
      </c>
      <c r="B73">
        <v>2022</v>
      </c>
      <c r="C73" t="s">
        <v>19</v>
      </c>
      <c r="D73" t="s">
        <v>7</v>
      </c>
      <c r="E73" t="s">
        <v>68</v>
      </c>
      <c r="F73" t="s">
        <v>157</v>
      </c>
      <c r="G73" t="s">
        <v>33</v>
      </c>
    </row>
    <row r="74" spans="1:7" x14ac:dyDescent="0.3">
      <c r="A74">
        <v>12</v>
      </c>
      <c r="B74">
        <v>2022</v>
      </c>
      <c r="C74" t="s">
        <v>20</v>
      </c>
      <c r="D74" t="s">
        <v>7</v>
      </c>
      <c r="E74" t="s">
        <v>74</v>
      </c>
      <c r="F74" t="s">
        <v>35</v>
      </c>
      <c r="G74" t="s">
        <v>33</v>
      </c>
    </row>
    <row r="75" spans="1:7" x14ac:dyDescent="0.3">
      <c r="A75">
        <v>12</v>
      </c>
      <c r="B75">
        <v>2022</v>
      </c>
      <c r="C75" t="s">
        <v>20</v>
      </c>
      <c r="D75" t="s">
        <v>7</v>
      </c>
      <c r="E75" t="s">
        <v>74</v>
      </c>
      <c r="F75" t="s">
        <v>36</v>
      </c>
      <c r="G75" t="s">
        <v>33</v>
      </c>
    </row>
    <row r="76" spans="1:7" x14ac:dyDescent="0.3">
      <c r="A76">
        <v>12</v>
      </c>
      <c r="B76">
        <v>2022</v>
      </c>
      <c r="C76" t="s">
        <v>20</v>
      </c>
      <c r="D76" t="s">
        <v>7</v>
      </c>
      <c r="E76" t="s">
        <v>74</v>
      </c>
      <c r="F76" t="s">
        <v>34</v>
      </c>
      <c r="G76" t="s">
        <v>33</v>
      </c>
    </row>
    <row r="77" spans="1:7" x14ac:dyDescent="0.3">
      <c r="A77">
        <v>12</v>
      </c>
      <c r="B77">
        <v>2022</v>
      </c>
      <c r="C77" t="s">
        <v>20</v>
      </c>
      <c r="D77" t="s">
        <v>7</v>
      </c>
      <c r="E77" t="s">
        <v>74</v>
      </c>
      <c r="F77" t="s">
        <v>157</v>
      </c>
      <c r="G77" t="s">
        <v>33</v>
      </c>
    </row>
    <row r="78" spans="1:7" x14ac:dyDescent="0.3">
      <c r="A78">
        <v>12</v>
      </c>
      <c r="B78">
        <v>2022</v>
      </c>
      <c r="C78" t="s">
        <v>13</v>
      </c>
      <c r="D78" t="s">
        <v>7</v>
      </c>
      <c r="E78" t="s">
        <v>80</v>
      </c>
      <c r="F78" t="s">
        <v>35</v>
      </c>
      <c r="G78" t="s">
        <v>33</v>
      </c>
    </row>
    <row r="79" spans="1:7" x14ac:dyDescent="0.3">
      <c r="A79">
        <v>12</v>
      </c>
      <c r="B79">
        <v>2022</v>
      </c>
      <c r="C79" t="s">
        <v>13</v>
      </c>
      <c r="D79" t="s">
        <v>7</v>
      </c>
      <c r="E79" t="s">
        <v>80</v>
      </c>
      <c r="F79" t="s">
        <v>36</v>
      </c>
      <c r="G79" t="s">
        <v>33</v>
      </c>
    </row>
    <row r="80" spans="1:7" x14ac:dyDescent="0.3">
      <c r="A80">
        <v>12</v>
      </c>
      <c r="B80">
        <v>2022</v>
      </c>
      <c r="C80" t="s">
        <v>13</v>
      </c>
      <c r="D80" t="s">
        <v>7</v>
      </c>
      <c r="E80" t="s">
        <v>80</v>
      </c>
      <c r="F80" t="s">
        <v>34</v>
      </c>
      <c r="G80" t="s">
        <v>33</v>
      </c>
    </row>
    <row r="81" spans="1:7" x14ac:dyDescent="0.3">
      <c r="A81">
        <v>12</v>
      </c>
      <c r="B81">
        <v>2022</v>
      </c>
      <c r="C81" t="s">
        <v>13</v>
      </c>
      <c r="D81" t="s">
        <v>7</v>
      </c>
      <c r="E81" t="s">
        <v>80</v>
      </c>
      <c r="F81" t="s">
        <v>157</v>
      </c>
      <c r="G81" t="s">
        <v>33</v>
      </c>
    </row>
    <row r="82" spans="1:7" x14ac:dyDescent="0.3">
      <c r="A82">
        <v>12</v>
      </c>
      <c r="B82">
        <v>2022</v>
      </c>
      <c r="C82" t="s">
        <v>14</v>
      </c>
      <c r="D82" t="s">
        <v>7</v>
      </c>
      <c r="E82" t="s">
        <v>86</v>
      </c>
      <c r="F82" t="s">
        <v>35</v>
      </c>
      <c r="G82" t="s">
        <v>33</v>
      </c>
    </row>
    <row r="83" spans="1:7" x14ac:dyDescent="0.3">
      <c r="A83">
        <v>12</v>
      </c>
      <c r="B83">
        <v>2022</v>
      </c>
      <c r="C83" t="s">
        <v>14</v>
      </c>
      <c r="D83" t="s">
        <v>7</v>
      </c>
      <c r="E83" t="s">
        <v>86</v>
      </c>
      <c r="F83" t="s">
        <v>36</v>
      </c>
      <c r="G83" t="s">
        <v>33</v>
      </c>
    </row>
    <row r="84" spans="1:7" x14ac:dyDescent="0.3">
      <c r="A84">
        <v>12</v>
      </c>
      <c r="B84">
        <v>2022</v>
      </c>
      <c r="C84" t="s">
        <v>14</v>
      </c>
      <c r="D84" t="s">
        <v>7</v>
      </c>
      <c r="E84" t="s">
        <v>86</v>
      </c>
      <c r="F84" t="s">
        <v>34</v>
      </c>
      <c r="G84" t="s">
        <v>33</v>
      </c>
    </row>
    <row r="85" spans="1:7" x14ac:dyDescent="0.3">
      <c r="A85">
        <v>12</v>
      </c>
      <c r="B85">
        <v>2022</v>
      </c>
      <c r="C85" t="s">
        <v>14</v>
      </c>
      <c r="D85" t="s">
        <v>7</v>
      </c>
      <c r="E85" t="s">
        <v>86</v>
      </c>
      <c r="F85" t="s">
        <v>157</v>
      </c>
      <c r="G85" t="s">
        <v>33</v>
      </c>
    </row>
    <row r="86" spans="1:7" x14ac:dyDescent="0.3">
      <c r="A86">
        <v>12</v>
      </c>
      <c r="B86">
        <v>2022</v>
      </c>
      <c r="C86" t="s">
        <v>21</v>
      </c>
      <c r="D86" t="s">
        <v>7</v>
      </c>
      <c r="E86" t="s">
        <v>92</v>
      </c>
      <c r="F86" t="s">
        <v>35</v>
      </c>
      <c r="G86" t="s">
        <v>33</v>
      </c>
    </row>
    <row r="87" spans="1:7" x14ac:dyDescent="0.3">
      <c r="A87">
        <v>12</v>
      </c>
      <c r="B87">
        <v>2022</v>
      </c>
      <c r="C87" t="s">
        <v>21</v>
      </c>
      <c r="D87" t="s">
        <v>7</v>
      </c>
      <c r="E87" t="s">
        <v>92</v>
      </c>
      <c r="F87" t="s">
        <v>36</v>
      </c>
      <c r="G87" t="s">
        <v>33</v>
      </c>
    </row>
    <row r="88" spans="1:7" x14ac:dyDescent="0.3">
      <c r="A88">
        <v>12</v>
      </c>
      <c r="B88">
        <v>2022</v>
      </c>
      <c r="C88" t="s">
        <v>21</v>
      </c>
      <c r="D88" t="s">
        <v>7</v>
      </c>
      <c r="E88" t="s">
        <v>92</v>
      </c>
      <c r="F88" t="s">
        <v>34</v>
      </c>
      <c r="G88" t="s">
        <v>33</v>
      </c>
    </row>
    <row r="89" spans="1:7" x14ac:dyDescent="0.3">
      <c r="A89">
        <v>12</v>
      </c>
      <c r="B89">
        <v>2022</v>
      </c>
      <c r="C89" t="s">
        <v>21</v>
      </c>
      <c r="D89" t="s">
        <v>7</v>
      </c>
      <c r="E89" t="s">
        <v>92</v>
      </c>
      <c r="F89" t="s">
        <v>157</v>
      </c>
      <c r="G89" t="s">
        <v>33</v>
      </c>
    </row>
    <row r="90" spans="1:7" x14ac:dyDescent="0.3">
      <c r="A90">
        <v>12</v>
      </c>
      <c r="B90">
        <v>2022</v>
      </c>
      <c r="C90" t="s">
        <v>26</v>
      </c>
      <c r="D90" t="s">
        <v>7</v>
      </c>
      <c r="E90" t="s">
        <v>98</v>
      </c>
      <c r="F90" t="s">
        <v>35</v>
      </c>
      <c r="G90" t="s">
        <v>33</v>
      </c>
    </row>
    <row r="91" spans="1:7" x14ac:dyDescent="0.3">
      <c r="A91">
        <v>12</v>
      </c>
      <c r="B91">
        <v>2022</v>
      </c>
      <c r="C91" t="s">
        <v>26</v>
      </c>
      <c r="D91" t="s">
        <v>7</v>
      </c>
      <c r="E91" t="s">
        <v>98</v>
      </c>
      <c r="F91" t="s">
        <v>36</v>
      </c>
      <c r="G91" t="s">
        <v>33</v>
      </c>
    </row>
    <row r="92" spans="1:7" x14ac:dyDescent="0.3">
      <c r="A92">
        <v>12</v>
      </c>
      <c r="B92">
        <v>2022</v>
      </c>
      <c r="C92" t="s">
        <v>26</v>
      </c>
      <c r="D92" t="s">
        <v>7</v>
      </c>
      <c r="E92" t="s">
        <v>98</v>
      </c>
      <c r="F92" t="s">
        <v>34</v>
      </c>
      <c r="G92" t="s">
        <v>33</v>
      </c>
    </row>
    <row r="93" spans="1:7" x14ac:dyDescent="0.3">
      <c r="A93">
        <v>12</v>
      </c>
      <c r="B93">
        <v>2022</v>
      </c>
      <c r="C93" t="s">
        <v>26</v>
      </c>
      <c r="D93" t="s">
        <v>7</v>
      </c>
      <c r="E93" t="s">
        <v>98</v>
      </c>
      <c r="F93" t="s">
        <v>157</v>
      </c>
      <c r="G93" t="s">
        <v>33</v>
      </c>
    </row>
    <row r="94" spans="1:7" x14ac:dyDescent="0.3">
      <c r="A94">
        <v>12</v>
      </c>
      <c r="B94">
        <v>2022</v>
      </c>
      <c r="C94" t="s">
        <v>15</v>
      </c>
      <c r="D94" t="s">
        <v>7</v>
      </c>
      <c r="E94" t="s">
        <v>104</v>
      </c>
      <c r="F94" t="s">
        <v>35</v>
      </c>
      <c r="G94" t="s">
        <v>33</v>
      </c>
    </row>
    <row r="95" spans="1:7" x14ac:dyDescent="0.3">
      <c r="A95">
        <v>12</v>
      </c>
      <c r="B95">
        <v>2022</v>
      </c>
      <c r="C95" t="s">
        <v>15</v>
      </c>
      <c r="D95" t="s">
        <v>7</v>
      </c>
      <c r="E95" t="s">
        <v>104</v>
      </c>
      <c r="F95" t="s">
        <v>36</v>
      </c>
      <c r="G95" t="s">
        <v>33</v>
      </c>
    </row>
    <row r="96" spans="1:7" x14ac:dyDescent="0.3">
      <c r="A96">
        <v>12</v>
      </c>
      <c r="B96">
        <v>2022</v>
      </c>
      <c r="C96" t="s">
        <v>15</v>
      </c>
      <c r="D96" t="s">
        <v>7</v>
      </c>
      <c r="E96" t="s">
        <v>104</v>
      </c>
      <c r="F96" t="s">
        <v>34</v>
      </c>
      <c r="G96" t="s">
        <v>33</v>
      </c>
    </row>
    <row r="97" spans="1:7" x14ac:dyDescent="0.3">
      <c r="A97">
        <v>12</v>
      </c>
      <c r="B97">
        <v>2022</v>
      </c>
      <c r="C97" t="s">
        <v>15</v>
      </c>
      <c r="D97" t="s">
        <v>7</v>
      </c>
      <c r="E97" t="s">
        <v>104</v>
      </c>
      <c r="F97" t="s">
        <v>157</v>
      </c>
      <c r="G97" t="s">
        <v>33</v>
      </c>
    </row>
    <row r="98" spans="1:7" x14ac:dyDescent="0.3">
      <c r="A98">
        <v>12</v>
      </c>
      <c r="B98">
        <v>2022</v>
      </c>
      <c r="C98" t="s">
        <v>27</v>
      </c>
      <c r="D98" t="s">
        <v>7</v>
      </c>
      <c r="E98" t="s">
        <v>110</v>
      </c>
      <c r="F98" t="s">
        <v>35</v>
      </c>
      <c r="G98" t="s">
        <v>33</v>
      </c>
    </row>
    <row r="99" spans="1:7" x14ac:dyDescent="0.3">
      <c r="A99">
        <v>12</v>
      </c>
      <c r="B99">
        <v>2022</v>
      </c>
      <c r="C99" t="s">
        <v>27</v>
      </c>
      <c r="D99" t="s">
        <v>7</v>
      </c>
      <c r="E99" t="s">
        <v>110</v>
      </c>
      <c r="F99" t="s">
        <v>36</v>
      </c>
      <c r="G99" t="s">
        <v>33</v>
      </c>
    </row>
    <row r="100" spans="1:7" x14ac:dyDescent="0.3">
      <c r="A100">
        <v>12</v>
      </c>
      <c r="B100">
        <v>2022</v>
      </c>
      <c r="C100" t="s">
        <v>27</v>
      </c>
      <c r="D100" t="s">
        <v>7</v>
      </c>
      <c r="E100" t="s">
        <v>110</v>
      </c>
      <c r="F100" t="s">
        <v>34</v>
      </c>
      <c r="G100" t="s">
        <v>33</v>
      </c>
    </row>
    <row r="101" spans="1:7" x14ac:dyDescent="0.3">
      <c r="A101">
        <v>12</v>
      </c>
      <c r="B101">
        <v>2022</v>
      </c>
      <c r="C101" t="s">
        <v>27</v>
      </c>
      <c r="D101" t="s">
        <v>7</v>
      </c>
      <c r="E101" t="s">
        <v>110</v>
      </c>
      <c r="F101" t="s">
        <v>157</v>
      </c>
      <c r="G101" t="s">
        <v>33</v>
      </c>
    </row>
    <row r="102" spans="1:7" x14ac:dyDescent="0.3">
      <c r="A102">
        <v>12</v>
      </c>
      <c r="B102">
        <v>2022</v>
      </c>
      <c r="C102" t="s">
        <v>17</v>
      </c>
      <c r="D102" t="s">
        <v>7</v>
      </c>
      <c r="E102" t="s">
        <v>116</v>
      </c>
      <c r="F102" t="s">
        <v>35</v>
      </c>
      <c r="G102" t="s">
        <v>33</v>
      </c>
    </row>
    <row r="103" spans="1:7" x14ac:dyDescent="0.3">
      <c r="A103">
        <v>12</v>
      </c>
      <c r="B103">
        <v>2022</v>
      </c>
      <c r="C103" t="s">
        <v>17</v>
      </c>
      <c r="D103" t="s">
        <v>7</v>
      </c>
      <c r="E103" t="s">
        <v>116</v>
      </c>
      <c r="F103" t="s">
        <v>36</v>
      </c>
      <c r="G103" t="s">
        <v>33</v>
      </c>
    </row>
    <row r="104" spans="1:7" x14ac:dyDescent="0.3">
      <c r="A104">
        <v>12</v>
      </c>
      <c r="B104">
        <v>2022</v>
      </c>
      <c r="C104" t="s">
        <v>17</v>
      </c>
      <c r="D104" t="s">
        <v>7</v>
      </c>
      <c r="E104" t="s">
        <v>116</v>
      </c>
      <c r="F104" t="s">
        <v>34</v>
      </c>
      <c r="G104" t="s">
        <v>33</v>
      </c>
    </row>
    <row r="105" spans="1:7" x14ac:dyDescent="0.3">
      <c r="A105">
        <v>12</v>
      </c>
      <c r="B105">
        <v>2022</v>
      </c>
      <c r="C105" t="s">
        <v>17</v>
      </c>
      <c r="D105" t="s">
        <v>7</v>
      </c>
      <c r="E105" t="s">
        <v>116</v>
      </c>
      <c r="F105" t="s">
        <v>157</v>
      </c>
      <c r="G105" t="s">
        <v>33</v>
      </c>
    </row>
    <row r="106" spans="1:7" x14ac:dyDescent="0.3">
      <c r="A106">
        <v>12</v>
      </c>
      <c r="B106">
        <v>2022</v>
      </c>
      <c r="C106" t="s">
        <v>22</v>
      </c>
      <c r="D106" t="s">
        <v>7</v>
      </c>
      <c r="E106" t="s">
        <v>122</v>
      </c>
      <c r="F106" t="s">
        <v>35</v>
      </c>
      <c r="G106" t="s">
        <v>33</v>
      </c>
    </row>
    <row r="107" spans="1:7" x14ac:dyDescent="0.3">
      <c r="A107">
        <v>12</v>
      </c>
      <c r="B107">
        <v>2022</v>
      </c>
      <c r="C107" t="s">
        <v>22</v>
      </c>
      <c r="D107" t="s">
        <v>7</v>
      </c>
      <c r="E107" t="s">
        <v>122</v>
      </c>
      <c r="F107" t="s">
        <v>36</v>
      </c>
      <c r="G107" t="s">
        <v>33</v>
      </c>
    </row>
    <row r="108" spans="1:7" x14ac:dyDescent="0.3">
      <c r="A108">
        <v>12</v>
      </c>
      <c r="B108">
        <v>2022</v>
      </c>
      <c r="C108" t="s">
        <v>22</v>
      </c>
      <c r="D108" t="s">
        <v>7</v>
      </c>
      <c r="E108" t="s">
        <v>122</v>
      </c>
      <c r="F108" t="s">
        <v>34</v>
      </c>
      <c r="G108" t="s">
        <v>33</v>
      </c>
    </row>
    <row r="109" spans="1:7" x14ac:dyDescent="0.3">
      <c r="A109">
        <v>12</v>
      </c>
      <c r="B109">
        <v>2022</v>
      </c>
      <c r="C109" t="s">
        <v>22</v>
      </c>
      <c r="D109" t="s">
        <v>7</v>
      </c>
      <c r="E109" t="s">
        <v>122</v>
      </c>
      <c r="F109" t="s">
        <v>157</v>
      </c>
      <c r="G109" t="s">
        <v>33</v>
      </c>
    </row>
    <row r="110" spans="1:7" x14ac:dyDescent="0.3">
      <c r="A110">
        <v>12</v>
      </c>
      <c r="B110">
        <v>2022</v>
      </c>
      <c r="C110" t="s">
        <v>18</v>
      </c>
      <c r="D110" t="s">
        <v>7</v>
      </c>
      <c r="E110" t="s">
        <v>128</v>
      </c>
      <c r="F110" t="s">
        <v>35</v>
      </c>
      <c r="G110" t="s">
        <v>33</v>
      </c>
    </row>
    <row r="111" spans="1:7" x14ac:dyDescent="0.3">
      <c r="A111">
        <v>12</v>
      </c>
      <c r="B111">
        <v>2022</v>
      </c>
      <c r="C111" t="s">
        <v>18</v>
      </c>
      <c r="D111" t="s">
        <v>7</v>
      </c>
      <c r="E111" t="s">
        <v>128</v>
      </c>
      <c r="F111" t="s">
        <v>36</v>
      </c>
      <c r="G111" t="s">
        <v>33</v>
      </c>
    </row>
    <row r="112" spans="1:7" x14ac:dyDescent="0.3">
      <c r="A112">
        <v>12</v>
      </c>
      <c r="B112">
        <v>2022</v>
      </c>
      <c r="C112" t="s">
        <v>18</v>
      </c>
      <c r="D112" t="s">
        <v>7</v>
      </c>
      <c r="E112" t="s">
        <v>128</v>
      </c>
      <c r="F112" t="s">
        <v>34</v>
      </c>
      <c r="G112" t="s">
        <v>33</v>
      </c>
    </row>
    <row r="113" spans="1:7" x14ac:dyDescent="0.3">
      <c r="A113">
        <v>12</v>
      </c>
      <c r="B113">
        <v>2022</v>
      </c>
      <c r="C113" t="s">
        <v>18</v>
      </c>
      <c r="D113" t="s">
        <v>7</v>
      </c>
      <c r="E113" t="s">
        <v>128</v>
      </c>
      <c r="F113" t="s">
        <v>157</v>
      </c>
      <c r="G113" t="s">
        <v>33</v>
      </c>
    </row>
    <row r="114" spans="1:7" x14ac:dyDescent="0.3">
      <c r="A114">
        <v>12</v>
      </c>
      <c r="B114">
        <v>2022</v>
      </c>
      <c r="C114" t="s">
        <v>23</v>
      </c>
      <c r="D114" t="s">
        <v>7</v>
      </c>
      <c r="E114" t="s">
        <v>134</v>
      </c>
      <c r="F114" t="s">
        <v>35</v>
      </c>
      <c r="G114" t="s">
        <v>33</v>
      </c>
    </row>
    <row r="115" spans="1:7" x14ac:dyDescent="0.3">
      <c r="A115">
        <v>12</v>
      </c>
      <c r="B115">
        <v>2022</v>
      </c>
      <c r="C115" t="s">
        <v>23</v>
      </c>
      <c r="D115" t="s">
        <v>7</v>
      </c>
      <c r="E115" t="s">
        <v>134</v>
      </c>
      <c r="F115" t="s">
        <v>36</v>
      </c>
      <c r="G115" t="s">
        <v>33</v>
      </c>
    </row>
    <row r="116" spans="1:7" x14ac:dyDescent="0.3">
      <c r="A116">
        <v>12</v>
      </c>
      <c r="B116">
        <v>2022</v>
      </c>
      <c r="C116" t="s">
        <v>23</v>
      </c>
      <c r="D116" t="s">
        <v>7</v>
      </c>
      <c r="E116" t="s">
        <v>134</v>
      </c>
      <c r="F116" t="s">
        <v>34</v>
      </c>
      <c r="G116" t="s">
        <v>33</v>
      </c>
    </row>
    <row r="117" spans="1:7" x14ac:dyDescent="0.3">
      <c r="A117">
        <v>12</v>
      </c>
      <c r="B117">
        <v>2022</v>
      </c>
      <c r="C117" t="s">
        <v>23</v>
      </c>
      <c r="D117" t="s">
        <v>7</v>
      </c>
      <c r="E117" t="s">
        <v>134</v>
      </c>
      <c r="F117" t="s">
        <v>157</v>
      </c>
      <c r="G117" t="s">
        <v>33</v>
      </c>
    </row>
    <row r="118" spans="1:7" x14ac:dyDescent="0.3">
      <c r="A118">
        <v>12</v>
      </c>
      <c r="B118">
        <v>2022</v>
      </c>
      <c r="C118" t="s">
        <v>24</v>
      </c>
      <c r="D118" t="s">
        <v>7</v>
      </c>
      <c r="E118" t="s">
        <v>140</v>
      </c>
      <c r="F118" t="s">
        <v>35</v>
      </c>
      <c r="G118" t="s">
        <v>33</v>
      </c>
    </row>
    <row r="119" spans="1:7" x14ac:dyDescent="0.3">
      <c r="A119">
        <v>12</v>
      </c>
      <c r="B119">
        <v>2022</v>
      </c>
      <c r="C119" t="s">
        <v>24</v>
      </c>
      <c r="D119" t="s">
        <v>7</v>
      </c>
      <c r="E119" t="s">
        <v>140</v>
      </c>
      <c r="F119" t="s">
        <v>36</v>
      </c>
      <c r="G119" t="s">
        <v>33</v>
      </c>
    </row>
    <row r="120" spans="1:7" x14ac:dyDescent="0.3">
      <c r="A120">
        <v>12</v>
      </c>
      <c r="B120">
        <v>2022</v>
      </c>
      <c r="C120" t="s">
        <v>24</v>
      </c>
      <c r="D120" t="s">
        <v>7</v>
      </c>
      <c r="E120" t="s">
        <v>140</v>
      </c>
      <c r="F120" t="s">
        <v>34</v>
      </c>
      <c r="G120" t="s">
        <v>33</v>
      </c>
    </row>
    <row r="121" spans="1:7" x14ac:dyDescent="0.3">
      <c r="A121">
        <v>12</v>
      </c>
      <c r="B121">
        <v>2022</v>
      </c>
      <c r="C121" t="s">
        <v>24</v>
      </c>
      <c r="D121" t="s">
        <v>7</v>
      </c>
      <c r="E121" t="s">
        <v>140</v>
      </c>
      <c r="F121" t="s">
        <v>157</v>
      </c>
      <c r="G121" t="s">
        <v>33</v>
      </c>
    </row>
    <row r="122" spans="1:7" x14ac:dyDescent="0.3">
      <c r="A122">
        <v>12</v>
      </c>
      <c r="B122">
        <v>2022</v>
      </c>
      <c r="C122" t="s">
        <v>16</v>
      </c>
      <c r="D122" t="s">
        <v>7</v>
      </c>
      <c r="E122" t="s">
        <v>146</v>
      </c>
      <c r="F122" t="s">
        <v>35</v>
      </c>
      <c r="G122" t="s">
        <v>33</v>
      </c>
    </row>
    <row r="123" spans="1:7" x14ac:dyDescent="0.3">
      <c r="A123">
        <v>12</v>
      </c>
      <c r="B123">
        <v>2022</v>
      </c>
      <c r="C123" t="s">
        <v>16</v>
      </c>
      <c r="D123" t="s">
        <v>7</v>
      </c>
      <c r="E123" t="s">
        <v>146</v>
      </c>
      <c r="F123" t="s">
        <v>36</v>
      </c>
      <c r="G123" t="s">
        <v>33</v>
      </c>
    </row>
    <row r="124" spans="1:7" x14ac:dyDescent="0.3">
      <c r="A124">
        <v>12</v>
      </c>
      <c r="B124">
        <v>2022</v>
      </c>
      <c r="C124" t="s">
        <v>16</v>
      </c>
      <c r="D124" t="s">
        <v>7</v>
      </c>
      <c r="E124" t="s">
        <v>146</v>
      </c>
      <c r="F124" t="s">
        <v>34</v>
      </c>
      <c r="G124" t="s">
        <v>33</v>
      </c>
    </row>
    <row r="125" spans="1:7" x14ac:dyDescent="0.3">
      <c r="A125">
        <v>12</v>
      </c>
      <c r="B125">
        <v>2022</v>
      </c>
      <c r="C125" t="s">
        <v>16</v>
      </c>
      <c r="D125" t="s">
        <v>7</v>
      </c>
      <c r="E125" t="s">
        <v>146</v>
      </c>
      <c r="F125" t="s">
        <v>157</v>
      </c>
      <c r="G125" t="s">
        <v>33</v>
      </c>
    </row>
    <row r="126" spans="1:7" x14ac:dyDescent="0.3">
      <c r="A126">
        <v>12</v>
      </c>
      <c r="B126">
        <v>2022</v>
      </c>
      <c r="C126" t="s">
        <v>25</v>
      </c>
      <c r="D126" t="s">
        <v>7</v>
      </c>
      <c r="E126" t="s">
        <v>152</v>
      </c>
      <c r="F126" t="s">
        <v>35</v>
      </c>
      <c r="G126" t="s">
        <v>33</v>
      </c>
    </row>
    <row r="127" spans="1:7" x14ac:dyDescent="0.3">
      <c r="A127">
        <v>12</v>
      </c>
      <c r="B127">
        <v>2022</v>
      </c>
      <c r="C127" t="s">
        <v>25</v>
      </c>
      <c r="D127" t="s">
        <v>7</v>
      </c>
      <c r="E127" t="s">
        <v>152</v>
      </c>
      <c r="F127" t="s">
        <v>36</v>
      </c>
      <c r="G127" t="s">
        <v>33</v>
      </c>
    </row>
    <row r="128" spans="1:7" x14ac:dyDescent="0.3">
      <c r="A128">
        <v>12</v>
      </c>
      <c r="B128">
        <v>2022</v>
      </c>
      <c r="C128" t="s">
        <v>25</v>
      </c>
      <c r="D128" t="s">
        <v>7</v>
      </c>
      <c r="E128" t="s">
        <v>152</v>
      </c>
      <c r="F128" t="s">
        <v>34</v>
      </c>
      <c r="G128" t="s">
        <v>33</v>
      </c>
    </row>
    <row r="129" spans="1:7" x14ac:dyDescent="0.3">
      <c r="A129">
        <v>12</v>
      </c>
      <c r="B129">
        <v>2022</v>
      </c>
      <c r="C129" t="s">
        <v>25</v>
      </c>
      <c r="D129" t="s">
        <v>7</v>
      </c>
      <c r="E129" t="s">
        <v>152</v>
      </c>
      <c r="F129" t="s">
        <v>157</v>
      </c>
      <c r="G129" t="s">
        <v>33</v>
      </c>
    </row>
    <row r="130" spans="1:7" x14ac:dyDescent="0.3">
      <c r="A130">
        <v>12</v>
      </c>
      <c r="B130">
        <v>2022</v>
      </c>
      <c r="C130" t="s">
        <v>10</v>
      </c>
      <c r="D130" t="s">
        <v>8</v>
      </c>
      <c r="E130" t="s">
        <v>63</v>
      </c>
      <c r="F130" t="s">
        <v>35</v>
      </c>
      <c r="G130" t="s">
        <v>33</v>
      </c>
    </row>
    <row r="131" spans="1:7" x14ac:dyDescent="0.3">
      <c r="A131">
        <v>12</v>
      </c>
      <c r="B131">
        <v>2022</v>
      </c>
      <c r="C131" t="s">
        <v>10</v>
      </c>
      <c r="D131" t="s">
        <v>8</v>
      </c>
      <c r="E131" t="s">
        <v>63</v>
      </c>
      <c r="F131" t="s">
        <v>36</v>
      </c>
      <c r="G131" t="s">
        <v>33</v>
      </c>
    </row>
    <row r="132" spans="1:7" x14ac:dyDescent="0.3">
      <c r="A132">
        <v>12</v>
      </c>
      <c r="B132">
        <v>2022</v>
      </c>
      <c r="C132" t="s">
        <v>10</v>
      </c>
      <c r="D132" t="s">
        <v>8</v>
      </c>
      <c r="E132" t="s">
        <v>63</v>
      </c>
      <c r="F132" t="s">
        <v>34</v>
      </c>
      <c r="G132" t="s">
        <v>33</v>
      </c>
    </row>
    <row r="133" spans="1:7" x14ac:dyDescent="0.3">
      <c r="A133">
        <v>12</v>
      </c>
      <c r="B133">
        <v>2022</v>
      </c>
      <c r="C133" t="s">
        <v>10</v>
      </c>
      <c r="D133" t="s">
        <v>8</v>
      </c>
      <c r="E133" t="s">
        <v>63</v>
      </c>
      <c r="F133" t="s">
        <v>157</v>
      </c>
      <c r="G133" t="s">
        <v>33</v>
      </c>
    </row>
    <row r="134" spans="1:7" x14ac:dyDescent="0.3">
      <c r="A134">
        <v>12</v>
      </c>
      <c r="B134">
        <v>2022</v>
      </c>
      <c r="C134" t="s">
        <v>19</v>
      </c>
      <c r="D134" t="s">
        <v>8</v>
      </c>
      <c r="E134" t="s">
        <v>69</v>
      </c>
      <c r="F134" t="s">
        <v>35</v>
      </c>
      <c r="G134" t="s">
        <v>33</v>
      </c>
    </row>
    <row r="135" spans="1:7" x14ac:dyDescent="0.3">
      <c r="A135">
        <v>12</v>
      </c>
      <c r="B135">
        <v>2022</v>
      </c>
      <c r="C135" t="s">
        <v>19</v>
      </c>
      <c r="D135" t="s">
        <v>8</v>
      </c>
      <c r="E135" t="s">
        <v>69</v>
      </c>
      <c r="F135" t="s">
        <v>36</v>
      </c>
      <c r="G135" t="s">
        <v>33</v>
      </c>
    </row>
    <row r="136" spans="1:7" x14ac:dyDescent="0.3">
      <c r="A136">
        <v>12</v>
      </c>
      <c r="B136">
        <v>2022</v>
      </c>
      <c r="C136" t="s">
        <v>19</v>
      </c>
      <c r="D136" t="s">
        <v>8</v>
      </c>
      <c r="E136" t="s">
        <v>69</v>
      </c>
      <c r="F136" t="s">
        <v>34</v>
      </c>
      <c r="G136" t="s">
        <v>33</v>
      </c>
    </row>
    <row r="137" spans="1:7" x14ac:dyDescent="0.3">
      <c r="A137">
        <v>12</v>
      </c>
      <c r="B137">
        <v>2022</v>
      </c>
      <c r="C137" t="s">
        <v>19</v>
      </c>
      <c r="D137" t="s">
        <v>8</v>
      </c>
      <c r="E137" t="s">
        <v>69</v>
      </c>
      <c r="F137" t="s">
        <v>157</v>
      </c>
      <c r="G137" t="s">
        <v>33</v>
      </c>
    </row>
    <row r="138" spans="1:7" x14ac:dyDescent="0.3">
      <c r="A138">
        <v>12</v>
      </c>
      <c r="B138">
        <v>2022</v>
      </c>
      <c r="C138" t="s">
        <v>20</v>
      </c>
      <c r="D138" t="s">
        <v>8</v>
      </c>
      <c r="E138" t="s">
        <v>75</v>
      </c>
      <c r="F138" t="s">
        <v>35</v>
      </c>
      <c r="G138" t="s">
        <v>33</v>
      </c>
    </row>
    <row r="139" spans="1:7" x14ac:dyDescent="0.3">
      <c r="A139">
        <v>12</v>
      </c>
      <c r="B139">
        <v>2022</v>
      </c>
      <c r="C139" t="s">
        <v>20</v>
      </c>
      <c r="D139" t="s">
        <v>8</v>
      </c>
      <c r="E139" t="s">
        <v>75</v>
      </c>
      <c r="F139" t="s">
        <v>36</v>
      </c>
      <c r="G139" t="s">
        <v>33</v>
      </c>
    </row>
    <row r="140" spans="1:7" x14ac:dyDescent="0.3">
      <c r="A140">
        <v>12</v>
      </c>
      <c r="B140">
        <v>2022</v>
      </c>
      <c r="C140" t="s">
        <v>20</v>
      </c>
      <c r="D140" t="s">
        <v>8</v>
      </c>
      <c r="E140" t="s">
        <v>75</v>
      </c>
      <c r="F140" t="s">
        <v>34</v>
      </c>
      <c r="G140" t="s">
        <v>33</v>
      </c>
    </row>
    <row r="141" spans="1:7" x14ac:dyDescent="0.3">
      <c r="A141">
        <v>12</v>
      </c>
      <c r="B141">
        <v>2022</v>
      </c>
      <c r="C141" t="s">
        <v>20</v>
      </c>
      <c r="D141" t="s">
        <v>8</v>
      </c>
      <c r="E141" t="s">
        <v>75</v>
      </c>
      <c r="F141" t="s">
        <v>157</v>
      </c>
      <c r="G141" t="s">
        <v>33</v>
      </c>
    </row>
    <row r="142" spans="1:7" x14ac:dyDescent="0.3">
      <c r="A142">
        <v>12</v>
      </c>
      <c r="B142">
        <v>2022</v>
      </c>
      <c r="C142" t="s">
        <v>13</v>
      </c>
      <c r="D142" t="s">
        <v>8</v>
      </c>
      <c r="E142" t="s">
        <v>81</v>
      </c>
      <c r="F142" t="s">
        <v>35</v>
      </c>
      <c r="G142" t="s">
        <v>33</v>
      </c>
    </row>
    <row r="143" spans="1:7" x14ac:dyDescent="0.3">
      <c r="A143">
        <v>12</v>
      </c>
      <c r="B143">
        <v>2022</v>
      </c>
      <c r="C143" t="s">
        <v>13</v>
      </c>
      <c r="D143" t="s">
        <v>8</v>
      </c>
      <c r="E143" t="s">
        <v>81</v>
      </c>
      <c r="F143" t="s">
        <v>36</v>
      </c>
      <c r="G143" t="s">
        <v>33</v>
      </c>
    </row>
    <row r="144" spans="1:7" x14ac:dyDescent="0.3">
      <c r="A144">
        <v>12</v>
      </c>
      <c r="B144">
        <v>2022</v>
      </c>
      <c r="C144" t="s">
        <v>13</v>
      </c>
      <c r="D144" t="s">
        <v>8</v>
      </c>
      <c r="E144" t="s">
        <v>81</v>
      </c>
      <c r="F144" t="s">
        <v>34</v>
      </c>
      <c r="G144" t="s">
        <v>33</v>
      </c>
    </row>
    <row r="145" spans="1:7" x14ac:dyDescent="0.3">
      <c r="A145">
        <v>12</v>
      </c>
      <c r="B145">
        <v>2022</v>
      </c>
      <c r="C145" t="s">
        <v>13</v>
      </c>
      <c r="D145" t="s">
        <v>8</v>
      </c>
      <c r="E145" t="s">
        <v>81</v>
      </c>
      <c r="F145" t="s">
        <v>157</v>
      </c>
      <c r="G145" t="s">
        <v>33</v>
      </c>
    </row>
    <row r="146" spans="1:7" x14ac:dyDescent="0.3">
      <c r="A146">
        <v>12</v>
      </c>
      <c r="B146">
        <v>2022</v>
      </c>
      <c r="C146" t="s">
        <v>14</v>
      </c>
      <c r="D146" t="s">
        <v>8</v>
      </c>
      <c r="E146" t="s">
        <v>87</v>
      </c>
      <c r="F146" t="s">
        <v>35</v>
      </c>
      <c r="G146" t="s">
        <v>33</v>
      </c>
    </row>
    <row r="147" spans="1:7" x14ac:dyDescent="0.3">
      <c r="A147">
        <v>12</v>
      </c>
      <c r="B147">
        <v>2022</v>
      </c>
      <c r="C147" t="s">
        <v>14</v>
      </c>
      <c r="D147" t="s">
        <v>8</v>
      </c>
      <c r="E147" t="s">
        <v>87</v>
      </c>
      <c r="F147" t="s">
        <v>36</v>
      </c>
      <c r="G147" t="s">
        <v>33</v>
      </c>
    </row>
    <row r="148" spans="1:7" x14ac:dyDescent="0.3">
      <c r="A148">
        <v>12</v>
      </c>
      <c r="B148">
        <v>2022</v>
      </c>
      <c r="C148" t="s">
        <v>14</v>
      </c>
      <c r="D148" t="s">
        <v>8</v>
      </c>
      <c r="E148" t="s">
        <v>87</v>
      </c>
      <c r="F148" t="s">
        <v>34</v>
      </c>
      <c r="G148" t="s">
        <v>33</v>
      </c>
    </row>
    <row r="149" spans="1:7" x14ac:dyDescent="0.3">
      <c r="A149">
        <v>12</v>
      </c>
      <c r="B149">
        <v>2022</v>
      </c>
      <c r="C149" t="s">
        <v>14</v>
      </c>
      <c r="D149" t="s">
        <v>8</v>
      </c>
      <c r="E149" t="s">
        <v>87</v>
      </c>
      <c r="F149" t="s">
        <v>157</v>
      </c>
      <c r="G149" t="s">
        <v>33</v>
      </c>
    </row>
    <row r="150" spans="1:7" x14ac:dyDescent="0.3">
      <c r="A150">
        <v>12</v>
      </c>
      <c r="B150">
        <v>2022</v>
      </c>
      <c r="C150" t="s">
        <v>21</v>
      </c>
      <c r="D150" t="s">
        <v>8</v>
      </c>
      <c r="E150" t="s">
        <v>93</v>
      </c>
      <c r="F150" t="s">
        <v>35</v>
      </c>
      <c r="G150" t="s">
        <v>33</v>
      </c>
    </row>
    <row r="151" spans="1:7" x14ac:dyDescent="0.3">
      <c r="A151">
        <v>12</v>
      </c>
      <c r="B151">
        <v>2022</v>
      </c>
      <c r="C151" t="s">
        <v>21</v>
      </c>
      <c r="D151" t="s">
        <v>8</v>
      </c>
      <c r="E151" t="s">
        <v>93</v>
      </c>
      <c r="F151" t="s">
        <v>36</v>
      </c>
      <c r="G151" t="s">
        <v>33</v>
      </c>
    </row>
    <row r="152" spans="1:7" x14ac:dyDescent="0.3">
      <c r="A152">
        <v>12</v>
      </c>
      <c r="B152">
        <v>2022</v>
      </c>
      <c r="C152" t="s">
        <v>21</v>
      </c>
      <c r="D152" t="s">
        <v>8</v>
      </c>
      <c r="E152" t="s">
        <v>93</v>
      </c>
      <c r="F152" t="s">
        <v>34</v>
      </c>
      <c r="G152" t="s">
        <v>33</v>
      </c>
    </row>
    <row r="153" spans="1:7" x14ac:dyDescent="0.3">
      <c r="A153">
        <v>12</v>
      </c>
      <c r="B153">
        <v>2022</v>
      </c>
      <c r="C153" t="s">
        <v>21</v>
      </c>
      <c r="D153" t="s">
        <v>8</v>
      </c>
      <c r="E153" t="s">
        <v>93</v>
      </c>
      <c r="F153" t="s">
        <v>157</v>
      </c>
      <c r="G153" t="s">
        <v>33</v>
      </c>
    </row>
    <row r="154" spans="1:7" x14ac:dyDescent="0.3">
      <c r="A154">
        <v>12</v>
      </c>
      <c r="B154">
        <v>2022</v>
      </c>
      <c r="C154" t="s">
        <v>26</v>
      </c>
      <c r="D154" t="s">
        <v>8</v>
      </c>
      <c r="E154" t="s">
        <v>99</v>
      </c>
      <c r="F154" t="s">
        <v>35</v>
      </c>
      <c r="G154" t="s">
        <v>33</v>
      </c>
    </row>
    <row r="155" spans="1:7" x14ac:dyDescent="0.3">
      <c r="A155">
        <v>12</v>
      </c>
      <c r="B155">
        <v>2022</v>
      </c>
      <c r="C155" t="s">
        <v>26</v>
      </c>
      <c r="D155" t="s">
        <v>8</v>
      </c>
      <c r="E155" t="s">
        <v>99</v>
      </c>
      <c r="F155" t="s">
        <v>36</v>
      </c>
      <c r="G155" t="s">
        <v>33</v>
      </c>
    </row>
    <row r="156" spans="1:7" x14ac:dyDescent="0.3">
      <c r="A156">
        <v>12</v>
      </c>
      <c r="B156">
        <v>2022</v>
      </c>
      <c r="C156" t="s">
        <v>26</v>
      </c>
      <c r="D156" t="s">
        <v>8</v>
      </c>
      <c r="E156" t="s">
        <v>99</v>
      </c>
      <c r="F156" t="s">
        <v>34</v>
      </c>
      <c r="G156" t="s">
        <v>33</v>
      </c>
    </row>
    <row r="157" spans="1:7" x14ac:dyDescent="0.3">
      <c r="A157">
        <v>12</v>
      </c>
      <c r="B157">
        <v>2022</v>
      </c>
      <c r="C157" t="s">
        <v>26</v>
      </c>
      <c r="D157" t="s">
        <v>8</v>
      </c>
      <c r="E157" t="s">
        <v>99</v>
      </c>
      <c r="F157" t="s">
        <v>157</v>
      </c>
      <c r="G157" t="s">
        <v>33</v>
      </c>
    </row>
    <row r="158" spans="1:7" x14ac:dyDescent="0.3">
      <c r="A158">
        <v>12</v>
      </c>
      <c r="B158">
        <v>2022</v>
      </c>
      <c r="C158" t="s">
        <v>15</v>
      </c>
      <c r="D158" t="s">
        <v>8</v>
      </c>
      <c r="E158" t="s">
        <v>105</v>
      </c>
      <c r="F158" t="s">
        <v>35</v>
      </c>
      <c r="G158" t="s">
        <v>33</v>
      </c>
    </row>
    <row r="159" spans="1:7" x14ac:dyDescent="0.3">
      <c r="A159">
        <v>12</v>
      </c>
      <c r="B159">
        <v>2022</v>
      </c>
      <c r="C159" t="s">
        <v>15</v>
      </c>
      <c r="D159" t="s">
        <v>8</v>
      </c>
      <c r="E159" t="s">
        <v>105</v>
      </c>
      <c r="F159" t="s">
        <v>36</v>
      </c>
      <c r="G159" t="s">
        <v>33</v>
      </c>
    </row>
    <row r="160" spans="1:7" x14ac:dyDescent="0.3">
      <c r="A160">
        <v>12</v>
      </c>
      <c r="B160">
        <v>2022</v>
      </c>
      <c r="C160" t="s">
        <v>15</v>
      </c>
      <c r="D160" t="s">
        <v>8</v>
      </c>
      <c r="E160" t="s">
        <v>105</v>
      </c>
      <c r="F160" t="s">
        <v>34</v>
      </c>
      <c r="G160" t="s">
        <v>33</v>
      </c>
    </row>
    <row r="161" spans="1:7" x14ac:dyDescent="0.3">
      <c r="A161">
        <v>12</v>
      </c>
      <c r="B161">
        <v>2022</v>
      </c>
      <c r="C161" t="s">
        <v>15</v>
      </c>
      <c r="D161" t="s">
        <v>8</v>
      </c>
      <c r="E161" t="s">
        <v>105</v>
      </c>
      <c r="F161" t="s">
        <v>157</v>
      </c>
      <c r="G161" t="s">
        <v>33</v>
      </c>
    </row>
    <row r="162" spans="1:7" x14ac:dyDescent="0.3">
      <c r="A162">
        <v>12</v>
      </c>
      <c r="B162">
        <v>2022</v>
      </c>
      <c r="C162" t="s">
        <v>27</v>
      </c>
      <c r="D162" t="s">
        <v>8</v>
      </c>
      <c r="E162" t="s">
        <v>111</v>
      </c>
      <c r="F162" t="s">
        <v>35</v>
      </c>
      <c r="G162" t="s">
        <v>33</v>
      </c>
    </row>
    <row r="163" spans="1:7" x14ac:dyDescent="0.3">
      <c r="A163">
        <v>12</v>
      </c>
      <c r="B163">
        <v>2022</v>
      </c>
      <c r="C163" t="s">
        <v>27</v>
      </c>
      <c r="D163" t="s">
        <v>8</v>
      </c>
      <c r="E163" t="s">
        <v>111</v>
      </c>
      <c r="F163" t="s">
        <v>36</v>
      </c>
      <c r="G163" t="s">
        <v>33</v>
      </c>
    </row>
    <row r="164" spans="1:7" x14ac:dyDescent="0.3">
      <c r="A164">
        <v>12</v>
      </c>
      <c r="B164">
        <v>2022</v>
      </c>
      <c r="C164" t="s">
        <v>27</v>
      </c>
      <c r="D164" t="s">
        <v>8</v>
      </c>
      <c r="E164" t="s">
        <v>111</v>
      </c>
      <c r="F164" t="s">
        <v>34</v>
      </c>
      <c r="G164" t="s">
        <v>33</v>
      </c>
    </row>
    <row r="165" spans="1:7" x14ac:dyDescent="0.3">
      <c r="A165">
        <v>12</v>
      </c>
      <c r="B165">
        <v>2022</v>
      </c>
      <c r="C165" t="s">
        <v>27</v>
      </c>
      <c r="D165" t="s">
        <v>8</v>
      </c>
      <c r="E165" t="s">
        <v>111</v>
      </c>
      <c r="F165" t="s">
        <v>157</v>
      </c>
      <c r="G165" t="s">
        <v>33</v>
      </c>
    </row>
    <row r="166" spans="1:7" x14ac:dyDescent="0.3">
      <c r="A166">
        <v>12</v>
      </c>
      <c r="B166">
        <v>2022</v>
      </c>
      <c r="C166" t="s">
        <v>17</v>
      </c>
      <c r="D166" t="s">
        <v>8</v>
      </c>
      <c r="E166" t="s">
        <v>117</v>
      </c>
      <c r="F166" t="s">
        <v>35</v>
      </c>
      <c r="G166" t="s">
        <v>33</v>
      </c>
    </row>
    <row r="167" spans="1:7" x14ac:dyDescent="0.3">
      <c r="A167">
        <v>12</v>
      </c>
      <c r="B167">
        <v>2022</v>
      </c>
      <c r="C167" t="s">
        <v>17</v>
      </c>
      <c r="D167" t="s">
        <v>8</v>
      </c>
      <c r="E167" t="s">
        <v>117</v>
      </c>
      <c r="F167" t="s">
        <v>36</v>
      </c>
      <c r="G167" t="s">
        <v>33</v>
      </c>
    </row>
    <row r="168" spans="1:7" x14ac:dyDescent="0.3">
      <c r="A168">
        <v>12</v>
      </c>
      <c r="B168">
        <v>2022</v>
      </c>
      <c r="C168" t="s">
        <v>17</v>
      </c>
      <c r="D168" t="s">
        <v>8</v>
      </c>
      <c r="E168" t="s">
        <v>117</v>
      </c>
      <c r="F168" t="s">
        <v>34</v>
      </c>
      <c r="G168" t="s">
        <v>33</v>
      </c>
    </row>
    <row r="169" spans="1:7" x14ac:dyDescent="0.3">
      <c r="A169">
        <v>12</v>
      </c>
      <c r="B169">
        <v>2022</v>
      </c>
      <c r="C169" t="s">
        <v>17</v>
      </c>
      <c r="D169" t="s">
        <v>8</v>
      </c>
      <c r="E169" t="s">
        <v>117</v>
      </c>
      <c r="F169" t="s">
        <v>157</v>
      </c>
      <c r="G169" t="s">
        <v>33</v>
      </c>
    </row>
    <row r="170" spans="1:7" x14ac:dyDescent="0.3">
      <c r="A170">
        <v>12</v>
      </c>
      <c r="B170">
        <v>2022</v>
      </c>
      <c r="C170" t="s">
        <v>22</v>
      </c>
      <c r="D170" t="s">
        <v>8</v>
      </c>
      <c r="E170" t="s">
        <v>123</v>
      </c>
      <c r="F170" t="s">
        <v>35</v>
      </c>
      <c r="G170" t="s">
        <v>33</v>
      </c>
    </row>
    <row r="171" spans="1:7" x14ac:dyDescent="0.3">
      <c r="A171">
        <v>12</v>
      </c>
      <c r="B171">
        <v>2022</v>
      </c>
      <c r="C171" t="s">
        <v>22</v>
      </c>
      <c r="D171" t="s">
        <v>8</v>
      </c>
      <c r="E171" t="s">
        <v>123</v>
      </c>
      <c r="F171" t="s">
        <v>36</v>
      </c>
      <c r="G171" t="s">
        <v>33</v>
      </c>
    </row>
    <row r="172" spans="1:7" x14ac:dyDescent="0.3">
      <c r="A172">
        <v>12</v>
      </c>
      <c r="B172">
        <v>2022</v>
      </c>
      <c r="C172" t="s">
        <v>22</v>
      </c>
      <c r="D172" t="s">
        <v>8</v>
      </c>
      <c r="E172" t="s">
        <v>123</v>
      </c>
      <c r="F172" t="s">
        <v>34</v>
      </c>
      <c r="G172" t="s">
        <v>33</v>
      </c>
    </row>
    <row r="173" spans="1:7" x14ac:dyDescent="0.3">
      <c r="A173">
        <v>12</v>
      </c>
      <c r="B173">
        <v>2022</v>
      </c>
      <c r="C173" t="s">
        <v>22</v>
      </c>
      <c r="D173" t="s">
        <v>8</v>
      </c>
      <c r="E173" t="s">
        <v>123</v>
      </c>
      <c r="F173" t="s">
        <v>157</v>
      </c>
      <c r="G173" t="s">
        <v>33</v>
      </c>
    </row>
    <row r="174" spans="1:7" x14ac:dyDescent="0.3">
      <c r="A174">
        <v>12</v>
      </c>
      <c r="B174">
        <v>2022</v>
      </c>
      <c r="C174" t="s">
        <v>18</v>
      </c>
      <c r="D174" t="s">
        <v>8</v>
      </c>
      <c r="E174" t="s">
        <v>129</v>
      </c>
      <c r="F174" t="s">
        <v>35</v>
      </c>
      <c r="G174" t="s">
        <v>33</v>
      </c>
    </row>
    <row r="175" spans="1:7" x14ac:dyDescent="0.3">
      <c r="A175">
        <v>12</v>
      </c>
      <c r="B175">
        <v>2022</v>
      </c>
      <c r="C175" t="s">
        <v>18</v>
      </c>
      <c r="D175" t="s">
        <v>8</v>
      </c>
      <c r="E175" t="s">
        <v>129</v>
      </c>
      <c r="F175" t="s">
        <v>36</v>
      </c>
      <c r="G175" t="s">
        <v>33</v>
      </c>
    </row>
    <row r="176" spans="1:7" x14ac:dyDescent="0.3">
      <c r="A176">
        <v>12</v>
      </c>
      <c r="B176">
        <v>2022</v>
      </c>
      <c r="C176" t="s">
        <v>18</v>
      </c>
      <c r="D176" t="s">
        <v>8</v>
      </c>
      <c r="E176" t="s">
        <v>129</v>
      </c>
      <c r="F176" t="s">
        <v>34</v>
      </c>
      <c r="G176" t="s">
        <v>33</v>
      </c>
    </row>
    <row r="177" spans="1:7" x14ac:dyDescent="0.3">
      <c r="A177">
        <v>12</v>
      </c>
      <c r="B177">
        <v>2022</v>
      </c>
      <c r="C177" t="s">
        <v>18</v>
      </c>
      <c r="D177" t="s">
        <v>8</v>
      </c>
      <c r="E177" t="s">
        <v>129</v>
      </c>
      <c r="F177" t="s">
        <v>157</v>
      </c>
      <c r="G177" t="s">
        <v>33</v>
      </c>
    </row>
    <row r="178" spans="1:7" x14ac:dyDescent="0.3">
      <c r="A178">
        <v>12</v>
      </c>
      <c r="B178">
        <v>2022</v>
      </c>
      <c r="C178" t="s">
        <v>23</v>
      </c>
      <c r="D178" t="s">
        <v>8</v>
      </c>
      <c r="E178" t="s">
        <v>135</v>
      </c>
      <c r="F178" t="s">
        <v>35</v>
      </c>
      <c r="G178" t="s">
        <v>33</v>
      </c>
    </row>
    <row r="179" spans="1:7" x14ac:dyDescent="0.3">
      <c r="A179">
        <v>12</v>
      </c>
      <c r="B179">
        <v>2022</v>
      </c>
      <c r="C179" t="s">
        <v>23</v>
      </c>
      <c r="D179" t="s">
        <v>8</v>
      </c>
      <c r="E179" t="s">
        <v>135</v>
      </c>
      <c r="F179" t="s">
        <v>36</v>
      </c>
      <c r="G179" t="s">
        <v>33</v>
      </c>
    </row>
    <row r="180" spans="1:7" x14ac:dyDescent="0.3">
      <c r="A180">
        <v>12</v>
      </c>
      <c r="B180">
        <v>2022</v>
      </c>
      <c r="C180" t="s">
        <v>23</v>
      </c>
      <c r="D180" t="s">
        <v>8</v>
      </c>
      <c r="E180" t="s">
        <v>135</v>
      </c>
      <c r="F180" t="s">
        <v>34</v>
      </c>
      <c r="G180" t="s">
        <v>33</v>
      </c>
    </row>
    <row r="181" spans="1:7" x14ac:dyDescent="0.3">
      <c r="A181">
        <v>12</v>
      </c>
      <c r="B181">
        <v>2022</v>
      </c>
      <c r="C181" t="s">
        <v>23</v>
      </c>
      <c r="D181" t="s">
        <v>8</v>
      </c>
      <c r="E181" t="s">
        <v>135</v>
      </c>
      <c r="F181" t="s">
        <v>157</v>
      </c>
      <c r="G181" t="s">
        <v>33</v>
      </c>
    </row>
    <row r="182" spans="1:7" x14ac:dyDescent="0.3">
      <c r="A182">
        <v>12</v>
      </c>
      <c r="B182">
        <v>2022</v>
      </c>
      <c r="C182" t="s">
        <v>24</v>
      </c>
      <c r="D182" t="s">
        <v>8</v>
      </c>
      <c r="E182" t="s">
        <v>141</v>
      </c>
      <c r="F182" t="s">
        <v>35</v>
      </c>
      <c r="G182" t="s">
        <v>33</v>
      </c>
    </row>
    <row r="183" spans="1:7" x14ac:dyDescent="0.3">
      <c r="A183">
        <v>12</v>
      </c>
      <c r="B183">
        <v>2022</v>
      </c>
      <c r="C183" t="s">
        <v>24</v>
      </c>
      <c r="D183" t="s">
        <v>8</v>
      </c>
      <c r="E183" t="s">
        <v>141</v>
      </c>
      <c r="F183" t="s">
        <v>36</v>
      </c>
      <c r="G183" t="s">
        <v>33</v>
      </c>
    </row>
    <row r="184" spans="1:7" x14ac:dyDescent="0.3">
      <c r="A184">
        <v>12</v>
      </c>
      <c r="B184">
        <v>2022</v>
      </c>
      <c r="C184" t="s">
        <v>24</v>
      </c>
      <c r="D184" t="s">
        <v>8</v>
      </c>
      <c r="E184" t="s">
        <v>141</v>
      </c>
      <c r="F184" t="s">
        <v>34</v>
      </c>
      <c r="G184" t="s">
        <v>33</v>
      </c>
    </row>
    <row r="185" spans="1:7" x14ac:dyDescent="0.3">
      <c r="A185">
        <v>12</v>
      </c>
      <c r="B185">
        <v>2022</v>
      </c>
      <c r="C185" t="s">
        <v>24</v>
      </c>
      <c r="D185" t="s">
        <v>8</v>
      </c>
      <c r="E185" t="s">
        <v>141</v>
      </c>
      <c r="F185" t="s">
        <v>157</v>
      </c>
      <c r="G185" t="s">
        <v>33</v>
      </c>
    </row>
    <row r="186" spans="1:7" x14ac:dyDescent="0.3">
      <c r="A186">
        <v>12</v>
      </c>
      <c r="B186">
        <v>2022</v>
      </c>
      <c r="C186" t="s">
        <v>16</v>
      </c>
      <c r="D186" t="s">
        <v>8</v>
      </c>
      <c r="E186" t="s">
        <v>147</v>
      </c>
      <c r="F186" t="s">
        <v>35</v>
      </c>
      <c r="G186" t="s">
        <v>33</v>
      </c>
    </row>
    <row r="187" spans="1:7" x14ac:dyDescent="0.3">
      <c r="A187">
        <v>12</v>
      </c>
      <c r="B187">
        <v>2022</v>
      </c>
      <c r="C187" t="s">
        <v>16</v>
      </c>
      <c r="D187" t="s">
        <v>8</v>
      </c>
      <c r="E187" t="s">
        <v>147</v>
      </c>
      <c r="F187" t="s">
        <v>36</v>
      </c>
      <c r="G187" t="s">
        <v>33</v>
      </c>
    </row>
    <row r="188" spans="1:7" x14ac:dyDescent="0.3">
      <c r="A188">
        <v>12</v>
      </c>
      <c r="B188">
        <v>2022</v>
      </c>
      <c r="C188" t="s">
        <v>16</v>
      </c>
      <c r="D188" t="s">
        <v>8</v>
      </c>
      <c r="E188" t="s">
        <v>147</v>
      </c>
      <c r="F188" t="s">
        <v>34</v>
      </c>
      <c r="G188" t="s">
        <v>33</v>
      </c>
    </row>
    <row r="189" spans="1:7" x14ac:dyDescent="0.3">
      <c r="A189">
        <v>12</v>
      </c>
      <c r="B189">
        <v>2022</v>
      </c>
      <c r="C189" t="s">
        <v>16</v>
      </c>
      <c r="D189" t="s">
        <v>8</v>
      </c>
      <c r="E189" t="s">
        <v>147</v>
      </c>
      <c r="F189" t="s">
        <v>157</v>
      </c>
      <c r="G189" t="s">
        <v>33</v>
      </c>
    </row>
    <row r="190" spans="1:7" x14ac:dyDescent="0.3">
      <c r="A190">
        <v>12</v>
      </c>
      <c r="B190">
        <v>2022</v>
      </c>
      <c r="C190" t="s">
        <v>25</v>
      </c>
      <c r="D190" t="s">
        <v>8</v>
      </c>
      <c r="E190" t="s">
        <v>153</v>
      </c>
      <c r="F190" t="s">
        <v>35</v>
      </c>
      <c r="G190" t="s">
        <v>33</v>
      </c>
    </row>
    <row r="191" spans="1:7" x14ac:dyDescent="0.3">
      <c r="A191">
        <v>12</v>
      </c>
      <c r="B191">
        <v>2022</v>
      </c>
      <c r="C191" t="s">
        <v>25</v>
      </c>
      <c r="D191" t="s">
        <v>8</v>
      </c>
      <c r="E191" t="s">
        <v>153</v>
      </c>
      <c r="F191" t="s">
        <v>36</v>
      </c>
      <c r="G191" t="s">
        <v>33</v>
      </c>
    </row>
    <row r="192" spans="1:7" x14ac:dyDescent="0.3">
      <c r="A192">
        <v>12</v>
      </c>
      <c r="B192">
        <v>2022</v>
      </c>
      <c r="C192" t="s">
        <v>25</v>
      </c>
      <c r="D192" t="s">
        <v>8</v>
      </c>
      <c r="E192" t="s">
        <v>153</v>
      </c>
      <c r="F192" t="s">
        <v>34</v>
      </c>
      <c r="G192" t="s">
        <v>33</v>
      </c>
    </row>
    <row r="193" spans="1:7" x14ac:dyDescent="0.3">
      <c r="A193">
        <v>12</v>
      </c>
      <c r="B193">
        <v>2022</v>
      </c>
      <c r="C193" t="s">
        <v>25</v>
      </c>
      <c r="D193" t="s">
        <v>8</v>
      </c>
      <c r="E193" t="s">
        <v>153</v>
      </c>
      <c r="F193" t="s">
        <v>157</v>
      </c>
      <c r="G193" t="s">
        <v>33</v>
      </c>
    </row>
    <row r="194" spans="1:7" x14ac:dyDescent="0.3">
      <c r="A194">
        <v>12</v>
      </c>
      <c r="B194">
        <v>2022</v>
      </c>
      <c r="C194" t="s">
        <v>10</v>
      </c>
      <c r="D194" t="s">
        <v>9</v>
      </c>
      <c r="E194" t="s">
        <v>64</v>
      </c>
      <c r="F194" t="s">
        <v>35</v>
      </c>
      <c r="G194" t="s">
        <v>33</v>
      </c>
    </row>
    <row r="195" spans="1:7" x14ac:dyDescent="0.3">
      <c r="A195">
        <v>12</v>
      </c>
      <c r="B195">
        <v>2022</v>
      </c>
      <c r="C195" t="s">
        <v>10</v>
      </c>
      <c r="D195" t="s">
        <v>9</v>
      </c>
      <c r="E195" t="s">
        <v>64</v>
      </c>
      <c r="F195" t="s">
        <v>36</v>
      </c>
      <c r="G195" t="s">
        <v>33</v>
      </c>
    </row>
    <row r="196" spans="1:7" x14ac:dyDescent="0.3">
      <c r="A196">
        <v>12</v>
      </c>
      <c r="B196">
        <v>2022</v>
      </c>
      <c r="C196" t="s">
        <v>10</v>
      </c>
      <c r="D196" t="s">
        <v>9</v>
      </c>
      <c r="E196" t="s">
        <v>64</v>
      </c>
      <c r="F196" t="s">
        <v>34</v>
      </c>
      <c r="G196" t="s">
        <v>33</v>
      </c>
    </row>
    <row r="197" spans="1:7" x14ac:dyDescent="0.3">
      <c r="A197">
        <v>12</v>
      </c>
      <c r="B197">
        <v>2022</v>
      </c>
      <c r="C197" t="s">
        <v>10</v>
      </c>
      <c r="D197" t="s">
        <v>9</v>
      </c>
      <c r="E197" t="s">
        <v>64</v>
      </c>
      <c r="F197" t="s">
        <v>157</v>
      </c>
      <c r="G197" t="s">
        <v>33</v>
      </c>
    </row>
    <row r="198" spans="1:7" x14ac:dyDescent="0.3">
      <c r="A198">
        <v>12</v>
      </c>
      <c r="B198">
        <v>2022</v>
      </c>
      <c r="C198" t="s">
        <v>19</v>
      </c>
      <c r="D198" t="s">
        <v>4</v>
      </c>
      <c r="E198" t="s">
        <v>65</v>
      </c>
      <c r="F198" t="s">
        <v>35</v>
      </c>
      <c r="G198" t="s">
        <v>33</v>
      </c>
    </row>
    <row r="199" spans="1:7" x14ac:dyDescent="0.3">
      <c r="A199">
        <v>12</v>
      </c>
      <c r="B199">
        <v>2022</v>
      </c>
      <c r="C199" t="s">
        <v>19</v>
      </c>
      <c r="D199" t="s">
        <v>4</v>
      </c>
      <c r="E199" t="s">
        <v>65</v>
      </c>
      <c r="F199" t="s">
        <v>36</v>
      </c>
      <c r="G199" t="s">
        <v>33</v>
      </c>
    </row>
    <row r="200" spans="1:7" x14ac:dyDescent="0.3">
      <c r="A200">
        <v>12</v>
      </c>
      <c r="B200">
        <v>2022</v>
      </c>
      <c r="C200" t="s">
        <v>19</v>
      </c>
      <c r="D200" t="s">
        <v>4</v>
      </c>
      <c r="E200" t="s">
        <v>65</v>
      </c>
      <c r="F200" t="s">
        <v>34</v>
      </c>
      <c r="G200" t="s">
        <v>33</v>
      </c>
    </row>
    <row r="201" spans="1:7" x14ac:dyDescent="0.3">
      <c r="A201">
        <v>12</v>
      </c>
      <c r="B201">
        <v>2022</v>
      </c>
      <c r="C201" t="s">
        <v>19</v>
      </c>
      <c r="D201" t="s">
        <v>4</v>
      </c>
      <c r="E201" t="s">
        <v>65</v>
      </c>
      <c r="F201" t="s">
        <v>157</v>
      </c>
      <c r="G201" t="s">
        <v>33</v>
      </c>
    </row>
    <row r="202" spans="1:7" x14ac:dyDescent="0.3">
      <c r="A202">
        <v>12</v>
      </c>
      <c r="B202">
        <v>2022</v>
      </c>
      <c r="C202" t="s">
        <v>19</v>
      </c>
      <c r="D202" t="s">
        <v>9</v>
      </c>
      <c r="E202" t="s">
        <v>70</v>
      </c>
      <c r="F202" t="s">
        <v>35</v>
      </c>
      <c r="G202" t="s">
        <v>33</v>
      </c>
    </row>
    <row r="203" spans="1:7" x14ac:dyDescent="0.3">
      <c r="A203">
        <v>12</v>
      </c>
      <c r="B203">
        <v>2022</v>
      </c>
      <c r="C203" t="s">
        <v>19</v>
      </c>
      <c r="D203" t="s">
        <v>9</v>
      </c>
      <c r="E203" t="s">
        <v>70</v>
      </c>
      <c r="F203" t="s">
        <v>36</v>
      </c>
      <c r="G203" t="s">
        <v>33</v>
      </c>
    </row>
    <row r="204" spans="1:7" x14ac:dyDescent="0.3">
      <c r="A204">
        <v>12</v>
      </c>
      <c r="B204">
        <v>2022</v>
      </c>
      <c r="C204" t="s">
        <v>19</v>
      </c>
      <c r="D204" t="s">
        <v>9</v>
      </c>
      <c r="E204" t="s">
        <v>70</v>
      </c>
      <c r="F204" t="s">
        <v>34</v>
      </c>
      <c r="G204" t="s">
        <v>33</v>
      </c>
    </row>
    <row r="205" spans="1:7" x14ac:dyDescent="0.3">
      <c r="A205">
        <v>12</v>
      </c>
      <c r="B205">
        <v>2022</v>
      </c>
      <c r="C205" t="s">
        <v>19</v>
      </c>
      <c r="D205" t="s">
        <v>9</v>
      </c>
      <c r="E205" t="s">
        <v>70</v>
      </c>
      <c r="F205" t="s">
        <v>157</v>
      </c>
      <c r="G205" t="s">
        <v>33</v>
      </c>
    </row>
    <row r="206" spans="1:7" x14ac:dyDescent="0.3">
      <c r="A206">
        <v>12</v>
      </c>
      <c r="B206">
        <v>2022</v>
      </c>
      <c r="C206" t="s">
        <v>20</v>
      </c>
      <c r="D206" t="s">
        <v>9</v>
      </c>
      <c r="E206" t="s">
        <v>76</v>
      </c>
      <c r="F206" t="s">
        <v>35</v>
      </c>
      <c r="G206" t="s">
        <v>33</v>
      </c>
    </row>
    <row r="207" spans="1:7" x14ac:dyDescent="0.3">
      <c r="A207">
        <v>12</v>
      </c>
      <c r="B207">
        <v>2022</v>
      </c>
      <c r="C207" t="s">
        <v>20</v>
      </c>
      <c r="D207" t="s">
        <v>9</v>
      </c>
      <c r="E207" t="s">
        <v>76</v>
      </c>
      <c r="F207" t="s">
        <v>36</v>
      </c>
      <c r="G207" t="s">
        <v>33</v>
      </c>
    </row>
    <row r="208" spans="1:7" x14ac:dyDescent="0.3">
      <c r="A208">
        <v>12</v>
      </c>
      <c r="B208">
        <v>2022</v>
      </c>
      <c r="C208" t="s">
        <v>20</v>
      </c>
      <c r="D208" t="s">
        <v>9</v>
      </c>
      <c r="E208" t="s">
        <v>76</v>
      </c>
      <c r="F208" t="s">
        <v>34</v>
      </c>
      <c r="G208" t="s">
        <v>33</v>
      </c>
    </row>
    <row r="209" spans="1:7" x14ac:dyDescent="0.3">
      <c r="A209">
        <v>12</v>
      </c>
      <c r="B209">
        <v>2022</v>
      </c>
      <c r="C209" t="s">
        <v>20</v>
      </c>
      <c r="D209" t="s">
        <v>9</v>
      </c>
      <c r="E209" t="s">
        <v>76</v>
      </c>
      <c r="F209" t="s">
        <v>157</v>
      </c>
      <c r="G209" t="s">
        <v>33</v>
      </c>
    </row>
    <row r="210" spans="1:7" x14ac:dyDescent="0.3">
      <c r="A210">
        <v>12</v>
      </c>
      <c r="B210">
        <v>2022</v>
      </c>
      <c r="C210" t="s">
        <v>13</v>
      </c>
      <c r="D210" t="s">
        <v>4</v>
      </c>
      <c r="E210" t="s">
        <v>77</v>
      </c>
      <c r="F210" t="s">
        <v>35</v>
      </c>
      <c r="G210" t="s">
        <v>33</v>
      </c>
    </row>
    <row r="211" spans="1:7" x14ac:dyDescent="0.3">
      <c r="A211">
        <v>12</v>
      </c>
      <c r="B211">
        <v>2022</v>
      </c>
      <c r="C211" t="s">
        <v>13</v>
      </c>
      <c r="D211" t="s">
        <v>4</v>
      </c>
      <c r="E211" t="s">
        <v>77</v>
      </c>
      <c r="F211" t="s">
        <v>36</v>
      </c>
      <c r="G211" t="s">
        <v>33</v>
      </c>
    </row>
    <row r="212" spans="1:7" x14ac:dyDescent="0.3">
      <c r="A212">
        <v>12</v>
      </c>
      <c r="B212">
        <v>2022</v>
      </c>
      <c r="C212" t="s">
        <v>13</v>
      </c>
      <c r="D212" t="s">
        <v>4</v>
      </c>
      <c r="E212" t="s">
        <v>77</v>
      </c>
      <c r="F212" t="s">
        <v>34</v>
      </c>
      <c r="G212" t="s">
        <v>33</v>
      </c>
    </row>
    <row r="213" spans="1:7" x14ac:dyDescent="0.3">
      <c r="A213">
        <v>12</v>
      </c>
      <c r="B213">
        <v>2022</v>
      </c>
      <c r="C213" t="s">
        <v>13</v>
      </c>
      <c r="D213" t="s">
        <v>4</v>
      </c>
      <c r="E213" t="s">
        <v>77</v>
      </c>
      <c r="F213" t="s">
        <v>157</v>
      </c>
      <c r="G213" t="s">
        <v>33</v>
      </c>
    </row>
    <row r="214" spans="1:7" x14ac:dyDescent="0.3">
      <c r="A214">
        <v>12</v>
      </c>
      <c r="B214">
        <v>2022</v>
      </c>
      <c r="C214" t="s">
        <v>13</v>
      </c>
      <c r="D214" t="s">
        <v>9</v>
      </c>
      <c r="E214" t="s">
        <v>82</v>
      </c>
      <c r="F214" t="s">
        <v>35</v>
      </c>
      <c r="G214" t="s">
        <v>33</v>
      </c>
    </row>
    <row r="215" spans="1:7" x14ac:dyDescent="0.3">
      <c r="A215">
        <v>12</v>
      </c>
      <c r="B215">
        <v>2022</v>
      </c>
      <c r="C215" t="s">
        <v>13</v>
      </c>
      <c r="D215" t="s">
        <v>9</v>
      </c>
      <c r="E215" t="s">
        <v>82</v>
      </c>
      <c r="F215" t="s">
        <v>36</v>
      </c>
      <c r="G215" t="s">
        <v>33</v>
      </c>
    </row>
    <row r="216" spans="1:7" x14ac:dyDescent="0.3">
      <c r="A216">
        <v>12</v>
      </c>
      <c r="B216">
        <v>2022</v>
      </c>
      <c r="C216" t="s">
        <v>13</v>
      </c>
      <c r="D216" t="s">
        <v>9</v>
      </c>
      <c r="E216" t="s">
        <v>82</v>
      </c>
      <c r="F216" t="s">
        <v>34</v>
      </c>
      <c r="G216" t="s">
        <v>33</v>
      </c>
    </row>
    <row r="217" spans="1:7" x14ac:dyDescent="0.3">
      <c r="A217">
        <v>12</v>
      </c>
      <c r="B217">
        <v>2022</v>
      </c>
      <c r="C217" t="s">
        <v>13</v>
      </c>
      <c r="D217" t="s">
        <v>9</v>
      </c>
      <c r="E217" t="s">
        <v>82</v>
      </c>
      <c r="F217" t="s">
        <v>157</v>
      </c>
      <c r="G217" t="s">
        <v>33</v>
      </c>
    </row>
    <row r="218" spans="1:7" x14ac:dyDescent="0.3">
      <c r="A218">
        <v>12</v>
      </c>
      <c r="B218">
        <v>2022</v>
      </c>
      <c r="C218" t="s">
        <v>14</v>
      </c>
      <c r="D218" t="s">
        <v>6</v>
      </c>
      <c r="E218" t="s">
        <v>85</v>
      </c>
      <c r="F218" t="s">
        <v>35</v>
      </c>
      <c r="G218" t="s">
        <v>33</v>
      </c>
    </row>
    <row r="219" spans="1:7" x14ac:dyDescent="0.3">
      <c r="A219">
        <v>12</v>
      </c>
      <c r="B219">
        <v>2022</v>
      </c>
      <c r="C219" t="s">
        <v>14</v>
      </c>
      <c r="D219" t="s">
        <v>6</v>
      </c>
      <c r="E219" t="s">
        <v>85</v>
      </c>
      <c r="F219" t="s">
        <v>36</v>
      </c>
      <c r="G219" t="s">
        <v>33</v>
      </c>
    </row>
    <row r="220" spans="1:7" x14ac:dyDescent="0.3">
      <c r="A220">
        <v>12</v>
      </c>
      <c r="B220">
        <v>2022</v>
      </c>
      <c r="C220" t="s">
        <v>14</v>
      </c>
      <c r="D220" t="s">
        <v>6</v>
      </c>
      <c r="E220" t="s">
        <v>85</v>
      </c>
      <c r="F220" t="s">
        <v>34</v>
      </c>
      <c r="G220" t="s">
        <v>33</v>
      </c>
    </row>
    <row r="221" spans="1:7" x14ac:dyDescent="0.3">
      <c r="A221">
        <v>12</v>
      </c>
      <c r="B221">
        <v>2022</v>
      </c>
      <c r="C221" t="s">
        <v>14</v>
      </c>
      <c r="D221" t="s">
        <v>6</v>
      </c>
      <c r="E221" t="s">
        <v>85</v>
      </c>
      <c r="F221" t="s">
        <v>157</v>
      </c>
      <c r="G221" t="s">
        <v>33</v>
      </c>
    </row>
    <row r="222" spans="1:7" x14ac:dyDescent="0.3">
      <c r="A222">
        <v>12</v>
      </c>
      <c r="B222">
        <v>2022</v>
      </c>
      <c r="C222" t="s">
        <v>14</v>
      </c>
      <c r="D222" t="s">
        <v>9</v>
      </c>
      <c r="E222" t="s">
        <v>88</v>
      </c>
      <c r="F222" t="s">
        <v>35</v>
      </c>
      <c r="G222" t="s">
        <v>33</v>
      </c>
    </row>
    <row r="223" spans="1:7" x14ac:dyDescent="0.3">
      <c r="A223">
        <v>12</v>
      </c>
      <c r="B223">
        <v>2022</v>
      </c>
      <c r="C223" t="s">
        <v>14</v>
      </c>
      <c r="D223" t="s">
        <v>9</v>
      </c>
      <c r="E223" t="s">
        <v>88</v>
      </c>
      <c r="F223" t="s">
        <v>36</v>
      </c>
      <c r="G223" t="s">
        <v>33</v>
      </c>
    </row>
    <row r="224" spans="1:7" x14ac:dyDescent="0.3">
      <c r="A224">
        <v>12</v>
      </c>
      <c r="B224">
        <v>2022</v>
      </c>
      <c r="C224" t="s">
        <v>14</v>
      </c>
      <c r="D224" t="s">
        <v>9</v>
      </c>
      <c r="E224" t="s">
        <v>88</v>
      </c>
      <c r="F224" t="s">
        <v>34</v>
      </c>
      <c r="G224" t="s">
        <v>33</v>
      </c>
    </row>
    <row r="225" spans="1:7" x14ac:dyDescent="0.3">
      <c r="A225">
        <v>12</v>
      </c>
      <c r="B225">
        <v>2022</v>
      </c>
      <c r="C225" t="s">
        <v>14</v>
      </c>
      <c r="D225" t="s">
        <v>9</v>
      </c>
      <c r="E225" t="s">
        <v>88</v>
      </c>
      <c r="F225" t="s">
        <v>157</v>
      </c>
      <c r="G225" t="s">
        <v>33</v>
      </c>
    </row>
    <row r="226" spans="1:7" x14ac:dyDescent="0.3">
      <c r="A226">
        <v>12</v>
      </c>
      <c r="B226">
        <v>2022</v>
      </c>
      <c r="C226" t="s">
        <v>21</v>
      </c>
      <c r="D226" t="s">
        <v>9</v>
      </c>
      <c r="E226" t="s">
        <v>94</v>
      </c>
      <c r="F226" t="s">
        <v>35</v>
      </c>
      <c r="G226" t="s">
        <v>33</v>
      </c>
    </row>
    <row r="227" spans="1:7" x14ac:dyDescent="0.3">
      <c r="A227">
        <v>12</v>
      </c>
      <c r="B227">
        <v>2022</v>
      </c>
      <c r="C227" t="s">
        <v>21</v>
      </c>
      <c r="D227" t="s">
        <v>9</v>
      </c>
      <c r="E227" t="s">
        <v>94</v>
      </c>
      <c r="F227" t="s">
        <v>36</v>
      </c>
      <c r="G227" t="s">
        <v>33</v>
      </c>
    </row>
    <row r="228" spans="1:7" x14ac:dyDescent="0.3">
      <c r="A228">
        <v>12</v>
      </c>
      <c r="B228">
        <v>2022</v>
      </c>
      <c r="C228" t="s">
        <v>21</v>
      </c>
      <c r="D228" t="s">
        <v>9</v>
      </c>
      <c r="E228" t="s">
        <v>94</v>
      </c>
      <c r="F228" t="s">
        <v>34</v>
      </c>
      <c r="G228" t="s">
        <v>33</v>
      </c>
    </row>
    <row r="229" spans="1:7" x14ac:dyDescent="0.3">
      <c r="A229">
        <v>12</v>
      </c>
      <c r="B229">
        <v>2022</v>
      </c>
      <c r="C229" t="s">
        <v>21</v>
      </c>
      <c r="D229" t="s">
        <v>9</v>
      </c>
      <c r="E229" t="s">
        <v>94</v>
      </c>
      <c r="F229" t="s">
        <v>157</v>
      </c>
      <c r="G229" t="s">
        <v>33</v>
      </c>
    </row>
    <row r="230" spans="1:7" x14ac:dyDescent="0.3">
      <c r="A230">
        <v>12</v>
      </c>
      <c r="B230">
        <v>2022</v>
      </c>
      <c r="C230" t="s">
        <v>26</v>
      </c>
      <c r="D230" t="s">
        <v>4</v>
      </c>
      <c r="E230" t="s">
        <v>95</v>
      </c>
      <c r="F230" t="s">
        <v>35</v>
      </c>
      <c r="G230" t="s">
        <v>33</v>
      </c>
    </row>
    <row r="231" spans="1:7" x14ac:dyDescent="0.3">
      <c r="A231">
        <v>12</v>
      </c>
      <c r="B231">
        <v>2022</v>
      </c>
      <c r="C231" t="s">
        <v>26</v>
      </c>
      <c r="D231" t="s">
        <v>4</v>
      </c>
      <c r="E231" t="s">
        <v>95</v>
      </c>
      <c r="F231" t="s">
        <v>36</v>
      </c>
      <c r="G231" t="s">
        <v>33</v>
      </c>
    </row>
    <row r="232" spans="1:7" x14ac:dyDescent="0.3">
      <c r="A232">
        <v>12</v>
      </c>
      <c r="B232">
        <v>2022</v>
      </c>
      <c r="C232" t="s">
        <v>26</v>
      </c>
      <c r="D232" t="s">
        <v>4</v>
      </c>
      <c r="E232" t="s">
        <v>95</v>
      </c>
      <c r="F232" t="s">
        <v>34</v>
      </c>
      <c r="G232" t="s">
        <v>33</v>
      </c>
    </row>
    <row r="233" spans="1:7" x14ac:dyDescent="0.3">
      <c r="A233">
        <v>12</v>
      </c>
      <c r="B233">
        <v>2022</v>
      </c>
      <c r="C233" t="s">
        <v>26</v>
      </c>
      <c r="D233" t="s">
        <v>4</v>
      </c>
      <c r="E233" t="s">
        <v>95</v>
      </c>
      <c r="F233" t="s">
        <v>157</v>
      </c>
      <c r="G233" t="s">
        <v>33</v>
      </c>
    </row>
    <row r="234" spans="1:7" x14ac:dyDescent="0.3">
      <c r="A234">
        <v>12</v>
      </c>
      <c r="B234">
        <v>2022</v>
      </c>
      <c r="C234" t="s">
        <v>26</v>
      </c>
      <c r="D234" t="s">
        <v>6</v>
      </c>
      <c r="E234" t="s">
        <v>97</v>
      </c>
      <c r="F234" t="s">
        <v>35</v>
      </c>
      <c r="G234" t="s">
        <v>33</v>
      </c>
    </row>
    <row r="235" spans="1:7" x14ac:dyDescent="0.3">
      <c r="A235">
        <v>12</v>
      </c>
      <c r="B235">
        <v>2022</v>
      </c>
      <c r="C235" t="s">
        <v>26</v>
      </c>
      <c r="D235" t="s">
        <v>6</v>
      </c>
      <c r="E235" t="s">
        <v>97</v>
      </c>
      <c r="F235" t="s">
        <v>36</v>
      </c>
      <c r="G235" t="s">
        <v>33</v>
      </c>
    </row>
    <row r="236" spans="1:7" x14ac:dyDescent="0.3">
      <c r="A236">
        <v>12</v>
      </c>
      <c r="B236">
        <v>2022</v>
      </c>
      <c r="C236" t="s">
        <v>26</v>
      </c>
      <c r="D236" t="s">
        <v>6</v>
      </c>
      <c r="E236" t="s">
        <v>97</v>
      </c>
      <c r="F236" t="s">
        <v>34</v>
      </c>
      <c r="G236" t="s">
        <v>33</v>
      </c>
    </row>
    <row r="237" spans="1:7" x14ac:dyDescent="0.3">
      <c r="A237">
        <v>12</v>
      </c>
      <c r="B237">
        <v>2022</v>
      </c>
      <c r="C237" t="s">
        <v>26</v>
      </c>
      <c r="D237" t="s">
        <v>6</v>
      </c>
      <c r="E237" t="s">
        <v>97</v>
      </c>
      <c r="F237" t="s">
        <v>157</v>
      </c>
      <c r="G237" t="s">
        <v>33</v>
      </c>
    </row>
    <row r="238" spans="1:7" x14ac:dyDescent="0.3">
      <c r="A238">
        <v>12</v>
      </c>
      <c r="B238">
        <v>2022</v>
      </c>
      <c r="C238" t="s">
        <v>26</v>
      </c>
      <c r="D238" t="s">
        <v>9</v>
      </c>
      <c r="E238" t="s">
        <v>100</v>
      </c>
      <c r="F238" t="s">
        <v>35</v>
      </c>
      <c r="G238" t="s">
        <v>33</v>
      </c>
    </row>
    <row r="239" spans="1:7" x14ac:dyDescent="0.3">
      <c r="A239">
        <v>12</v>
      </c>
      <c r="B239">
        <v>2022</v>
      </c>
      <c r="C239" t="s">
        <v>26</v>
      </c>
      <c r="D239" t="s">
        <v>9</v>
      </c>
      <c r="E239" t="s">
        <v>100</v>
      </c>
      <c r="F239" t="s">
        <v>36</v>
      </c>
      <c r="G239" t="s">
        <v>33</v>
      </c>
    </row>
    <row r="240" spans="1:7" x14ac:dyDescent="0.3">
      <c r="A240">
        <v>12</v>
      </c>
      <c r="B240">
        <v>2022</v>
      </c>
      <c r="C240" t="s">
        <v>26</v>
      </c>
      <c r="D240" t="s">
        <v>9</v>
      </c>
      <c r="E240" t="s">
        <v>100</v>
      </c>
      <c r="F240" t="s">
        <v>34</v>
      </c>
      <c r="G240" t="s">
        <v>33</v>
      </c>
    </row>
    <row r="241" spans="1:7" x14ac:dyDescent="0.3">
      <c r="A241">
        <v>12</v>
      </c>
      <c r="B241">
        <v>2022</v>
      </c>
      <c r="C241" t="s">
        <v>26</v>
      </c>
      <c r="D241" t="s">
        <v>9</v>
      </c>
      <c r="E241" t="s">
        <v>100</v>
      </c>
      <c r="F241" t="s">
        <v>157</v>
      </c>
      <c r="G241" t="s">
        <v>33</v>
      </c>
    </row>
    <row r="242" spans="1:7" x14ac:dyDescent="0.3">
      <c r="A242">
        <v>12</v>
      </c>
      <c r="B242">
        <v>2022</v>
      </c>
      <c r="C242" t="s">
        <v>15</v>
      </c>
      <c r="D242" t="s">
        <v>6</v>
      </c>
      <c r="E242" t="s">
        <v>103</v>
      </c>
      <c r="F242" t="s">
        <v>35</v>
      </c>
      <c r="G242" t="s">
        <v>33</v>
      </c>
    </row>
    <row r="243" spans="1:7" x14ac:dyDescent="0.3">
      <c r="A243">
        <v>12</v>
      </c>
      <c r="B243">
        <v>2022</v>
      </c>
      <c r="C243" t="s">
        <v>15</v>
      </c>
      <c r="D243" t="s">
        <v>6</v>
      </c>
      <c r="E243" t="s">
        <v>103</v>
      </c>
      <c r="F243" t="s">
        <v>36</v>
      </c>
      <c r="G243" t="s">
        <v>33</v>
      </c>
    </row>
    <row r="244" spans="1:7" x14ac:dyDescent="0.3">
      <c r="A244">
        <v>12</v>
      </c>
      <c r="B244">
        <v>2022</v>
      </c>
      <c r="C244" t="s">
        <v>15</v>
      </c>
      <c r="D244" t="s">
        <v>6</v>
      </c>
      <c r="E244" t="s">
        <v>103</v>
      </c>
      <c r="F244" t="s">
        <v>34</v>
      </c>
      <c r="G244" t="s">
        <v>33</v>
      </c>
    </row>
    <row r="245" spans="1:7" x14ac:dyDescent="0.3">
      <c r="A245">
        <v>12</v>
      </c>
      <c r="B245">
        <v>2022</v>
      </c>
      <c r="C245" t="s">
        <v>15</v>
      </c>
      <c r="D245" t="s">
        <v>6</v>
      </c>
      <c r="E245" t="s">
        <v>103</v>
      </c>
      <c r="F245" t="s">
        <v>157</v>
      </c>
      <c r="G245" t="s">
        <v>33</v>
      </c>
    </row>
    <row r="246" spans="1:7" x14ac:dyDescent="0.3">
      <c r="A246">
        <v>12</v>
      </c>
      <c r="B246">
        <v>2022</v>
      </c>
      <c r="C246" t="s">
        <v>15</v>
      </c>
      <c r="D246" t="s">
        <v>9</v>
      </c>
      <c r="E246" t="s">
        <v>106</v>
      </c>
      <c r="F246" t="s">
        <v>35</v>
      </c>
      <c r="G246" t="s">
        <v>33</v>
      </c>
    </row>
    <row r="247" spans="1:7" x14ac:dyDescent="0.3">
      <c r="A247">
        <v>12</v>
      </c>
      <c r="B247">
        <v>2022</v>
      </c>
      <c r="C247" t="s">
        <v>15</v>
      </c>
      <c r="D247" t="s">
        <v>9</v>
      </c>
      <c r="E247" t="s">
        <v>106</v>
      </c>
      <c r="F247" t="s">
        <v>36</v>
      </c>
      <c r="G247" t="s">
        <v>33</v>
      </c>
    </row>
    <row r="248" spans="1:7" x14ac:dyDescent="0.3">
      <c r="A248">
        <v>12</v>
      </c>
      <c r="B248">
        <v>2022</v>
      </c>
      <c r="C248" t="s">
        <v>15</v>
      </c>
      <c r="D248" t="s">
        <v>9</v>
      </c>
      <c r="E248" t="s">
        <v>106</v>
      </c>
      <c r="F248" t="s">
        <v>34</v>
      </c>
      <c r="G248" t="s">
        <v>33</v>
      </c>
    </row>
    <row r="249" spans="1:7" x14ac:dyDescent="0.3">
      <c r="A249">
        <v>12</v>
      </c>
      <c r="B249">
        <v>2022</v>
      </c>
      <c r="C249" t="s">
        <v>15</v>
      </c>
      <c r="D249" t="s">
        <v>9</v>
      </c>
      <c r="E249" t="s">
        <v>106</v>
      </c>
      <c r="F249" t="s">
        <v>157</v>
      </c>
      <c r="G249" t="s">
        <v>33</v>
      </c>
    </row>
    <row r="250" spans="1:7" x14ac:dyDescent="0.3">
      <c r="A250">
        <v>12</v>
      </c>
      <c r="B250">
        <v>2022</v>
      </c>
      <c r="C250" t="s">
        <v>27</v>
      </c>
      <c r="D250" t="s">
        <v>6</v>
      </c>
      <c r="E250" t="s">
        <v>109</v>
      </c>
      <c r="F250" t="s">
        <v>35</v>
      </c>
      <c r="G250" t="s">
        <v>33</v>
      </c>
    </row>
    <row r="251" spans="1:7" x14ac:dyDescent="0.3">
      <c r="A251">
        <v>12</v>
      </c>
      <c r="B251">
        <v>2022</v>
      </c>
      <c r="C251" t="s">
        <v>27</v>
      </c>
      <c r="D251" t="s">
        <v>6</v>
      </c>
      <c r="E251" t="s">
        <v>109</v>
      </c>
      <c r="F251" t="s">
        <v>36</v>
      </c>
      <c r="G251" t="s">
        <v>33</v>
      </c>
    </row>
    <row r="252" spans="1:7" x14ac:dyDescent="0.3">
      <c r="A252">
        <v>12</v>
      </c>
      <c r="B252">
        <v>2022</v>
      </c>
      <c r="C252" t="s">
        <v>27</v>
      </c>
      <c r="D252" t="s">
        <v>6</v>
      </c>
      <c r="E252" t="s">
        <v>109</v>
      </c>
      <c r="F252" t="s">
        <v>34</v>
      </c>
      <c r="G252" t="s">
        <v>33</v>
      </c>
    </row>
    <row r="253" spans="1:7" x14ac:dyDescent="0.3">
      <c r="A253">
        <v>12</v>
      </c>
      <c r="B253">
        <v>2022</v>
      </c>
      <c r="C253" t="s">
        <v>27</v>
      </c>
      <c r="D253" t="s">
        <v>6</v>
      </c>
      <c r="E253" t="s">
        <v>109</v>
      </c>
      <c r="F253" t="s">
        <v>157</v>
      </c>
      <c r="G253" t="s">
        <v>33</v>
      </c>
    </row>
    <row r="254" spans="1:7" x14ac:dyDescent="0.3">
      <c r="A254">
        <v>12</v>
      </c>
      <c r="B254">
        <v>2022</v>
      </c>
      <c r="C254" t="s">
        <v>27</v>
      </c>
      <c r="D254" t="s">
        <v>9</v>
      </c>
      <c r="E254" t="s">
        <v>112</v>
      </c>
      <c r="F254" t="s">
        <v>35</v>
      </c>
      <c r="G254" t="s">
        <v>33</v>
      </c>
    </row>
    <row r="255" spans="1:7" x14ac:dyDescent="0.3">
      <c r="A255">
        <v>12</v>
      </c>
      <c r="B255">
        <v>2022</v>
      </c>
      <c r="C255" t="s">
        <v>27</v>
      </c>
      <c r="D255" t="s">
        <v>9</v>
      </c>
      <c r="E255" t="s">
        <v>112</v>
      </c>
      <c r="F255" t="s">
        <v>36</v>
      </c>
      <c r="G255" t="s">
        <v>33</v>
      </c>
    </row>
    <row r="256" spans="1:7" x14ac:dyDescent="0.3">
      <c r="A256">
        <v>12</v>
      </c>
      <c r="B256">
        <v>2022</v>
      </c>
      <c r="C256" t="s">
        <v>27</v>
      </c>
      <c r="D256" t="s">
        <v>9</v>
      </c>
      <c r="E256" t="s">
        <v>112</v>
      </c>
      <c r="F256" t="s">
        <v>34</v>
      </c>
      <c r="G256" t="s">
        <v>33</v>
      </c>
    </row>
    <row r="257" spans="1:7" x14ac:dyDescent="0.3">
      <c r="A257">
        <v>12</v>
      </c>
      <c r="B257">
        <v>2022</v>
      </c>
      <c r="C257" t="s">
        <v>27</v>
      </c>
      <c r="D257" t="s">
        <v>9</v>
      </c>
      <c r="E257" t="s">
        <v>112</v>
      </c>
      <c r="F257" t="s">
        <v>157</v>
      </c>
      <c r="G257" t="s">
        <v>33</v>
      </c>
    </row>
    <row r="258" spans="1:7" x14ac:dyDescent="0.3">
      <c r="A258">
        <v>12</v>
      </c>
      <c r="B258">
        <v>2022</v>
      </c>
      <c r="C258" t="s">
        <v>17</v>
      </c>
      <c r="D258" t="s">
        <v>6</v>
      </c>
      <c r="E258" t="s">
        <v>115</v>
      </c>
      <c r="F258" t="s">
        <v>35</v>
      </c>
      <c r="G258" t="s">
        <v>33</v>
      </c>
    </row>
    <row r="259" spans="1:7" x14ac:dyDescent="0.3">
      <c r="A259">
        <v>12</v>
      </c>
      <c r="B259">
        <v>2022</v>
      </c>
      <c r="C259" t="s">
        <v>17</v>
      </c>
      <c r="D259" t="s">
        <v>6</v>
      </c>
      <c r="E259" t="s">
        <v>115</v>
      </c>
      <c r="F259" t="s">
        <v>36</v>
      </c>
      <c r="G259" t="s">
        <v>33</v>
      </c>
    </row>
    <row r="260" spans="1:7" x14ac:dyDescent="0.3">
      <c r="A260">
        <v>12</v>
      </c>
      <c r="B260">
        <v>2022</v>
      </c>
      <c r="C260" t="s">
        <v>17</v>
      </c>
      <c r="D260" t="s">
        <v>6</v>
      </c>
      <c r="E260" t="s">
        <v>115</v>
      </c>
      <c r="F260" t="s">
        <v>34</v>
      </c>
      <c r="G260" t="s">
        <v>33</v>
      </c>
    </row>
    <row r="261" spans="1:7" x14ac:dyDescent="0.3">
      <c r="A261">
        <v>12</v>
      </c>
      <c r="B261">
        <v>2022</v>
      </c>
      <c r="C261" t="s">
        <v>17</v>
      </c>
      <c r="D261" t="s">
        <v>6</v>
      </c>
      <c r="E261" t="s">
        <v>115</v>
      </c>
      <c r="F261" t="s">
        <v>157</v>
      </c>
      <c r="G261" t="s">
        <v>33</v>
      </c>
    </row>
    <row r="262" spans="1:7" x14ac:dyDescent="0.3">
      <c r="A262">
        <v>12</v>
      </c>
      <c r="B262">
        <v>2022</v>
      </c>
      <c r="C262" t="s">
        <v>17</v>
      </c>
      <c r="D262" t="s">
        <v>9</v>
      </c>
      <c r="E262" t="s">
        <v>118</v>
      </c>
      <c r="F262" t="s">
        <v>35</v>
      </c>
      <c r="G262" t="s">
        <v>33</v>
      </c>
    </row>
    <row r="263" spans="1:7" x14ac:dyDescent="0.3">
      <c r="A263">
        <v>12</v>
      </c>
      <c r="B263">
        <v>2022</v>
      </c>
      <c r="C263" t="s">
        <v>17</v>
      </c>
      <c r="D263" t="s">
        <v>9</v>
      </c>
      <c r="E263" t="s">
        <v>118</v>
      </c>
      <c r="F263" t="s">
        <v>36</v>
      </c>
      <c r="G263" t="s">
        <v>33</v>
      </c>
    </row>
    <row r="264" spans="1:7" x14ac:dyDescent="0.3">
      <c r="A264">
        <v>12</v>
      </c>
      <c r="B264">
        <v>2022</v>
      </c>
      <c r="C264" t="s">
        <v>17</v>
      </c>
      <c r="D264" t="s">
        <v>9</v>
      </c>
      <c r="E264" t="s">
        <v>118</v>
      </c>
      <c r="F264" t="s">
        <v>34</v>
      </c>
      <c r="G264" t="s">
        <v>33</v>
      </c>
    </row>
    <row r="265" spans="1:7" x14ac:dyDescent="0.3">
      <c r="A265">
        <v>12</v>
      </c>
      <c r="B265">
        <v>2022</v>
      </c>
      <c r="C265" t="s">
        <v>17</v>
      </c>
      <c r="D265" t="s">
        <v>9</v>
      </c>
      <c r="E265" t="s">
        <v>118</v>
      </c>
      <c r="F265" t="s">
        <v>157</v>
      </c>
      <c r="G265" t="s">
        <v>33</v>
      </c>
    </row>
    <row r="266" spans="1:7" x14ac:dyDescent="0.3">
      <c r="A266">
        <v>12</v>
      </c>
      <c r="B266">
        <v>2022</v>
      </c>
      <c r="C266" t="s">
        <v>22</v>
      </c>
      <c r="D266" t="s">
        <v>6</v>
      </c>
      <c r="E266" t="s">
        <v>121</v>
      </c>
      <c r="F266" t="s">
        <v>35</v>
      </c>
      <c r="G266" t="s">
        <v>33</v>
      </c>
    </row>
    <row r="267" spans="1:7" x14ac:dyDescent="0.3">
      <c r="A267">
        <v>12</v>
      </c>
      <c r="B267">
        <v>2022</v>
      </c>
      <c r="C267" t="s">
        <v>22</v>
      </c>
      <c r="D267" t="s">
        <v>6</v>
      </c>
      <c r="E267" t="s">
        <v>121</v>
      </c>
      <c r="F267" t="s">
        <v>36</v>
      </c>
      <c r="G267" t="s">
        <v>33</v>
      </c>
    </row>
    <row r="268" spans="1:7" x14ac:dyDescent="0.3">
      <c r="A268">
        <v>12</v>
      </c>
      <c r="B268">
        <v>2022</v>
      </c>
      <c r="C268" t="s">
        <v>22</v>
      </c>
      <c r="D268" t="s">
        <v>6</v>
      </c>
      <c r="E268" t="s">
        <v>121</v>
      </c>
      <c r="F268" t="s">
        <v>34</v>
      </c>
      <c r="G268" t="s">
        <v>33</v>
      </c>
    </row>
    <row r="269" spans="1:7" x14ac:dyDescent="0.3">
      <c r="A269">
        <v>12</v>
      </c>
      <c r="B269">
        <v>2022</v>
      </c>
      <c r="C269" t="s">
        <v>22</v>
      </c>
      <c r="D269" t="s">
        <v>6</v>
      </c>
      <c r="E269" t="s">
        <v>121</v>
      </c>
      <c r="F269" t="s">
        <v>157</v>
      </c>
      <c r="G269" t="s">
        <v>33</v>
      </c>
    </row>
    <row r="270" spans="1:7" x14ac:dyDescent="0.3">
      <c r="A270">
        <v>12</v>
      </c>
      <c r="B270">
        <v>2022</v>
      </c>
      <c r="C270" t="s">
        <v>22</v>
      </c>
      <c r="D270" t="s">
        <v>9</v>
      </c>
      <c r="E270" t="s">
        <v>124</v>
      </c>
      <c r="F270" t="s">
        <v>35</v>
      </c>
      <c r="G270" t="s">
        <v>33</v>
      </c>
    </row>
    <row r="271" spans="1:7" x14ac:dyDescent="0.3">
      <c r="A271">
        <v>12</v>
      </c>
      <c r="B271">
        <v>2022</v>
      </c>
      <c r="C271" t="s">
        <v>22</v>
      </c>
      <c r="D271" t="s">
        <v>9</v>
      </c>
      <c r="E271" t="s">
        <v>124</v>
      </c>
      <c r="F271" t="s">
        <v>36</v>
      </c>
      <c r="G271" t="s">
        <v>33</v>
      </c>
    </row>
    <row r="272" spans="1:7" x14ac:dyDescent="0.3">
      <c r="A272">
        <v>12</v>
      </c>
      <c r="B272">
        <v>2022</v>
      </c>
      <c r="C272" t="s">
        <v>22</v>
      </c>
      <c r="D272" t="s">
        <v>9</v>
      </c>
      <c r="E272" t="s">
        <v>124</v>
      </c>
      <c r="F272" t="s">
        <v>34</v>
      </c>
      <c r="G272" t="s">
        <v>33</v>
      </c>
    </row>
    <row r="273" spans="1:7" x14ac:dyDescent="0.3">
      <c r="A273">
        <v>12</v>
      </c>
      <c r="B273">
        <v>2022</v>
      </c>
      <c r="C273" t="s">
        <v>22</v>
      </c>
      <c r="D273" t="s">
        <v>9</v>
      </c>
      <c r="E273" t="s">
        <v>124</v>
      </c>
      <c r="F273" t="s">
        <v>157</v>
      </c>
      <c r="G273" t="s">
        <v>33</v>
      </c>
    </row>
    <row r="274" spans="1:7" x14ac:dyDescent="0.3">
      <c r="A274">
        <v>12</v>
      </c>
      <c r="B274">
        <v>2022</v>
      </c>
      <c r="C274" t="s">
        <v>18</v>
      </c>
      <c r="D274" t="s">
        <v>4</v>
      </c>
      <c r="E274" t="s">
        <v>125</v>
      </c>
      <c r="F274" t="s">
        <v>35</v>
      </c>
      <c r="G274" t="s">
        <v>33</v>
      </c>
    </row>
    <row r="275" spans="1:7" x14ac:dyDescent="0.3">
      <c r="A275">
        <v>12</v>
      </c>
      <c r="B275">
        <v>2022</v>
      </c>
      <c r="C275" t="s">
        <v>18</v>
      </c>
      <c r="D275" t="s">
        <v>4</v>
      </c>
      <c r="E275" t="s">
        <v>125</v>
      </c>
      <c r="F275" t="s">
        <v>36</v>
      </c>
      <c r="G275" t="s">
        <v>33</v>
      </c>
    </row>
    <row r="276" spans="1:7" x14ac:dyDescent="0.3">
      <c r="A276">
        <v>12</v>
      </c>
      <c r="B276">
        <v>2022</v>
      </c>
      <c r="C276" t="s">
        <v>18</v>
      </c>
      <c r="D276" t="s">
        <v>4</v>
      </c>
      <c r="E276" t="s">
        <v>125</v>
      </c>
      <c r="F276" t="s">
        <v>34</v>
      </c>
      <c r="G276" t="s">
        <v>33</v>
      </c>
    </row>
    <row r="277" spans="1:7" x14ac:dyDescent="0.3">
      <c r="A277">
        <v>12</v>
      </c>
      <c r="B277">
        <v>2022</v>
      </c>
      <c r="C277" t="s">
        <v>18</v>
      </c>
      <c r="D277" t="s">
        <v>4</v>
      </c>
      <c r="E277" t="s">
        <v>125</v>
      </c>
      <c r="F277" t="s">
        <v>157</v>
      </c>
      <c r="G277" t="s">
        <v>33</v>
      </c>
    </row>
    <row r="278" spans="1:7" x14ac:dyDescent="0.3">
      <c r="A278">
        <v>12</v>
      </c>
      <c r="B278">
        <v>2022</v>
      </c>
      <c r="C278" t="s">
        <v>18</v>
      </c>
      <c r="D278" t="s">
        <v>9</v>
      </c>
      <c r="E278" t="s">
        <v>130</v>
      </c>
      <c r="F278" t="s">
        <v>35</v>
      </c>
      <c r="G278" t="s">
        <v>33</v>
      </c>
    </row>
    <row r="279" spans="1:7" x14ac:dyDescent="0.3">
      <c r="A279">
        <v>12</v>
      </c>
      <c r="B279">
        <v>2022</v>
      </c>
      <c r="C279" t="s">
        <v>18</v>
      </c>
      <c r="D279" t="s">
        <v>9</v>
      </c>
      <c r="E279" t="s">
        <v>130</v>
      </c>
      <c r="F279" t="s">
        <v>36</v>
      </c>
      <c r="G279" t="s">
        <v>33</v>
      </c>
    </row>
    <row r="280" spans="1:7" x14ac:dyDescent="0.3">
      <c r="A280">
        <v>12</v>
      </c>
      <c r="B280">
        <v>2022</v>
      </c>
      <c r="C280" t="s">
        <v>18</v>
      </c>
      <c r="D280" t="s">
        <v>9</v>
      </c>
      <c r="E280" t="s">
        <v>130</v>
      </c>
      <c r="F280" t="s">
        <v>34</v>
      </c>
      <c r="G280" t="s">
        <v>33</v>
      </c>
    </row>
    <row r="281" spans="1:7" x14ac:dyDescent="0.3">
      <c r="A281">
        <v>12</v>
      </c>
      <c r="B281">
        <v>2022</v>
      </c>
      <c r="C281" t="s">
        <v>18</v>
      </c>
      <c r="D281" t="s">
        <v>9</v>
      </c>
      <c r="E281" t="s">
        <v>130</v>
      </c>
      <c r="F281" t="s">
        <v>157</v>
      </c>
      <c r="G281" t="s">
        <v>33</v>
      </c>
    </row>
    <row r="282" spans="1:7" x14ac:dyDescent="0.3">
      <c r="A282">
        <v>12</v>
      </c>
      <c r="B282">
        <v>2022</v>
      </c>
      <c r="C282" t="s">
        <v>23</v>
      </c>
      <c r="D282" t="s">
        <v>9</v>
      </c>
      <c r="E282" t="s">
        <v>136</v>
      </c>
      <c r="F282" t="s">
        <v>35</v>
      </c>
      <c r="G282" t="s">
        <v>33</v>
      </c>
    </row>
    <row r="283" spans="1:7" x14ac:dyDescent="0.3">
      <c r="A283">
        <v>12</v>
      </c>
      <c r="B283">
        <v>2022</v>
      </c>
      <c r="C283" t="s">
        <v>23</v>
      </c>
      <c r="D283" t="s">
        <v>9</v>
      </c>
      <c r="E283" t="s">
        <v>136</v>
      </c>
      <c r="F283" t="s">
        <v>36</v>
      </c>
      <c r="G283" t="s">
        <v>33</v>
      </c>
    </row>
    <row r="284" spans="1:7" x14ac:dyDescent="0.3">
      <c r="A284">
        <v>12</v>
      </c>
      <c r="B284">
        <v>2022</v>
      </c>
      <c r="C284" t="s">
        <v>23</v>
      </c>
      <c r="D284" t="s">
        <v>9</v>
      </c>
      <c r="E284" t="s">
        <v>136</v>
      </c>
      <c r="F284" t="s">
        <v>34</v>
      </c>
      <c r="G284" t="s">
        <v>33</v>
      </c>
    </row>
    <row r="285" spans="1:7" x14ac:dyDescent="0.3">
      <c r="A285">
        <v>12</v>
      </c>
      <c r="B285">
        <v>2022</v>
      </c>
      <c r="C285" t="s">
        <v>23</v>
      </c>
      <c r="D285" t="s">
        <v>9</v>
      </c>
      <c r="E285" t="s">
        <v>136</v>
      </c>
      <c r="F285" t="s">
        <v>157</v>
      </c>
      <c r="G285" t="s">
        <v>33</v>
      </c>
    </row>
    <row r="286" spans="1:7" x14ac:dyDescent="0.3">
      <c r="A286">
        <v>12</v>
      </c>
      <c r="B286">
        <v>2022</v>
      </c>
      <c r="C286" t="s">
        <v>24</v>
      </c>
      <c r="D286" t="s">
        <v>9</v>
      </c>
      <c r="E286" t="s">
        <v>142</v>
      </c>
      <c r="F286" t="s">
        <v>35</v>
      </c>
      <c r="G286" t="s">
        <v>33</v>
      </c>
    </row>
    <row r="287" spans="1:7" x14ac:dyDescent="0.3">
      <c r="A287">
        <v>12</v>
      </c>
      <c r="B287">
        <v>2022</v>
      </c>
      <c r="C287" t="s">
        <v>24</v>
      </c>
      <c r="D287" t="s">
        <v>9</v>
      </c>
      <c r="E287" t="s">
        <v>142</v>
      </c>
      <c r="F287" t="s">
        <v>36</v>
      </c>
      <c r="G287" t="s">
        <v>33</v>
      </c>
    </row>
    <row r="288" spans="1:7" x14ac:dyDescent="0.3">
      <c r="A288">
        <v>12</v>
      </c>
      <c r="B288">
        <v>2022</v>
      </c>
      <c r="C288" t="s">
        <v>24</v>
      </c>
      <c r="D288" t="s">
        <v>9</v>
      </c>
      <c r="E288" t="s">
        <v>142</v>
      </c>
      <c r="F288" t="s">
        <v>34</v>
      </c>
      <c r="G288" t="s">
        <v>33</v>
      </c>
    </row>
    <row r="289" spans="1:7" x14ac:dyDescent="0.3">
      <c r="A289">
        <v>12</v>
      </c>
      <c r="B289">
        <v>2022</v>
      </c>
      <c r="C289" t="s">
        <v>24</v>
      </c>
      <c r="D289" t="s">
        <v>9</v>
      </c>
      <c r="E289" t="s">
        <v>142</v>
      </c>
      <c r="F289" t="s">
        <v>157</v>
      </c>
      <c r="G289" t="s">
        <v>33</v>
      </c>
    </row>
    <row r="290" spans="1:7" x14ac:dyDescent="0.3">
      <c r="A290">
        <v>12</v>
      </c>
      <c r="B290">
        <v>2022</v>
      </c>
      <c r="C290" t="s">
        <v>16</v>
      </c>
      <c r="D290" t="s">
        <v>9</v>
      </c>
      <c r="E290" t="s">
        <v>148</v>
      </c>
      <c r="F290" t="s">
        <v>35</v>
      </c>
      <c r="G290" t="s">
        <v>33</v>
      </c>
    </row>
    <row r="291" spans="1:7" x14ac:dyDescent="0.3">
      <c r="A291">
        <v>12</v>
      </c>
      <c r="B291">
        <v>2022</v>
      </c>
      <c r="C291" t="s">
        <v>16</v>
      </c>
      <c r="D291" t="s">
        <v>9</v>
      </c>
      <c r="E291" t="s">
        <v>148</v>
      </c>
      <c r="F291" t="s">
        <v>36</v>
      </c>
      <c r="G291" t="s">
        <v>33</v>
      </c>
    </row>
    <row r="292" spans="1:7" x14ac:dyDescent="0.3">
      <c r="A292">
        <v>12</v>
      </c>
      <c r="B292">
        <v>2022</v>
      </c>
      <c r="C292" t="s">
        <v>16</v>
      </c>
      <c r="D292" t="s">
        <v>9</v>
      </c>
      <c r="E292" t="s">
        <v>148</v>
      </c>
      <c r="F292" t="s">
        <v>34</v>
      </c>
      <c r="G292" t="s">
        <v>33</v>
      </c>
    </row>
    <row r="293" spans="1:7" x14ac:dyDescent="0.3">
      <c r="A293">
        <v>12</v>
      </c>
      <c r="B293">
        <v>2022</v>
      </c>
      <c r="C293" t="s">
        <v>16</v>
      </c>
      <c r="D293" t="s">
        <v>9</v>
      </c>
      <c r="E293" t="s">
        <v>148</v>
      </c>
      <c r="F293" t="s">
        <v>157</v>
      </c>
      <c r="G293" t="s">
        <v>33</v>
      </c>
    </row>
    <row r="294" spans="1:7" x14ac:dyDescent="0.3">
      <c r="A294">
        <v>12</v>
      </c>
      <c r="B294">
        <v>2022</v>
      </c>
      <c r="C294" t="s">
        <v>25</v>
      </c>
      <c r="D294" t="s">
        <v>9</v>
      </c>
      <c r="E294" t="s">
        <v>154</v>
      </c>
      <c r="F294" t="s">
        <v>35</v>
      </c>
      <c r="G294" t="s">
        <v>33</v>
      </c>
    </row>
    <row r="295" spans="1:7" x14ac:dyDescent="0.3">
      <c r="A295">
        <v>12</v>
      </c>
      <c r="B295">
        <v>2022</v>
      </c>
      <c r="C295" t="s">
        <v>25</v>
      </c>
      <c r="D295" t="s">
        <v>9</v>
      </c>
      <c r="E295" t="s">
        <v>154</v>
      </c>
      <c r="F295" t="s">
        <v>36</v>
      </c>
      <c r="G295" t="s">
        <v>33</v>
      </c>
    </row>
    <row r="296" spans="1:7" x14ac:dyDescent="0.3">
      <c r="A296">
        <v>12</v>
      </c>
      <c r="B296">
        <v>2022</v>
      </c>
      <c r="C296" t="s">
        <v>25</v>
      </c>
      <c r="D296" t="s">
        <v>9</v>
      </c>
      <c r="E296" t="s">
        <v>154</v>
      </c>
      <c r="F296" t="s">
        <v>34</v>
      </c>
      <c r="G296" t="s">
        <v>33</v>
      </c>
    </row>
    <row r="297" spans="1:7" x14ac:dyDescent="0.3">
      <c r="A297">
        <v>12</v>
      </c>
      <c r="B297">
        <v>2022</v>
      </c>
      <c r="C297" t="s">
        <v>25</v>
      </c>
      <c r="D297" t="s">
        <v>9</v>
      </c>
      <c r="E297" t="s">
        <v>154</v>
      </c>
      <c r="F297" t="s">
        <v>157</v>
      </c>
      <c r="G297" t="s">
        <v>33</v>
      </c>
    </row>
    <row r="298" spans="1:7" x14ac:dyDescent="0.3">
      <c r="A298">
        <v>12</v>
      </c>
      <c r="B298">
        <v>2022</v>
      </c>
      <c r="C298" t="s">
        <v>10</v>
      </c>
      <c r="D298" t="s">
        <v>4</v>
      </c>
      <c r="E298" t="s">
        <v>59</v>
      </c>
      <c r="F298" t="s">
        <v>35</v>
      </c>
      <c r="G298" t="s">
        <v>158</v>
      </c>
    </row>
    <row r="299" spans="1:7" x14ac:dyDescent="0.3">
      <c r="A299">
        <v>12</v>
      </c>
      <c r="B299">
        <v>2022</v>
      </c>
      <c r="C299" t="s">
        <v>10</v>
      </c>
      <c r="D299" t="s">
        <v>4</v>
      </c>
      <c r="E299" t="s">
        <v>59</v>
      </c>
      <c r="F299" t="s">
        <v>36</v>
      </c>
      <c r="G299" t="s">
        <v>158</v>
      </c>
    </row>
    <row r="300" spans="1:7" x14ac:dyDescent="0.3">
      <c r="A300">
        <v>12</v>
      </c>
      <c r="B300">
        <v>2022</v>
      </c>
      <c r="C300" t="s">
        <v>10</v>
      </c>
      <c r="D300" t="s">
        <v>4</v>
      </c>
      <c r="E300" t="s">
        <v>59</v>
      </c>
      <c r="F300" t="s">
        <v>34</v>
      </c>
      <c r="G300" t="s">
        <v>158</v>
      </c>
    </row>
    <row r="301" spans="1:7" x14ac:dyDescent="0.3">
      <c r="A301">
        <v>12</v>
      </c>
      <c r="B301">
        <v>2022</v>
      </c>
      <c r="C301" t="s">
        <v>10</v>
      </c>
      <c r="D301" t="s">
        <v>6</v>
      </c>
      <c r="E301" t="s">
        <v>61</v>
      </c>
      <c r="F301" t="s">
        <v>35</v>
      </c>
      <c r="G301" t="s">
        <v>158</v>
      </c>
    </row>
    <row r="302" spans="1:7" x14ac:dyDescent="0.3">
      <c r="A302">
        <v>12</v>
      </c>
      <c r="B302">
        <v>2022</v>
      </c>
      <c r="C302" t="s">
        <v>10</v>
      </c>
      <c r="D302" t="s">
        <v>6</v>
      </c>
      <c r="E302" t="s">
        <v>61</v>
      </c>
      <c r="F302" t="s">
        <v>36</v>
      </c>
      <c r="G302" t="s">
        <v>158</v>
      </c>
    </row>
    <row r="303" spans="1:7" x14ac:dyDescent="0.3">
      <c r="A303">
        <v>12</v>
      </c>
      <c r="B303">
        <v>2022</v>
      </c>
      <c r="C303" t="s">
        <v>10</v>
      </c>
      <c r="D303" t="s">
        <v>6</v>
      </c>
      <c r="E303" t="s">
        <v>61</v>
      </c>
      <c r="F303" t="s">
        <v>34</v>
      </c>
      <c r="G303" t="s">
        <v>158</v>
      </c>
    </row>
    <row r="304" spans="1:7" x14ac:dyDescent="0.3">
      <c r="A304">
        <v>12</v>
      </c>
      <c r="B304">
        <v>2022</v>
      </c>
      <c r="C304" t="s">
        <v>19</v>
      </c>
      <c r="D304" t="s">
        <v>6</v>
      </c>
      <c r="E304" t="s">
        <v>67</v>
      </c>
      <c r="F304" t="s">
        <v>35</v>
      </c>
      <c r="G304" t="s">
        <v>158</v>
      </c>
    </row>
    <row r="305" spans="1:7" x14ac:dyDescent="0.3">
      <c r="A305">
        <v>12</v>
      </c>
      <c r="B305">
        <v>2022</v>
      </c>
      <c r="C305" t="s">
        <v>19</v>
      </c>
      <c r="D305" t="s">
        <v>6</v>
      </c>
      <c r="E305" t="s">
        <v>67</v>
      </c>
      <c r="F305" t="s">
        <v>36</v>
      </c>
      <c r="G305" t="s">
        <v>158</v>
      </c>
    </row>
    <row r="306" spans="1:7" x14ac:dyDescent="0.3">
      <c r="A306">
        <v>12</v>
      </c>
      <c r="B306">
        <v>2022</v>
      </c>
      <c r="C306" t="s">
        <v>19</v>
      </c>
      <c r="D306" t="s">
        <v>6</v>
      </c>
      <c r="E306" t="s">
        <v>67</v>
      </c>
      <c r="F306" t="s">
        <v>34</v>
      </c>
      <c r="G306" t="s">
        <v>158</v>
      </c>
    </row>
    <row r="307" spans="1:7" x14ac:dyDescent="0.3">
      <c r="A307">
        <v>12</v>
      </c>
      <c r="B307">
        <v>2022</v>
      </c>
      <c r="C307" t="s">
        <v>20</v>
      </c>
      <c r="D307" t="s">
        <v>4</v>
      </c>
      <c r="E307" t="s">
        <v>71</v>
      </c>
      <c r="F307" t="s">
        <v>35</v>
      </c>
      <c r="G307" t="s">
        <v>158</v>
      </c>
    </row>
    <row r="308" spans="1:7" x14ac:dyDescent="0.3">
      <c r="A308">
        <v>12</v>
      </c>
      <c r="B308">
        <v>2022</v>
      </c>
      <c r="C308" t="s">
        <v>20</v>
      </c>
      <c r="D308" t="s">
        <v>4</v>
      </c>
      <c r="E308" t="s">
        <v>71</v>
      </c>
      <c r="F308" t="s">
        <v>36</v>
      </c>
      <c r="G308" t="s">
        <v>158</v>
      </c>
    </row>
    <row r="309" spans="1:7" x14ac:dyDescent="0.3">
      <c r="A309">
        <v>12</v>
      </c>
      <c r="B309">
        <v>2022</v>
      </c>
      <c r="C309" t="s">
        <v>20</v>
      </c>
      <c r="D309" t="s">
        <v>4</v>
      </c>
      <c r="E309" t="s">
        <v>71</v>
      </c>
      <c r="F309" t="s">
        <v>34</v>
      </c>
      <c r="G309" t="s">
        <v>158</v>
      </c>
    </row>
    <row r="310" spans="1:7" x14ac:dyDescent="0.3">
      <c r="A310">
        <v>12</v>
      </c>
      <c r="B310">
        <v>2022</v>
      </c>
      <c r="C310" t="s">
        <v>20</v>
      </c>
      <c r="D310" t="s">
        <v>6</v>
      </c>
      <c r="E310" t="s">
        <v>73</v>
      </c>
      <c r="F310" t="s">
        <v>35</v>
      </c>
      <c r="G310" t="s">
        <v>158</v>
      </c>
    </row>
    <row r="311" spans="1:7" x14ac:dyDescent="0.3">
      <c r="A311">
        <v>12</v>
      </c>
      <c r="B311">
        <v>2022</v>
      </c>
      <c r="C311" t="s">
        <v>20</v>
      </c>
      <c r="D311" t="s">
        <v>6</v>
      </c>
      <c r="E311" t="s">
        <v>73</v>
      </c>
      <c r="F311" t="s">
        <v>36</v>
      </c>
      <c r="G311" t="s">
        <v>158</v>
      </c>
    </row>
    <row r="312" spans="1:7" x14ac:dyDescent="0.3">
      <c r="A312">
        <v>12</v>
      </c>
      <c r="B312">
        <v>2022</v>
      </c>
      <c r="C312" t="s">
        <v>20</v>
      </c>
      <c r="D312" t="s">
        <v>6</v>
      </c>
      <c r="E312" t="s">
        <v>73</v>
      </c>
      <c r="F312" t="s">
        <v>34</v>
      </c>
      <c r="G312" t="s">
        <v>158</v>
      </c>
    </row>
    <row r="313" spans="1:7" x14ac:dyDescent="0.3">
      <c r="A313">
        <v>12</v>
      </c>
      <c r="B313">
        <v>2022</v>
      </c>
      <c r="C313" t="s">
        <v>13</v>
      </c>
      <c r="D313" t="s">
        <v>6</v>
      </c>
      <c r="E313" t="s">
        <v>79</v>
      </c>
      <c r="F313" t="s">
        <v>35</v>
      </c>
      <c r="G313" t="s">
        <v>158</v>
      </c>
    </row>
    <row r="314" spans="1:7" x14ac:dyDescent="0.3">
      <c r="A314">
        <v>12</v>
      </c>
      <c r="B314">
        <v>2022</v>
      </c>
      <c r="C314" t="s">
        <v>13</v>
      </c>
      <c r="D314" t="s">
        <v>6</v>
      </c>
      <c r="E314" t="s">
        <v>79</v>
      </c>
      <c r="F314" t="s">
        <v>36</v>
      </c>
      <c r="G314" t="s">
        <v>158</v>
      </c>
    </row>
    <row r="315" spans="1:7" x14ac:dyDescent="0.3">
      <c r="A315">
        <v>12</v>
      </c>
      <c r="B315">
        <v>2022</v>
      </c>
      <c r="C315" t="s">
        <v>13</v>
      </c>
      <c r="D315" t="s">
        <v>6</v>
      </c>
      <c r="E315" t="s">
        <v>79</v>
      </c>
      <c r="F315" t="s">
        <v>34</v>
      </c>
      <c r="G315" t="s">
        <v>158</v>
      </c>
    </row>
    <row r="316" spans="1:7" x14ac:dyDescent="0.3">
      <c r="A316">
        <v>12</v>
      </c>
      <c r="B316">
        <v>2022</v>
      </c>
      <c r="C316" t="s">
        <v>14</v>
      </c>
      <c r="D316" t="s">
        <v>4</v>
      </c>
      <c r="E316" t="s">
        <v>83</v>
      </c>
      <c r="F316" t="s">
        <v>35</v>
      </c>
      <c r="G316" t="s">
        <v>158</v>
      </c>
    </row>
    <row r="317" spans="1:7" x14ac:dyDescent="0.3">
      <c r="A317">
        <v>12</v>
      </c>
      <c r="B317">
        <v>2022</v>
      </c>
      <c r="C317" t="s">
        <v>14</v>
      </c>
      <c r="D317" t="s">
        <v>4</v>
      </c>
      <c r="E317" t="s">
        <v>83</v>
      </c>
      <c r="F317" t="s">
        <v>36</v>
      </c>
      <c r="G317" t="s">
        <v>158</v>
      </c>
    </row>
    <row r="318" spans="1:7" x14ac:dyDescent="0.3">
      <c r="A318">
        <v>12</v>
      </c>
      <c r="B318">
        <v>2022</v>
      </c>
      <c r="C318" t="s">
        <v>14</v>
      </c>
      <c r="D318" t="s">
        <v>4</v>
      </c>
      <c r="E318" t="s">
        <v>83</v>
      </c>
      <c r="F318" t="s">
        <v>34</v>
      </c>
      <c r="G318" t="s">
        <v>158</v>
      </c>
    </row>
    <row r="319" spans="1:7" x14ac:dyDescent="0.3">
      <c r="A319">
        <v>12</v>
      </c>
      <c r="B319">
        <v>2022</v>
      </c>
      <c r="C319" t="s">
        <v>21</v>
      </c>
      <c r="D319" t="s">
        <v>4</v>
      </c>
      <c r="E319" t="s">
        <v>89</v>
      </c>
      <c r="F319" t="s">
        <v>35</v>
      </c>
      <c r="G319" t="s">
        <v>158</v>
      </c>
    </row>
    <row r="320" spans="1:7" x14ac:dyDescent="0.3">
      <c r="A320">
        <v>12</v>
      </c>
      <c r="B320">
        <v>2022</v>
      </c>
      <c r="C320" t="s">
        <v>21</v>
      </c>
      <c r="D320" t="s">
        <v>4</v>
      </c>
      <c r="E320" t="s">
        <v>89</v>
      </c>
      <c r="F320" t="s">
        <v>36</v>
      </c>
      <c r="G320" t="s">
        <v>158</v>
      </c>
    </row>
    <row r="321" spans="1:7" x14ac:dyDescent="0.3">
      <c r="A321">
        <v>12</v>
      </c>
      <c r="B321">
        <v>2022</v>
      </c>
      <c r="C321" t="s">
        <v>21</v>
      </c>
      <c r="D321" t="s">
        <v>4</v>
      </c>
      <c r="E321" t="s">
        <v>89</v>
      </c>
      <c r="F321" t="s">
        <v>34</v>
      </c>
      <c r="G321" t="s">
        <v>158</v>
      </c>
    </row>
    <row r="322" spans="1:7" x14ac:dyDescent="0.3">
      <c r="A322">
        <v>12</v>
      </c>
      <c r="B322">
        <v>2022</v>
      </c>
      <c r="C322" t="s">
        <v>21</v>
      </c>
      <c r="D322" t="s">
        <v>6</v>
      </c>
      <c r="E322" t="s">
        <v>91</v>
      </c>
      <c r="F322" t="s">
        <v>35</v>
      </c>
      <c r="G322" t="s">
        <v>158</v>
      </c>
    </row>
    <row r="323" spans="1:7" x14ac:dyDescent="0.3">
      <c r="A323">
        <v>12</v>
      </c>
      <c r="B323">
        <v>2022</v>
      </c>
      <c r="C323" t="s">
        <v>21</v>
      </c>
      <c r="D323" t="s">
        <v>6</v>
      </c>
      <c r="E323" t="s">
        <v>91</v>
      </c>
      <c r="F323" t="s">
        <v>36</v>
      </c>
      <c r="G323" t="s">
        <v>158</v>
      </c>
    </row>
    <row r="324" spans="1:7" x14ac:dyDescent="0.3">
      <c r="A324">
        <v>12</v>
      </c>
      <c r="B324">
        <v>2022</v>
      </c>
      <c r="C324" t="s">
        <v>21</v>
      </c>
      <c r="D324" t="s">
        <v>6</v>
      </c>
      <c r="E324" t="s">
        <v>91</v>
      </c>
      <c r="F324" t="s">
        <v>34</v>
      </c>
      <c r="G324" t="s">
        <v>158</v>
      </c>
    </row>
    <row r="325" spans="1:7" x14ac:dyDescent="0.3">
      <c r="A325">
        <v>12</v>
      </c>
      <c r="B325">
        <v>2022</v>
      </c>
      <c r="C325" t="s">
        <v>15</v>
      </c>
      <c r="D325" t="s">
        <v>4</v>
      </c>
      <c r="E325" t="s">
        <v>101</v>
      </c>
      <c r="F325" t="s">
        <v>35</v>
      </c>
      <c r="G325" t="s">
        <v>158</v>
      </c>
    </row>
    <row r="326" spans="1:7" x14ac:dyDescent="0.3">
      <c r="A326">
        <v>12</v>
      </c>
      <c r="B326">
        <v>2022</v>
      </c>
      <c r="C326" t="s">
        <v>15</v>
      </c>
      <c r="D326" t="s">
        <v>4</v>
      </c>
      <c r="E326" t="s">
        <v>101</v>
      </c>
      <c r="F326" t="s">
        <v>36</v>
      </c>
      <c r="G326" t="s">
        <v>158</v>
      </c>
    </row>
    <row r="327" spans="1:7" x14ac:dyDescent="0.3">
      <c r="A327">
        <v>12</v>
      </c>
      <c r="B327">
        <v>2022</v>
      </c>
      <c r="C327" t="s">
        <v>15</v>
      </c>
      <c r="D327" t="s">
        <v>4</v>
      </c>
      <c r="E327" t="s">
        <v>101</v>
      </c>
      <c r="F327" t="s">
        <v>34</v>
      </c>
      <c r="G327" t="s">
        <v>158</v>
      </c>
    </row>
    <row r="328" spans="1:7" x14ac:dyDescent="0.3">
      <c r="A328">
        <v>12</v>
      </c>
      <c r="B328">
        <v>2022</v>
      </c>
      <c r="C328" t="s">
        <v>27</v>
      </c>
      <c r="D328" t="s">
        <v>4</v>
      </c>
      <c r="E328" t="s">
        <v>107</v>
      </c>
      <c r="F328" t="s">
        <v>35</v>
      </c>
      <c r="G328" t="s">
        <v>158</v>
      </c>
    </row>
    <row r="329" spans="1:7" x14ac:dyDescent="0.3">
      <c r="A329">
        <v>12</v>
      </c>
      <c r="B329">
        <v>2022</v>
      </c>
      <c r="C329" t="s">
        <v>27</v>
      </c>
      <c r="D329" t="s">
        <v>4</v>
      </c>
      <c r="E329" t="s">
        <v>107</v>
      </c>
      <c r="F329" t="s">
        <v>36</v>
      </c>
      <c r="G329" t="s">
        <v>158</v>
      </c>
    </row>
    <row r="330" spans="1:7" x14ac:dyDescent="0.3">
      <c r="A330">
        <v>12</v>
      </c>
      <c r="B330">
        <v>2022</v>
      </c>
      <c r="C330" t="s">
        <v>27</v>
      </c>
      <c r="D330" t="s">
        <v>4</v>
      </c>
      <c r="E330" t="s">
        <v>107</v>
      </c>
      <c r="F330" t="s">
        <v>34</v>
      </c>
      <c r="G330" t="s">
        <v>158</v>
      </c>
    </row>
    <row r="331" spans="1:7" x14ac:dyDescent="0.3">
      <c r="A331">
        <v>12</v>
      </c>
      <c r="B331">
        <v>2022</v>
      </c>
      <c r="C331" t="s">
        <v>17</v>
      </c>
      <c r="D331" t="s">
        <v>4</v>
      </c>
      <c r="E331" t="s">
        <v>113</v>
      </c>
      <c r="F331" t="s">
        <v>35</v>
      </c>
      <c r="G331" t="s">
        <v>158</v>
      </c>
    </row>
    <row r="332" spans="1:7" x14ac:dyDescent="0.3">
      <c r="A332">
        <v>12</v>
      </c>
      <c r="B332">
        <v>2022</v>
      </c>
      <c r="C332" t="s">
        <v>17</v>
      </c>
      <c r="D332" t="s">
        <v>4</v>
      </c>
      <c r="E332" t="s">
        <v>113</v>
      </c>
      <c r="F332" t="s">
        <v>36</v>
      </c>
      <c r="G332" t="s">
        <v>158</v>
      </c>
    </row>
    <row r="333" spans="1:7" x14ac:dyDescent="0.3">
      <c r="A333">
        <v>12</v>
      </c>
      <c r="B333">
        <v>2022</v>
      </c>
      <c r="C333" t="s">
        <v>17</v>
      </c>
      <c r="D333" t="s">
        <v>4</v>
      </c>
      <c r="E333" t="s">
        <v>113</v>
      </c>
      <c r="F333" t="s">
        <v>34</v>
      </c>
      <c r="G333" t="s">
        <v>158</v>
      </c>
    </row>
    <row r="334" spans="1:7" x14ac:dyDescent="0.3">
      <c r="A334">
        <v>12</v>
      </c>
      <c r="B334">
        <v>2022</v>
      </c>
      <c r="C334" t="s">
        <v>22</v>
      </c>
      <c r="D334" t="s">
        <v>4</v>
      </c>
      <c r="E334" t="s">
        <v>119</v>
      </c>
      <c r="F334" t="s">
        <v>35</v>
      </c>
      <c r="G334" t="s">
        <v>158</v>
      </c>
    </row>
    <row r="335" spans="1:7" x14ac:dyDescent="0.3">
      <c r="A335">
        <v>12</v>
      </c>
      <c r="B335">
        <v>2022</v>
      </c>
      <c r="C335" t="s">
        <v>22</v>
      </c>
      <c r="D335" t="s">
        <v>4</v>
      </c>
      <c r="E335" t="s">
        <v>119</v>
      </c>
      <c r="F335" t="s">
        <v>36</v>
      </c>
      <c r="G335" t="s">
        <v>158</v>
      </c>
    </row>
    <row r="336" spans="1:7" x14ac:dyDescent="0.3">
      <c r="A336">
        <v>12</v>
      </c>
      <c r="B336">
        <v>2022</v>
      </c>
      <c r="C336" t="s">
        <v>22</v>
      </c>
      <c r="D336" t="s">
        <v>4</v>
      </c>
      <c r="E336" t="s">
        <v>119</v>
      </c>
      <c r="F336" t="s">
        <v>34</v>
      </c>
      <c r="G336" t="s">
        <v>158</v>
      </c>
    </row>
    <row r="337" spans="1:7" x14ac:dyDescent="0.3">
      <c r="A337">
        <v>12</v>
      </c>
      <c r="B337">
        <v>2022</v>
      </c>
      <c r="C337" t="s">
        <v>18</v>
      </c>
      <c r="D337" t="s">
        <v>6</v>
      </c>
      <c r="E337" t="s">
        <v>127</v>
      </c>
      <c r="F337" t="s">
        <v>35</v>
      </c>
      <c r="G337" t="s">
        <v>158</v>
      </c>
    </row>
    <row r="338" spans="1:7" x14ac:dyDescent="0.3">
      <c r="A338">
        <v>12</v>
      </c>
      <c r="B338">
        <v>2022</v>
      </c>
      <c r="C338" t="s">
        <v>18</v>
      </c>
      <c r="D338" t="s">
        <v>6</v>
      </c>
      <c r="E338" t="s">
        <v>127</v>
      </c>
      <c r="F338" t="s">
        <v>36</v>
      </c>
      <c r="G338" t="s">
        <v>158</v>
      </c>
    </row>
    <row r="339" spans="1:7" x14ac:dyDescent="0.3">
      <c r="A339">
        <v>12</v>
      </c>
      <c r="B339">
        <v>2022</v>
      </c>
      <c r="C339" t="s">
        <v>18</v>
      </c>
      <c r="D339" t="s">
        <v>6</v>
      </c>
      <c r="E339" t="s">
        <v>127</v>
      </c>
      <c r="F339" t="s">
        <v>34</v>
      </c>
      <c r="G339" t="s">
        <v>158</v>
      </c>
    </row>
    <row r="340" spans="1:7" x14ac:dyDescent="0.3">
      <c r="A340">
        <v>12</v>
      </c>
      <c r="B340">
        <v>2022</v>
      </c>
      <c r="C340" t="s">
        <v>23</v>
      </c>
      <c r="D340" t="s">
        <v>4</v>
      </c>
      <c r="E340" t="s">
        <v>131</v>
      </c>
      <c r="F340" t="s">
        <v>35</v>
      </c>
      <c r="G340" t="s">
        <v>158</v>
      </c>
    </row>
    <row r="341" spans="1:7" x14ac:dyDescent="0.3">
      <c r="A341">
        <v>12</v>
      </c>
      <c r="B341">
        <v>2022</v>
      </c>
      <c r="C341" t="s">
        <v>23</v>
      </c>
      <c r="D341" t="s">
        <v>4</v>
      </c>
      <c r="E341" t="s">
        <v>131</v>
      </c>
      <c r="F341" t="s">
        <v>36</v>
      </c>
      <c r="G341" t="s">
        <v>158</v>
      </c>
    </row>
    <row r="342" spans="1:7" x14ac:dyDescent="0.3">
      <c r="A342">
        <v>12</v>
      </c>
      <c r="B342">
        <v>2022</v>
      </c>
      <c r="C342" t="s">
        <v>23</v>
      </c>
      <c r="D342" t="s">
        <v>4</v>
      </c>
      <c r="E342" t="s">
        <v>131</v>
      </c>
      <c r="F342" t="s">
        <v>34</v>
      </c>
      <c r="G342" t="s">
        <v>158</v>
      </c>
    </row>
    <row r="343" spans="1:7" x14ac:dyDescent="0.3">
      <c r="A343">
        <v>12</v>
      </c>
      <c r="B343">
        <v>2022</v>
      </c>
      <c r="C343" t="s">
        <v>23</v>
      </c>
      <c r="D343" t="s">
        <v>6</v>
      </c>
      <c r="E343" t="s">
        <v>133</v>
      </c>
      <c r="F343" t="s">
        <v>35</v>
      </c>
      <c r="G343" t="s">
        <v>158</v>
      </c>
    </row>
    <row r="344" spans="1:7" x14ac:dyDescent="0.3">
      <c r="A344">
        <v>12</v>
      </c>
      <c r="B344">
        <v>2022</v>
      </c>
      <c r="C344" t="s">
        <v>23</v>
      </c>
      <c r="D344" t="s">
        <v>6</v>
      </c>
      <c r="E344" t="s">
        <v>133</v>
      </c>
      <c r="F344" t="s">
        <v>36</v>
      </c>
      <c r="G344" t="s">
        <v>158</v>
      </c>
    </row>
    <row r="345" spans="1:7" x14ac:dyDescent="0.3">
      <c r="A345">
        <v>12</v>
      </c>
      <c r="B345">
        <v>2022</v>
      </c>
      <c r="C345" t="s">
        <v>23</v>
      </c>
      <c r="D345" t="s">
        <v>6</v>
      </c>
      <c r="E345" t="s">
        <v>133</v>
      </c>
      <c r="F345" t="s">
        <v>34</v>
      </c>
      <c r="G345" t="s">
        <v>158</v>
      </c>
    </row>
    <row r="346" spans="1:7" x14ac:dyDescent="0.3">
      <c r="A346">
        <v>12</v>
      </c>
      <c r="B346">
        <v>2022</v>
      </c>
      <c r="C346" t="s">
        <v>24</v>
      </c>
      <c r="D346" t="s">
        <v>4</v>
      </c>
      <c r="E346" t="s">
        <v>137</v>
      </c>
      <c r="F346" t="s">
        <v>35</v>
      </c>
      <c r="G346" t="s">
        <v>158</v>
      </c>
    </row>
    <row r="347" spans="1:7" x14ac:dyDescent="0.3">
      <c r="A347">
        <v>12</v>
      </c>
      <c r="B347">
        <v>2022</v>
      </c>
      <c r="C347" t="s">
        <v>24</v>
      </c>
      <c r="D347" t="s">
        <v>4</v>
      </c>
      <c r="E347" t="s">
        <v>137</v>
      </c>
      <c r="F347" t="s">
        <v>36</v>
      </c>
      <c r="G347" t="s">
        <v>158</v>
      </c>
    </row>
    <row r="348" spans="1:7" x14ac:dyDescent="0.3">
      <c r="A348">
        <v>12</v>
      </c>
      <c r="B348">
        <v>2022</v>
      </c>
      <c r="C348" t="s">
        <v>24</v>
      </c>
      <c r="D348" t="s">
        <v>4</v>
      </c>
      <c r="E348" t="s">
        <v>137</v>
      </c>
      <c r="F348" t="s">
        <v>34</v>
      </c>
      <c r="G348" t="s">
        <v>158</v>
      </c>
    </row>
    <row r="349" spans="1:7" x14ac:dyDescent="0.3">
      <c r="A349">
        <v>12</v>
      </c>
      <c r="B349">
        <v>2022</v>
      </c>
      <c r="C349" t="s">
        <v>24</v>
      </c>
      <c r="D349" t="s">
        <v>6</v>
      </c>
      <c r="E349" t="s">
        <v>139</v>
      </c>
      <c r="F349" t="s">
        <v>35</v>
      </c>
      <c r="G349" t="s">
        <v>158</v>
      </c>
    </row>
    <row r="350" spans="1:7" x14ac:dyDescent="0.3">
      <c r="A350">
        <v>12</v>
      </c>
      <c r="B350">
        <v>2022</v>
      </c>
      <c r="C350" t="s">
        <v>24</v>
      </c>
      <c r="D350" t="s">
        <v>6</v>
      </c>
      <c r="E350" t="s">
        <v>139</v>
      </c>
      <c r="F350" t="s">
        <v>36</v>
      </c>
      <c r="G350" t="s">
        <v>158</v>
      </c>
    </row>
    <row r="351" spans="1:7" x14ac:dyDescent="0.3">
      <c r="A351">
        <v>12</v>
      </c>
      <c r="B351">
        <v>2022</v>
      </c>
      <c r="C351" t="s">
        <v>24</v>
      </c>
      <c r="D351" t="s">
        <v>6</v>
      </c>
      <c r="E351" t="s">
        <v>139</v>
      </c>
      <c r="F351" t="s">
        <v>34</v>
      </c>
      <c r="G351" t="s">
        <v>158</v>
      </c>
    </row>
    <row r="352" spans="1:7" x14ac:dyDescent="0.3">
      <c r="A352">
        <v>12</v>
      </c>
      <c r="B352">
        <v>2022</v>
      </c>
      <c r="C352" t="s">
        <v>16</v>
      </c>
      <c r="D352" t="s">
        <v>4</v>
      </c>
      <c r="E352" t="s">
        <v>143</v>
      </c>
      <c r="F352" t="s">
        <v>35</v>
      </c>
      <c r="G352" t="s">
        <v>158</v>
      </c>
    </row>
    <row r="353" spans="1:7" x14ac:dyDescent="0.3">
      <c r="A353">
        <v>12</v>
      </c>
      <c r="B353">
        <v>2022</v>
      </c>
      <c r="C353" t="s">
        <v>16</v>
      </c>
      <c r="D353" t="s">
        <v>4</v>
      </c>
      <c r="E353" t="s">
        <v>143</v>
      </c>
      <c r="F353" t="s">
        <v>36</v>
      </c>
      <c r="G353" t="s">
        <v>158</v>
      </c>
    </row>
    <row r="354" spans="1:7" x14ac:dyDescent="0.3">
      <c r="A354">
        <v>12</v>
      </c>
      <c r="B354">
        <v>2022</v>
      </c>
      <c r="C354" t="s">
        <v>16</v>
      </c>
      <c r="D354" t="s">
        <v>4</v>
      </c>
      <c r="E354" t="s">
        <v>143</v>
      </c>
      <c r="F354" t="s">
        <v>34</v>
      </c>
      <c r="G354" t="s">
        <v>158</v>
      </c>
    </row>
    <row r="355" spans="1:7" x14ac:dyDescent="0.3">
      <c r="A355">
        <v>12</v>
      </c>
      <c r="B355">
        <v>2022</v>
      </c>
      <c r="C355" t="s">
        <v>16</v>
      </c>
      <c r="D355" t="s">
        <v>6</v>
      </c>
      <c r="E355" t="s">
        <v>145</v>
      </c>
      <c r="F355" t="s">
        <v>35</v>
      </c>
      <c r="G355" t="s">
        <v>158</v>
      </c>
    </row>
    <row r="356" spans="1:7" x14ac:dyDescent="0.3">
      <c r="A356">
        <v>12</v>
      </c>
      <c r="B356">
        <v>2022</v>
      </c>
      <c r="C356" t="s">
        <v>16</v>
      </c>
      <c r="D356" t="s">
        <v>6</v>
      </c>
      <c r="E356" t="s">
        <v>145</v>
      </c>
      <c r="F356" t="s">
        <v>36</v>
      </c>
      <c r="G356" t="s">
        <v>158</v>
      </c>
    </row>
    <row r="357" spans="1:7" x14ac:dyDescent="0.3">
      <c r="A357">
        <v>12</v>
      </c>
      <c r="B357">
        <v>2022</v>
      </c>
      <c r="C357" t="s">
        <v>16</v>
      </c>
      <c r="D357" t="s">
        <v>6</v>
      </c>
      <c r="E357" t="s">
        <v>145</v>
      </c>
      <c r="F357" t="s">
        <v>34</v>
      </c>
      <c r="G357" t="s">
        <v>158</v>
      </c>
    </row>
    <row r="358" spans="1:7" x14ac:dyDescent="0.3">
      <c r="A358">
        <v>12</v>
      </c>
      <c r="B358">
        <v>2022</v>
      </c>
      <c r="C358" t="s">
        <v>25</v>
      </c>
      <c r="D358" t="s">
        <v>4</v>
      </c>
      <c r="E358" t="s">
        <v>149</v>
      </c>
      <c r="F358" t="s">
        <v>35</v>
      </c>
      <c r="G358" t="s">
        <v>158</v>
      </c>
    </row>
    <row r="359" spans="1:7" x14ac:dyDescent="0.3">
      <c r="A359">
        <v>12</v>
      </c>
      <c r="B359">
        <v>2022</v>
      </c>
      <c r="C359" t="s">
        <v>25</v>
      </c>
      <c r="D359" t="s">
        <v>4</v>
      </c>
      <c r="E359" t="s">
        <v>149</v>
      </c>
      <c r="F359" t="s">
        <v>36</v>
      </c>
      <c r="G359" t="s">
        <v>158</v>
      </c>
    </row>
    <row r="360" spans="1:7" x14ac:dyDescent="0.3">
      <c r="A360">
        <v>12</v>
      </c>
      <c r="B360">
        <v>2022</v>
      </c>
      <c r="C360" t="s">
        <v>25</v>
      </c>
      <c r="D360" t="s">
        <v>4</v>
      </c>
      <c r="E360" t="s">
        <v>149</v>
      </c>
      <c r="F360" t="s">
        <v>34</v>
      </c>
      <c r="G360" t="s">
        <v>158</v>
      </c>
    </row>
    <row r="361" spans="1:7" x14ac:dyDescent="0.3">
      <c r="A361">
        <v>12</v>
      </c>
      <c r="B361">
        <v>2022</v>
      </c>
      <c r="C361" t="s">
        <v>25</v>
      </c>
      <c r="D361" t="s">
        <v>6</v>
      </c>
      <c r="E361" t="s">
        <v>151</v>
      </c>
      <c r="F361" t="s">
        <v>35</v>
      </c>
      <c r="G361" t="s">
        <v>158</v>
      </c>
    </row>
    <row r="362" spans="1:7" x14ac:dyDescent="0.3">
      <c r="A362">
        <v>12</v>
      </c>
      <c r="B362">
        <v>2022</v>
      </c>
      <c r="C362" t="s">
        <v>25</v>
      </c>
      <c r="D362" t="s">
        <v>6</v>
      </c>
      <c r="E362" t="s">
        <v>151</v>
      </c>
      <c r="F362" t="s">
        <v>36</v>
      </c>
      <c r="G362" t="s">
        <v>158</v>
      </c>
    </row>
    <row r="363" spans="1:7" x14ac:dyDescent="0.3">
      <c r="A363">
        <v>12</v>
      </c>
      <c r="B363">
        <v>2022</v>
      </c>
      <c r="C363" t="s">
        <v>25</v>
      </c>
      <c r="D363" t="s">
        <v>6</v>
      </c>
      <c r="E363" t="s">
        <v>151</v>
      </c>
      <c r="F363" t="s">
        <v>34</v>
      </c>
      <c r="G363" t="s">
        <v>158</v>
      </c>
    </row>
    <row r="364" spans="1:7" x14ac:dyDescent="0.3">
      <c r="A364">
        <v>12</v>
      </c>
      <c r="B364">
        <v>2022</v>
      </c>
      <c r="C364" t="s">
        <v>10</v>
      </c>
      <c r="D364" t="s">
        <v>4</v>
      </c>
      <c r="E364" t="s">
        <v>59</v>
      </c>
      <c r="F364" t="s">
        <v>157</v>
      </c>
      <c r="G364" t="s">
        <v>159</v>
      </c>
    </row>
    <row r="365" spans="1:7" x14ac:dyDescent="0.3">
      <c r="A365">
        <v>12</v>
      </c>
      <c r="B365">
        <v>2022</v>
      </c>
      <c r="C365" t="s">
        <v>10</v>
      </c>
      <c r="D365" t="s">
        <v>6</v>
      </c>
      <c r="E365" t="s">
        <v>61</v>
      </c>
      <c r="F365" t="s">
        <v>157</v>
      </c>
      <c r="G365" t="s">
        <v>159</v>
      </c>
    </row>
    <row r="366" spans="1:7" x14ac:dyDescent="0.3">
      <c r="A366">
        <v>12</v>
      </c>
      <c r="B366">
        <v>2022</v>
      </c>
      <c r="C366" t="s">
        <v>19</v>
      </c>
      <c r="D366" t="s">
        <v>6</v>
      </c>
      <c r="E366" t="s">
        <v>67</v>
      </c>
      <c r="F366" t="s">
        <v>157</v>
      </c>
      <c r="G366" t="s">
        <v>159</v>
      </c>
    </row>
    <row r="367" spans="1:7" x14ac:dyDescent="0.3">
      <c r="A367">
        <v>12</v>
      </c>
      <c r="B367">
        <v>2022</v>
      </c>
      <c r="C367" t="s">
        <v>20</v>
      </c>
      <c r="D367" t="s">
        <v>4</v>
      </c>
      <c r="E367" t="s">
        <v>71</v>
      </c>
      <c r="F367" t="s">
        <v>157</v>
      </c>
      <c r="G367" t="s">
        <v>159</v>
      </c>
    </row>
    <row r="368" spans="1:7" x14ac:dyDescent="0.3">
      <c r="A368">
        <v>12</v>
      </c>
      <c r="B368">
        <v>2022</v>
      </c>
      <c r="C368" t="s">
        <v>20</v>
      </c>
      <c r="D368" t="s">
        <v>6</v>
      </c>
      <c r="E368" t="s">
        <v>73</v>
      </c>
      <c r="F368" t="s">
        <v>157</v>
      </c>
      <c r="G368" t="s">
        <v>159</v>
      </c>
    </row>
    <row r="369" spans="1:7" x14ac:dyDescent="0.3">
      <c r="A369">
        <v>12</v>
      </c>
      <c r="B369">
        <v>2022</v>
      </c>
      <c r="C369" t="s">
        <v>13</v>
      </c>
      <c r="D369" t="s">
        <v>6</v>
      </c>
      <c r="E369" t="s">
        <v>79</v>
      </c>
      <c r="F369" t="s">
        <v>157</v>
      </c>
      <c r="G369" t="s">
        <v>159</v>
      </c>
    </row>
    <row r="370" spans="1:7" x14ac:dyDescent="0.3">
      <c r="A370">
        <v>12</v>
      </c>
      <c r="B370">
        <v>2022</v>
      </c>
      <c r="C370" t="s">
        <v>14</v>
      </c>
      <c r="D370" t="s">
        <v>4</v>
      </c>
      <c r="E370" t="s">
        <v>83</v>
      </c>
      <c r="F370" t="s">
        <v>157</v>
      </c>
      <c r="G370" t="s">
        <v>159</v>
      </c>
    </row>
    <row r="371" spans="1:7" x14ac:dyDescent="0.3">
      <c r="A371">
        <v>12</v>
      </c>
      <c r="B371">
        <v>2022</v>
      </c>
      <c r="C371" t="s">
        <v>21</v>
      </c>
      <c r="D371" t="s">
        <v>4</v>
      </c>
      <c r="E371" t="s">
        <v>89</v>
      </c>
      <c r="F371" t="s">
        <v>157</v>
      </c>
      <c r="G371" t="s">
        <v>159</v>
      </c>
    </row>
    <row r="372" spans="1:7" x14ac:dyDescent="0.3">
      <c r="A372">
        <v>12</v>
      </c>
      <c r="B372">
        <v>2022</v>
      </c>
      <c r="C372" t="s">
        <v>21</v>
      </c>
      <c r="D372" t="s">
        <v>6</v>
      </c>
      <c r="E372" t="s">
        <v>91</v>
      </c>
      <c r="F372" t="s">
        <v>157</v>
      </c>
      <c r="G372" t="s">
        <v>159</v>
      </c>
    </row>
    <row r="373" spans="1:7" x14ac:dyDescent="0.3">
      <c r="A373">
        <v>12</v>
      </c>
      <c r="B373">
        <v>2022</v>
      </c>
      <c r="C373" t="s">
        <v>15</v>
      </c>
      <c r="D373" t="s">
        <v>4</v>
      </c>
      <c r="E373" t="s">
        <v>101</v>
      </c>
      <c r="F373" t="s">
        <v>157</v>
      </c>
      <c r="G373" t="s">
        <v>159</v>
      </c>
    </row>
    <row r="374" spans="1:7" x14ac:dyDescent="0.3">
      <c r="A374">
        <v>12</v>
      </c>
      <c r="B374">
        <v>2022</v>
      </c>
      <c r="C374" t="s">
        <v>27</v>
      </c>
      <c r="D374" t="s">
        <v>4</v>
      </c>
      <c r="E374" t="s">
        <v>107</v>
      </c>
      <c r="F374" t="s">
        <v>157</v>
      </c>
      <c r="G374" t="s">
        <v>159</v>
      </c>
    </row>
    <row r="375" spans="1:7" x14ac:dyDescent="0.3">
      <c r="A375">
        <v>12</v>
      </c>
      <c r="B375">
        <v>2022</v>
      </c>
      <c r="C375" t="s">
        <v>17</v>
      </c>
      <c r="D375" t="s">
        <v>4</v>
      </c>
      <c r="E375" t="s">
        <v>113</v>
      </c>
      <c r="F375" t="s">
        <v>157</v>
      </c>
      <c r="G375" t="s">
        <v>159</v>
      </c>
    </row>
    <row r="376" spans="1:7" x14ac:dyDescent="0.3">
      <c r="A376">
        <v>12</v>
      </c>
      <c r="B376">
        <v>2022</v>
      </c>
      <c r="C376" t="s">
        <v>22</v>
      </c>
      <c r="D376" t="s">
        <v>4</v>
      </c>
      <c r="E376" t="s">
        <v>119</v>
      </c>
      <c r="F376" t="s">
        <v>157</v>
      </c>
      <c r="G376" t="s">
        <v>159</v>
      </c>
    </row>
    <row r="377" spans="1:7" x14ac:dyDescent="0.3">
      <c r="A377">
        <v>12</v>
      </c>
      <c r="B377">
        <v>2022</v>
      </c>
      <c r="C377" t="s">
        <v>18</v>
      </c>
      <c r="D377" t="s">
        <v>6</v>
      </c>
      <c r="E377" t="s">
        <v>127</v>
      </c>
      <c r="F377" t="s">
        <v>157</v>
      </c>
      <c r="G377" t="s">
        <v>159</v>
      </c>
    </row>
    <row r="378" spans="1:7" x14ac:dyDescent="0.3">
      <c r="A378">
        <v>12</v>
      </c>
      <c r="B378">
        <v>2022</v>
      </c>
      <c r="C378" t="s">
        <v>23</v>
      </c>
      <c r="D378" t="s">
        <v>4</v>
      </c>
      <c r="E378" t="s">
        <v>131</v>
      </c>
      <c r="F378" t="s">
        <v>157</v>
      </c>
      <c r="G378" t="s">
        <v>159</v>
      </c>
    </row>
    <row r="379" spans="1:7" x14ac:dyDescent="0.3">
      <c r="A379">
        <v>12</v>
      </c>
      <c r="B379">
        <v>2022</v>
      </c>
      <c r="C379" t="s">
        <v>23</v>
      </c>
      <c r="D379" t="s">
        <v>6</v>
      </c>
      <c r="E379" t="s">
        <v>133</v>
      </c>
      <c r="F379" t="s">
        <v>157</v>
      </c>
      <c r="G379" t="s">
        <v>159</v>
      </c>
    </row>
    <row r="380" spans="1:7" x14ac:dyDescent="0.3">
      <c r="A380">
        <v>12</v>
      </c>
      <c r="B380">
        <v>2022</v>
      </c>
      <c r="C380" t="s">
        <v>24</v>
      </c>
      <c r="D380" t="s">
        <v>4</v>
      </c>
      <c r="E380" t="s">
        <v>137</v>
      </c>
      <c r="F380" t="s">
        <v>157</v>
      </c>
      <c r="G380" t="s">
        <v>159</v>
      </c>
    </row>
    <row r="381" spans="1:7" x14ac:dyDescent="0.3">
      <c r="A381">
        <v>12</v>
      </c>
      <c r="B381">
        <v>2022</v>
      </c>
      <c r="C381" t="s">
        <v>24</v>
      </c>
      <c r="D381" t="s">
        <v>6</v>
      </c>
      <c r="E381" t="s">
        <v>139</v>
      </c>
      <c r="F381" t="s">
        <v>157</v>
      </c>
      <c r="G381" t="s">
        <v>159</v>
      </c>
    </row>
    <row r="382" spans="1:7" x14ac:dyDescent="0.3">
      <c r="A382">
        <v>12</v>
      </c>
      <c r="B382">
        <v>2022</v>
      </c>
      <c r="C382" t="s">
        <v>16</v>
      </c>
      <c r="D382" t="s">
        <v>4</v>
      </c>
      <c r="E382" t="s">
        <v>143</v>
      </c>
      <c r="F382" t="s">
        <v>157</v>
      </c>
      <c r="G382" t="s">
        <v>159</v>
      </c>
    </row>
    <row r="383" spans="1:7" x14ac:dyDescent="0.3">
      <c r="A383">
        <v>12</v>
      </c>
      <c r="B383">
        <v>2022</v>
      </c>
      <c r="C383" t="s">
        <v>16</v>
      </c>
      <c r="D383" t="s">
        <v>6</v>
      </c>
      <c r="E383" t="s">
        <v>145</v>
      </c>
      <c r="F383" t="s">
        <v>157</v>
      </c>
      <c r="G383" t="s">
        <v>159</v>
      </c>
    </row>
    <row r="384" spans="1:7" x14ac:dyDescent="0.3">
      <c r="A384">
        <v>12</v>
      </c>
      <c r="B384">
        <v>2022</v>
      </c>
      <c r="C384" t="s">
        <v>25</v>
      </c>
      <c r="D384" t="s">
        <v>4</v>
      </c>
      <c r="E384" t="s">
        <v>149</v>
      </c>
      <c r="F384" t="s">
        <v>157</v>
      </c>
      <c r="G384" t="s">
        <v>159</v>
      </c>
    </row>
    <row r="385" spans="1:7" x14ac:dyDescent="0.3">
      <c r="A385">
        <v>12</v>
      </c>
      <c r="B385">
        <v>2022</v>
      </c>
      <c r="C385" t="s">
        <v>25</v>
      </c>
      <c r="D385" t="s">
        <v>6</v>
      </c>
      <c r="E385" t="s">
        <v>151</v>
      </c>
      <c r="F385" t="s">
        <v>157</v>
      </c>
      <c r="G385" t="s">
        <v>159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6243-94C4-4305-87C5-81472E2E7EE8}">
  <sheetPr codeName="Sheet5"/>
  <dimension ref="A1:H35"/>
  <sheetViews>
    <sheetView showGridLines="0" view="pageBreakPreview" zoomScale="71" zoomScaleNormal="62" workbookViewId="0">
      <pane ySplit="1" topLeftCell="A2" activePane="bottomLeft" state="frozen"/>
      <selection pane="bottomLeft" activeCell="F12" sqref="F12"/>
    </sheetView>
  </sheetViews>
  <sheetFormatPr defaultRowHeight="14.4" x14ac:dyDescent="0.3"/>
  <cols>
    <col min="1" max="1" width="24.5546875" bestFit="1" customWidth="1"/>
    <col min="2" max="2" width="19.44140625" bestFit="1" customWidth="1"/>
    <col min="3" max="3" width="14.6640625" bestFit="1" customWidth="1"/>
    <col min="4" max="4" width="18.109375" bestFit="1" customWidth="1"/>
    <col min="5" max="5" width="15.109375" bestFit="1" customWidth="1"/>
    <col min="6" max="6" width="10.5546875" bestFit="1" customWidth="1"/>
    <col min="7" max="8" width="18.5546875" bestFit="1" customWidth="1"/>
    <col min="9" max="10" width="14.5546875" bestFit="1" customWidth="1"/>
    <col min="11" max="11" width="11" bestFit="1" customWidth="1"/>
  </cols>
  <sheetData>
    <row r="1" spans="1:8" s="15" customFormat="1" ht="39" x14ac:dyDescent="0.75">
      <c r="A1" s="29" t="s">
        <v>173</v>
      </c>
      <c r="B1" s="29"/>
      <c r="C1" s="29"/>
      <c r="D1" s="29"/>
      <c r="E1" s="29"/>
      <c r="F1" s="29"/>
      <c r="G1" s="29"/>
      <c r="H1" s="29"/>
    </row>
    <row r="2" spans="1:8" ht="15" thickBot="1" x14ac:dyDescent="0.35"/>
    <row r="3" spans="1:8" s="11" customFormat="1" ht="18.600000000000001" thickBot="1" x14ac:dyDescent="0.4">
      <c r="A3" s="13" t="s">
        <v>181</v>
      </c>
      <c r="B3" s="10"/>
      <c r="D3" s="13" t="s">
        <v>162</v>
      </c>
      <c r="E3" s="12"/>
      <c r="H3" s="13" t="s">
        <v>168</v>
      </c>
    </row>
    <row r="4" spans="1:8" s="11" customFormat="1" ht="18.600000000000001" thickBot="1" x14ac:dyDescent="0.4">
      <c r="A4" s="14">
        <v>1</v>
      </c>
      <c r="B4" s="10"/>
      <c r="D4" s="13">
        <v>0</v>
      </c>
      <c r="H4" s="13">
        <v>22</v>
      </c>
    </row>
    <row r="6" spans="1:8" x14ac:dyDescent="0.3">
      <c r="A6" s="4" t="s">
        <v>165</v>
      </c>
    </row>
    <row r="8" spans="1:8" x14ac:dyDescent="0.3">
      <c r="A8" s="1" t="s">
        <v>160</v>
      </c>
      <c r="B8" t="s">
        <v>163</v>
      </c>
      <c r="C8" t="s">
        <v>162</v>
      </c>
      <c r="D8" t="s">
        <v>164</v>
      </c>
      <c r="E8" t="s">
        <v>168</v>
      </c>
      <c r="G8" s="1" t="s">
        <v>160</v>
      </c>
      <c r="H8" t="s">
        <v>168</v>
      </c>
    </row>
    <row r="9" spans="1:8" x14ac:dyDescent="0.3">
      <c r="A9" s="2" t="s">
        <v>34</v>
      </c>
      <c r="B9">
        <v>96</v>
      </c>
      <c r="C9">
        <v>0</v>
      </c>
      <c r="D9" s="3">
        <v>0</v>
      </c>
      <c r="G9" s="2" t="s">
        <v>34</v>
      </c>
    </row>
    <row r="10" spans="1:8" x14ac:dyDescent="0.3">
      <c r="A10" s="2" t="s">
        <v>35</v>
      </c>
      <c r="B10">
        <v>96</v>
      </c>
      <c r="C10">
        <v>0</v>
      </c>
      <c r="D10" s="3">
        <v>0</v>
      </c>
      <c r="G10" s="2" t="s">
        <v>35</v>
      </c>
    </row>
    <row r="11" spans="1:8" x14ac:dyDescent="0.3">
      <c r="A11" s="2" t="s">
        <v>36</v>
      </c>
      <c r="B11">
        <v>96</v>
      </c>
      <c r="C11">
        <v>0</v>
      </c>
      <c r="D11" s="3">
        <v>0</v>
      </c>
      <c r="G11" s="2" t="s">
        <v>36</v>
      </c>
    </row>
    <row r="12" spans="1:8" x14ac:dyDescent="0.3">
      <c r="A12" s="2" t="s">
        <v>157</v>
      </c>
      <c r="B12">
        <v>96</v>
      </c>
      <c r="C12">
        <v>0</v>
      </c>
      <c r="D12" s="3">
        <v>0</v>
      </c>
      <c r="E12">
        <v>22</v>
      </c>
      <c r="G12" s="2" t="s">
        <v>157</v>
      </c>
      <c r="H12">
        <v>22</v>
      </c>
    </row>
    <row r="13" spans="1:8" x14ac:dyDescent="0.3">
      <c r="A13" s="2" t="s">
        <v>161</v>
      </c>
      <c r="B13">
        <v>384</v>
      </c>
      <c r="C13">
        <v>0</v>
      </c>
      <c r="D13" s="3">
        <v>0</v>
      </c>
      <c r="E13">
        <v>22</v>
      </c>
    </row>
    <row r="15" spans="1:8" x14ac:dyDescent="0.3">
      <c r="A15" s="4" t="s">
        <v>166</v>
      </c>
    </row>
    <row r="17" spans="1:2" x14ac:dyDescent="0.3">
      <c r="A17" s="1" t="s">
        <v>168</v>
      </c>
      <c r="B17" s="1" t="s">
        <v>167</v>
      </c>
    </row>
    <row r="18" spans="1:2" x14ac:dyDescent="0.3">
      <c r="A18" s="1" t="s">
        <v>160</v>
      </c>
      <c r="B18" t="s">
        <v>157</v>
      </c>
    </row>
    <row r="19" spans="1:2" x14ac:dyDescent="0.3">
      <c r="A19" s="2" t="s">
        <v>10</v>
      </c>
      <c r="B19">
        <v>2</v>
      </c>
    </row>
    <row r="20" spans="1:2" x14ac:dyDescent="0.3">
      <c r="A20" s="2" t="s">
        <v>19</v>
      </c>
      <c r="B20">
        <v>1</v>
      </c>
    </row>
    <row r="21" spans="1:2" x14ac:dyDescent="0.3">
      <c r="A21" s="2" t="s">
        <v>20</v>
      </c>
      <c r="B21">
        <v>2</v>
      </c>
    </row>
    <row r="22" spans="1:2" x14ac:dyDescent="0.3">
      <c r="A22" s="2" t="s">
        <v>13</v>
      </c>
      <c r="B22">
        <v>1</v>
      </c>
    </row>
    <row r="23" spans="1:2" x14ac:dyDescent="0.3">
      <c r="A23" s="2" t="s">
        <v>14</v>
      </c>
      <c r="B23">
        <v>1</v>
      </c>
    </row>
    <row r="24" spans="1:2" x14ac:dyDescent="0.3">
      <c r="A24" s="2" t="s">
        <v>21</v>
      </c>
      <c r="B24">
        <v>2</v>
      </c>
    </row>
    <row r="25" spans="1:2" x14ac:dyDescent="0.3">
      <c r="A25" s="2" t="s">
        <v>26</v>
      </c>
    </row>
    <row r="26" spans="1:2" x14ac:dyDescent="0.3">
      <c r="A26" s="2" t="s">
        <v>15</v>
      </c>
      <c r="B26">
        <v>1</v>
      </c>
    </row>
    <row r="27" spans="1:2" x14ac:dyDescent="0.3">
      <c r="A27" s="2" t="s">
        <v>27</v>
      </c>
      <c r="B27">
        <v>1</v>
      </c>
    </row>
    <row r="28" spans="1:2" x14ac:dyDescent="0.3">
      <c r="A28" s="2" t="s">
        <v>17</v>
      </c>
      <c r="B28">
        <v>1</v>
      </c>
    </row>
    <row r="29" spans="1:2" x14ac:dyDescent="0.3">
      <c r="A29" s="2" t="s">
        <v>22</v>
      </c>
      <c r="B29">
        <v>1</v>
      </c>
    </row>
    <row r="30" spans="1:2" x14ac:dyDescent="0.3">
      <c r="A30" s="2" t="s">
        <v>18</v>
      </c>
      <c r="B30">
        <v>1</v>
      </c>
    </row>
    <row r="31" spans="1:2" x14ac:dyDescent="0.3">
      <c r="A31" s="2" t="s">
        <v>23</v>
      </c>
      <c r="B31">
        <v>2</v>
      </c>
    </row>
    <row r="32" spans="1:2" x14ac:dyDescent="0.3">
      <c r="A32" s="2" t="s">
        <v>24</v>
      </c>
      <c r="B32">
        <v>2</v>
      </c>
    </row>
    <row r="33" spans="1:2" x14ac:dyDescent="0.3">
      <c r="A33" s="2" t="s">
        <v>16</v>
      </c>
      <c r="B33">
        <v>2</v>
      </c>
    </row>
    <row r="34" spans="1:2" x14ac:dyDescent="0.3">
      <c r="A34" s="2" t="s">
        <v>25</v>
      </c>
      <c r="B34">
        <v>2</v>
      </c>
    </row>
    <row r="35" spans="1:2" x14ac:dyDescent="0.3">
      <c r="A35" s="2" t="s">
        <v>161</v>
      </c>
      <c r="B35">
        <v>22</v>
      </c>
    </row>
  </sheetData>
  <mergeCells count="1">
    <mergeCell ref="A1:H1"/>
  </mergeCells>
  <pageMargins left="0.7" right="0.7" top="0.75" bottom="0.75" header="0.3" footer="0.3"/>
  <pageSetup orientation="portrait" r:id="rId7"/>
  <drawing r:id="rId8"/>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71E2-1F65-4FDB-8817-DF60FBE878D3}">
  <sheetPr codeName="Sheet6"/>
  <dimension ref="A1:J27"/>
  <sheetViews>
    <sheetView showGridLines="0" view="pageBreakPreview" topLeftCell="B1" zoomScaleNormal="71" workbookViewId="0">
      <pane ySplit="1" topLeftCell="A11" activePane="bottomLeft" state="frozen"/>
      <selection pane="bottomLeft" activeCell="J14" sqref="J14"/>
    </sheetView>
  </sheetViews>
  <sheetFormatPr defaultRowHeight="14.4" x14ac:dyDescent="0.3"/>
  <cols>
    <col min="1" max="1" width="27.88671875" customWidth="1"/>
    <col min="2" max="2" width="22.6640625" customWidth="1"/>
    <col min="3" max="3" width="20" customWidth="1"/>
    <col min="4" max="4" width="19.6640625" bestFit="1" customWidth="1"/>
    <col min="5" max="5" width="8.88671875" customWidth="1"/>
    <col min="6" max="6" width="19.109375" customWidth="1"/>
    <col min="7" max="7" width="20" bestFit="1" customWidth="1"/>
    <col min="8" max="8" width="19.33203125" bestFit="1" customWidth="1"/>
    <col min="9" max="9" width="13.88671875" bestFit="1" customWidth="1"/>
    <col min="10" max="10" width="12.44140625" bestFit="1" customWidth="1"/>
    <col min="11" max="11" width="14.44140625" bestFit="1" customWidth="1"/>
  </cols>
  <sheetData>
    <row r="1" spans="1:10" s="20" customFormat="1" ht="39" x14ac:dyDescent="0.75">
      <c r="A1" s="29" t="s">
        <v>172</v>
      </c>
      <c r="B1" s="29"/>
      <c r="C1" s="29"/>
      <c r="D1" s="29"/>
      <c r="E1" s="29"/>
      <c r="F1" s="29"/>
      <c r="G1" s="29"/>
      <c r="H1" s="29"/>
    </row>
    <row r="2" spans="1:10" ht="15" thickBot="1" x14ac:dyDescent="0.35">
      <c r="A2" s="4"/>
    </row>
    <row r="3" spans="1:10" s="18" customFormat="1" ht="18.600000000000001" thickBot="1" x14ac:dyDescent="0.4">
      <c r="A3" s="13" t="s">
        <v>182</v>
      </c>
      <c r="B3" s="17"/>
      <c r="D3" s="16" t="s">
        <v>183</v>
      </c>
      <c r="G3" s="19"/>
      <c r="H3" s="16" t="s">
        <v>184</v>
      </c>
    </row>
    <row r="4" spans="1:10" s="18" customFormat="1" ht="18.600000000000001" thickBot="1" x14ac:dyDescent="0.4">
      <c r="A4" s="21">
        <v>0.99958994090283892</v>
      </c>
      <c r="B4" s="17"/>
      <c r="D4" s="16">
        <v>65</v>
      </c>
      <c r="G4" s="19"/>
      <c r="H4" s="16">
        <v>96</v>
      </c>
    </row>
    <row r="6" spans="1:10" x14ac:dyDescent="0.3">
      <c r="A6" s="1" t="s">
        <v>41</v>
      </c>
      <c r="B6" t="s">
        <v>169</v>
      </c>
      <c r="C6" t="s">
        <v>170</v>
      </c>
      <c r="D6" t="s">
        <v>171</v>
      </c>
      <c r="F6" s="1" t="s">
        <v>41</v>
      </c>
      <c r="G6" t="s" vm="1">
        <v>188</v>
      </c>
    </row>
    <row r="7" spans="1:10" x14ac:dyDescent="0.3">
      <c r="A7" s="2" t="s">
        <v>45</v>
      </c>
      <c r="B7">
        <v>22</v>
      </c>
      <c r="C7" s="7">
        <v>0</v>
      </c>
      <c r="D7" s="6">
        <v>0</v>
      </c>
    </row>
    <row r="8" spans="1:10" x14ac:dyDescent="0.3">
      <c r="A8" s="2" t="s">
        <v>53</v>
      </c>
      <c r="B8">
        <v>9</v>
      </c>
      <c r="C8" s="7">
        <v>590</v>
      </c>
      <c r="D8" s="6">
        <v>4.1005909716107053E-4</v>
      </c>
      <c r="F8" s="1" t="s">
        <v>29</v>
      </c>
      <c r="G8" t="s">
        <v>170</v>
      </c>
      <c r="H8" t="s">
        <v>171</v>
      </c>
    </row>
    <row r="9" spans="1:10" x14ac:dyDescent="0.3">
      <c r="A9" s="2" t="s">
        <v>49</v>
      </c>
      <c r="B9">
        <v>65</v>
      </c>
      <c r="C9" s="7">
        <v>1438227</v>
      </c>
      <c r="D9" s="6">
        <v>0.99958994090283892</v>
      </c>
      <c r="F9" s="2" t="s">
        <v>4</v>
      </c>
      <c r="G9" s="8">
        <v>398</v>
      </c>
      <c r="H9" s="6">
        <v>2.7661613672899334E-4</v>
      </c>
    </row>
    <row r="10" spans="1:10" x14ac:dyDescent="0.3">
      <c r="A10" s="2" t="s">
        <v>161</v>
      </c>
      <c r="B10">
        <v>96</v>
      </c>
      <c r="C10" s="7">
        <v>1438817</v>
      </c>
      <c r="D10" s="6">
        <v>1</v>
      </c>
      <c r="F10" s="2" t="s">
        <v>5</v>
      </c>
      <c r="G10" s="8">
        <v>227773</v>
      </c>
      <c r="H10" s="6">
        <v>0.15830574701299749</v>
      </c>
    </row>
    <row r="11" spans="1:10" x14ac:dyDescent="0.3">
      <c r="F11" s="2" t="s">
        <v>6</v>
      </c>
      <c r="G11" s="8">
        <v>15295</v>
      </c>
      <c r="H11" s="6">
        <v>1.0630260832336565E-2</v>
      </c>
    </row>
    <row r="12" spans="1:10" x14ac:dyDescent="0.3">
      <c r="A12" s="1" t="s">
        <v>160</v>
      </c>
      <c r="B12" t="s">
        <v>169</v>
      </c>
      <c r="C12" t="s">
        <v>171</v>
      </c>
      <c r="F12" s="2" t="s">
        <v>7</v>
      </c>
      <c r="G12" s="8">
        <v>1066827</v>
      </c>
      <c r="H12" s="6">
        <v>0.7414612143170396</v>
      </c>
    </row>
    <row r="13" spans="1:10" x14ac:dyDescent="0.3">
      <c r="A13" s="2" t="s">
        <v>45</v>
      </c>
      <c r="B13">
        <v>22</v>
      </c>
      <c r="C13" s="6">
        <v>0</v>
      </c>
      <c r="F13" s="2" t="s">
        <v>8</v>
      </c>
      <c r="G13" s="8">
        <v>35946</v>
      </c>
      <c r="H13" s="6">
        <v>2.4983024248392952E-2</v>
      </c>
    </row>
    <row r="14" spans="1:10" x14ac:dyDescent="0.3">
      <c r="A14" s="2" t="s">
        <v>53</v>
      </c>
      <c r="B14">
        <v>9</v>
      </c>
      <c r="C14" s="6">
        <v>4.1005909716107053E-4</v>
      </c>
      <c r="F14" s="2" t="s">
        <v>9</v>
      </c>
      <c r="G14" s="8">
        <v>92578</v>
      </c>
      <c r="H14" s="6">
        <v>6.434313745250439E-2</v>
      </c>
      <c r="J14" s="45"/>
    </row>
    <row r="15" spans="1:10" x14ac:dyDescent="0.3">
      <c r="A15" s="2" t="s">
        <v>49</v>
      </c>
      <c r="B15">
        <v>65</v>
      </c>
      <c r="C15" s="6">
        <v>0.99958994090283892</v>
      </c>
      <c r="F15" s="2" t="s">
        <v>161</v>
      </c>
      <c r="G15" s="8">
        <v>1438817</v>
      </c>
      <c r="H15" s="6">
        <v>1</v>
      </c>
    </row>
    <row r="16" spans="1:10" x14ac:dyDescent="0.3">
      <c r="A16" s="2" t="s">
        <v>161</v>
      </c>
      <c r="B16">
        <v>96</v>
      </c>
      <c r="C16" s="6">
        <v>1</v>
      </c>
    </row>
    <row r="18" spans="6:7" x14ac:dyDescent="0.3">
      <c r="F18" s="1" t="s">
        <v>41</v>
      </c>
      <c r="G18" t="s" vm="1">
        <v>188</v>
      </c>
    </row>
    <row r="20" spans="6:7" x14ac:dyDescent="0.3">
      <c r="F20" s="1" t="s">
        <v>29</v>
      </c>
      <c r="G20" t="s">
        <v>171</v>
      </c>
    </row>
    <row r="21" spans="6:7" x14ac:dyDescent="0.3">
      <c r="F21" s="2" t="s">
        <v>4</v>
      </c>
      <c r="G21" s="6">
        <v>2.7661613672899334E-4</v>
      </c>
    </row>
    <row r="22" spans="6:7" x14ac:dyDescent="0.3">
      <c r="F22" s="2" t="s">
        <v>6</v>
      </c>
      <c r="G22" s="6">
        <v>1.0630260832336565E-2</v>
      </c>
    </row>
    <row r="23" spans="6:7" x14ac:dyDescent="0.3">
      <c r="F23" s="2" t="s">
        <v>8</v>
      </c>
      <c r="G23" s="6">
        <v>2.4983024248392952E-2</v>
      </c>
    </row>
    <row r="24" spans="6:7" x14ac:dyDescent="0.3">
      <c r="F24" s="2" t="s">
        <v>9</v>
      </c>
      <c r="G24" s="6">
        <v>6.434313745250439E-2</v>
      </c>
    </row>
    <row r="25" spans="6:7" x14ac:dyDescent="0.3">
      <c r="F25" s="2" t="s">
        <v>5</v>
      </c>
      <c r="G25" s="6">
        <v>0.15830574701299749</v>
      </c>
    </row>
    <row r="26" spans="6:7" x14ac:dyDescent="0.3">
      <c r="F26" s="2" t="s">
        <v>7</v>
      </c>
      <c r="G26" s="6">
        <v>0.7414612143170396</v>
      </c>
    </row>
    <row r="27" spans="6:7" x14ac:dyDescent="0.3">
      <c r="F27" s="2" t="s">
        <v>161</v>
      </c>
      <c r="G27" s="6">
        <v>1</v>
      </c>
    </row>
  </sheetData>
  <mergeCells count="1">
    <mergeCell ref="A1:H1"/>
  </mergeCells>
  <pageMargins left="0.7" right="0.7" top="0.75" bottom="0.75" header="0.3" footer="0.3"/>
  <pageSetup orientation="portrait" r:id="rId8"/>
  <drawing r:id="rId9"/>
  <legacy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92A5-AE24-48C0-BEA0-A092E3FEFF7B}">
  <sheetPr codeName="Sheet7"/>
  <dimension ref="A1:L53"/>
  <sheetViews>
    <sheetView showGridLines="0" tabSelected="1" view="pageBreakPreview" zoomScale="72" zoomScaleNormal="56" zoomScaleSheetLayoutView="50" workbookViewId="0">
      <pane ySplit="1" topLeftCell="A2" activePane="bottomLeft" state="frozen"/>
      <selection pane="bottomLeft" activeCell="M24" sqref="M24"/>
    </sheetView>
  </sheetViews>
  <sheetFormatPr defaultRowHeight="14.4" x14ac:dyDescent="0.3"/>
  <cols>
    <col min="1" max="1" width="29.6640625" bestFit="1" customWidth="1"/>
    <col min="2" max="3" width="19.5546875" bestFit="1" customWidth="1"/>
    <col min="4" max="4" width="19.5546875" customWidth="1"/>
    <col min="5" max="5" width="19.5546875" bestFit="1" customWidth="1"/>
    <col min="6" max="6" width="20.33203125" bestFit="1" customWidth="1"/>
    <col min="7" max="7" width="39.6640625" bestFit="1" customWidth="1"/>
    <col min="8" max="8" width="11.77734375" bestFit="1" customWidth="1"/>
    <col min="9" max="9" width="34" bestFit="1" customWidth="1"/>
    <col min="10" max="10" width="18" bestFit="1" customWidth="1"/>
    <col min="11" max="11" width="12.109375" customWidth="1"/>
    <col min="12" max="12" width="35.33203125" bestFit="1" customWidth="1"/>
    <col min="13" max="13" width="34" bestFit="1" customWidth="1"/>
  </cols>
  <sheetData>
    <row r="1" spans="1:12" s="5" customFormat="1" ht="39" x14ac:dyDescent="0.75">
      <c r="A1" s="29" t="s">
        <v>175</v>
      </c>
      <c r="B1" s="29"/>
      <c r="C1" s="29"/>
      <c r="D1" s="29"/>
      <c r="E1" s="29"/>
      <c r="F1" s="29"/>
      <c r="G1" s="29"/>
      <c r="H1" s="29"/>
      <c r="I1" s="29"/>
      <c r="J1" s="29"/>
      <c r="K1" s="29"/>
      <c r="L1" s="29"/>
    </row>
    <row r="2" spans="1:12" ht="15" thickBot="1" x14ac:dyDescent="0.35"/>
    <row r="3" spans="1:12" s="23" customFormat="1" ht="18.600000000000001" thickBot="1" x14ac:dyDescent="0.4">
      <c r="A3" s="13" t="s">
        <v>185</v>
      </c>
      <c r="B3" s="22"/>
      <c r="G3" s="13" t="s">
        <v>186</v>
      </c>
      <c r="L3" s="13" t="s">
        <v>187</v>
      </c>
    </row>
    <row r="4" spans="1:12" s="11" customFormat="1" ht="18.600000000000001" thickBot="1" x14ac:dyDescent="0.4">
      <c r="A4" s="24">
        <v>1.1217548861321488E-3</v>
      </c>
      <c r="G4" s="24">
        <v>2.8704136801274938E-4</v>
      </c>
      <c r="L4" s="24">
        <v>1.4087962541448982E-3</v>
      </c>
    </row>
    <row r="6" spans="1:12" x14ac:dyDescent="0.3">
      <c r="A6" s="1" t="s">
        <v>42</v>
      </c>
      <c r="B6" t="s">
        <v>176</v>
      </c>
      <c r="C6" t="s">
        <v>171</v>
      </c>
      <c r="E6" s="1" t="s">
        <v>41</v>
      </c>
      <c r="F6" t="s" vm="1">
        <v>188</v>
      </c>
    </row>
    <row r="7" spans="1:12" x14ac:dyDescent="0.3">
      <c r="A7" s="2" t="s">
        <v>50</v>
      </c>
      <c r="B7">
        <v>65</v>
      </c>
      <c r="C7" s="6">
        <v>0.99859120374585508</v>
      </c>
      <c r="D7" s="6"/>
    </row>
    <row r="8" spans="1:12" x14ac:dyDescent="0.3">
      <c r="A8" s="2" t="s">
        <v>56</v>
      </c>
      <c r="B8">
        <v>2</v>
      </c>
      <c r="C8" s="6">
        <v>1.1217548861321488E-3</v>
      </c>
      <c r="D8" s="6"/>
      <c r="E8" s="1" t="s">
        <v>171</v>
      </c>
      <c r="F8" s="1" t="s">
        <v>42</v>
      </c>
    </row>
    <row r="9" spans="1:12" x14ac:dyDescent="0.3">
      <c r="A9" s="2" t="s">
        <v>55</v>
      </c>
      <c r="B9">
        <v>7</v>
      </c>
      <c r="C9" s="6">
        <v>2.8704136801274938E-4</v>
      </c>
      <c r="D9" s="6"/>
      <c r="E9" s="1" t="s">
        <v>174</v>
      </c>
      <c r="F9" t="s">
        <v>32</v>
      </c>
      <c r="G9" t="s">
        <v>56</v>
      </c>
      <c r="H9" t="s">
        <v>50</v>
      </c>
      <c r="I9" t="s">
        <v>55</v>
      </c>
      <c r="J9" t="s">
        <v>161</v>
      </c>
    </row>
    <row r="10" spans="1:12" x14ac:dyDescent="0.3">
      <c r="A10" s="2" t="s">
        <v>32</v>
      </c>
      <c r="B10">
        <v>22</v>
      </c>
      <c r="C10" s="6">
        <v>0</v>
      </c>
      <c r="D10" s="6"/>
      <c r="E10" s="2" t="s">
        <v>10</v>
      </c>
      <c r="F10" s="6">
        <v>0</v>
      </c>
      <c r="G10" s="6"/>
      <c r="H10" s="6">
        <v>7.1022235628297417E-2</v>
      </c>
      <c r="I10" s="6"/>
      <c r="J10" s="6">
        <v>7.1022235628297417E-2</v>
      </c>
    </row>
    <row r="11" spans="1:12" x14ac:dyDescent="0.3">
      <c r="A11" s="2" t="s">
        <v>161</v>
      </c>
      <c r="B11">
        <v>96</v>
      </c>
      <c r="C11" s="6">
        <v>1</v>
      </c>
      <c r="D11" s="6"/>
      <c r="E11" s="2" t="s">
        <v>19</v>
      </c>
      <c r="F11" s="6">
        <v>0</v>
      </c>
      <c r="G11" s="6"/>
      <c r="H11" s="6">
        <v>1.1550461246982764E-2</v>
      </c>
      <c r="I11" s="6">
        <v>4.8651079324194808E-5</v>
      </c>
      <c r="J11" s="6">
        <v>1.1599112326306959E-2</v>
      </c>
    </row>
    <row r="12" spans="1:12" x14ac:dyDescent="0.3">
      <c r="E12" s="2" t="s">
        <v>20</v>
      </c>
      <c r="F12" s="6">
        <v>0</v>
      </c>
      <c r="G12" s="6"/>
      <c r="H12" s="6">
        <v>5.211156109498289E-2</v>
      </c>
      <c r="I12" s="6"/>
      <c r="J12" s="6">
        <v>5.211156109498289E-2</v>
      </c>
    </row>
    <row r="13" spans="1:12" x14ac:dyDescent="0.3">
      <c r="E13" s="2" t="s">
        <v>13</v>
      </c>
      <c r="F13" s="6">
        <v>0</v>
      </c>
      <c r="G13" s="6"/>
      <c r="H13" s="6">
        <v>6.4616973527557714E-2</v>
      </c>
      <c r="I13" s="6"/>
      <c r="J13" s="6">
        <v>6.4616973527557714E-2</v>
      </c>
    </row>
    <row r="14" spans="1:12" x14ac:dyDescent="0.3">
      <c r="E14" s="2" t="s">
        <v>14</v>
      </c>
      <c r="F14" s="6">
        <v>0</v>
      </c>
      <c r="G14" s="6"/>
      <c r="H14" s="6">
        <v>7.7221078149618747E-2</v>
      </c>
      <c r="I14" s="6">
        <v>3.8225848040438776E-5</v>
      </c>
      <c r="J14" s="6">
        <v>7.7259303997659193E-2</v>
      </c>
    </row>
    <row r="15" spans="1:12" x14ac:dyDescent="0.3">
      <c r="E15" s="2" t="s">
        <v>21</v>
      </c>
      <c r="F15" s="6">
        <v>0</v>
      </c>
      <c r="G15" s="6"/>
      <c r="H15" s="6">
        <v>5.5408714242325463E-2</v>
      </c>
      <c r="I15" s="6"/>
      <c r="J15" s="6">
        <v>5.5408714242325463E-2</v>
      </c>
    </row>
    <row r="16" spans="1:12" x14ac:dyDescent="0.3">
      <c r="E16" s="2" t="s">
        <v>26</v>
      </c>
      <c r="F16" s="6"/>
      <c r="G16" s="6"/>
      <c r="H16" s="6">
        <v>4.838975352668199E-2</v>
      </c>
      <c r="I16" s="6">
        <v>1.5290339216175512E-5</v>
      </c>
      <c r="J16" s="6">
        <v>4.8405043865898167E-2</v>
      </c>
    </row>
    <row r="17" spans="5:10" x14ac:dyDescent="0.3">
      <c r="E17" s="2" t="s">
        <v>15</v>
      </c>
      <c r="F17" s="6">
        <v>0</v>
      </c>
      <c r="G17" s="6"/>
      <c r="H17" s="6">
        <v>0.12389205854531883</v>
      </c>
      <c r="I17" s="6">
        <v>5.6296248932282561E-5</v>
      </c>
      <c r="J17" s="6">
        <v>0.12394835479425111</v>
      </c>
    </row>
    <row r="18" spans="5:10" x14ac:dyDescent="0.3">
      <c r="E18" s="2" t="s">
        <v>27</v>
      </c>
      <c r="F18" s="6">
        <v>0</v>
      </c>
      <c r="G18" s="6"/>
      <c r="H18" s="6">
        <v>8.3827199706425493E-2</v>
      </c>
      <c r="I18" s="6">
        <v>4.5176002229609464E-5</v>
      </c>
      <c r="J18" s="6">
        <v>8.3872375708655092E-2</v>
      </c>
    </row>
    <row r="19" spans="5:10" x14ac:dyDescent="0.3">
      <c r="E19" s="2" t="s">
        <v>17</v>
      </c>
      <c r="F19" s="6">
        <v>0</v>
      </c>
      <c r="G19" s="6"/>
      <c r="H19" s="6">
        <v>3.6244359081106216E-2</v>
      </c>
      <c r="I19" s="6"/>
      <c r="J19" s="6">
        <v>3.6244359081106216E-2</v>
      </c>
    </row>
    <row r="20" spans="5:10" x14ac:dyDescent="0.3">
      <c r="E20" s="2" t="s">
        <v>22</v>
      </c>
      <c r="F20" s="6">
        <v>0</v>
      </c>
      <c r="G20" s="6">
        <v>1.9321428645894509E-4</v>
      </c>
      <c r="H20" s="6">
        <v>7.4476462260315249E-2</v>
      </c>
      <c r="I20" s="6"/>
      <c r="J20" s="6">
        <v>7.4669676546774186E-2</v>
      </c>
    </row>
    <row r="21" spans="5:10" x14ac:dyDescent="0.3">
      <c r="E21" s="2" t="s">
        <v>18</v>
      </c>
      <c r="F21" s="6">
        <v>0</v>
      </c>
      <c r="G21" s="6"/>
      <c r="H21" s="6">
        <v>8.6792135483525698E-2</v>
      </c>
      <c r="I21" s="6">
        <v>2.6410585918848608E-5</v>
      </c>
      <c r="J21" s="6">
        <v>8.6818546069444544E-2</v>
      </c>
    </row>
    <row r="22" spans="5:10" x14ac:dyDescent="0.3">
      <c r="E22" s="2" t="s">
        <v>23</v>
      </c>
      <c r="F22" s="6">
        <v>0</v>
      </c>
      <c r="G22" s="6"/>
      <c r="H22" s="6">
        <v>6.5277933190947837E-2</v>
      </c>
      <c r="I22" s="6"/>
      <c r="J22" s="6">
        <v>6.5277933190947837E-2</v>
      </c>
    </row>
    <row r="23" spans="5:10" x14ac:dyDescent="0.3">
      <c r="E23" s="2" t="s">
        <v>24</v>
      </c>
      <c r="F23" s="6">
        <v>0</v>
      </c>
      <c r="G23" s="6">
        <v>9.2854059967320372E-4</v>
      </c>
      <c r="H23" s="6">
        <v>9.9799349048558639E-2</v>
      </c>
      <c r="I23" s="6"/>
      <c r="J23" s="6">
        <v>0.10072788964823184</v>
      </c>
    </row>
    <row r="24" spans="5:10" x14ac:dyDescent="0.3">
      <c r="E24" s="2" t="s">
        <v>16</v>
      </c>
      <c r="F24" s="6">
        <v>0</v>
      </c>
      <c r="G24" s="6"/>
      <c r="H24" s="6">
        <v>2.1453735951132077E-2</v>
      </c>
      <c r="I24" s="6"/>
      <c r="J24" s="6">
        <v>2.1453735951132077E-2</v>
      </c>
    </row>
    <row r="25" spans="5:10" x14ac:dyDescent="0.3">
      <c r="E25" s="2" t="s">
        <v>25</v>
      </c>
      <c r="F25" s="6">
        <v>0</v>
      </c>
      <c r="G25" s="6"/>
      <c r="H25" s="6">
        <v>2.6507193062078081E-2</v>
      </c>
      <c r="I25" s="6">
        <v>5.6991264351199632E-5</v>
      </c>
      <c r="J25" s="6">
        <v>2.6564184326429281E-2</v>
      </c>
    </row>
    <row r="26" spans="5:10" x14ac:dyDescent="0.3">
      <c r="E26" s="2" t="s">
        <v>161</v>
      </c>
      <c r="F26" s="6">
        <v>0</v>
      </c>
      <c r="G26" s="6">
        <v>1.1217548861321488E-3</v>
      </c>
      <c r="H26" s="6">
        <v>0.99859120374585508</v>
      </c>
      <c r="I26" s="6">
        <v>2.8704136801274938E-4</v>
      </c>
      <c r="J26" s="6">
        <v>1</v>
      </c>
    </row>
    <row r="28" spans="5:10" x14ac:dyDescent="0.3">
      <c r="E28" s="1" t="s">
        <v>41</v>
      </c>
      <c r="F28" t="s" vm="1">
        <v>188</v>
      </c>
    </row>
    <row r="30" spans="5:10" x14ac:dyDescent="0.3">
      <c r="E30" s="1" t="s">
        <v>171</v>
      </c>
      <c r="F30" s="1" t="s">
        <v>42</v>
      </c>
    </row>
    <row r="31" spans="5:10" x14ac:dyDescent="0.3">
      <c r="E31" s="1" t="s">
        <v>29</v>
      </c>
      <c r="F31" t="s">
        <v>32</v>
      </c>
      <c r="G31" t="s">
        <v>56</v>
      </c>
      <c r="H31" t="s">
        <v>50</v>
      </c>
      <c r="I31" t="s">
        <v>55</v>
      </c>
    </row>
    <row r="32" spans="5:10" x14ac:dyDescent="0.3">
      <c r="E32" s="2" t="s">
        <v>4</v>
      </c>
      <c r="F32" s="6">
        <v>0</v>
      </c>
      <c r="G32" s="6"/>
      <c r="H32" s="6">
        <v>2.5020555081014471E-4</v>
      </c>
      <c r="I32" s="6">
        <v>2.6410585918848608E-5</v>
      </c>
    </row>
    <row r="33" spans="1:12" x14ac:dyDescent="0.3">
      <c r="E33" s="2" t="s">
        <v>5</v>
      </c>
      <c r="F33" s="6"/>
      <c r="G33" s="6">
        <v>1.1217548861321488E-3</v>
      </c>
      <c r="H33" s="6">
        <v>0.15707834978318994</v>
      </c>
      <c r="I33" s="6">
        <v>1.0564234367539443E-4</v>
      </c>
    </row>
    <row r="34" spans="1:12" x14ac:dyDescent="0.3">
      <c r="A34" s="1" t="s">
        <v>42</v>
      </c>
      <c r="B34" t="s">
        <v>171</v>
      </c>
      <c r="E34" s="2" t="s">
        <v>6</v>
      </c>
      <c r="F34" s="6">
        <v>0</v>
      </c>
      <c r="G34" s="6"/>
      <c r="H34" s="6">
        <v>1.057674464507995E-2</v>
      </c>
      <c r="I34" s="6">
        <v>5.3516187256614288E-5</v>
      </c>
      <c r="K34" s="1" t="s">
        <v>41</v>
      </c>
      <c r="L34" t="s" vm="2">
        <v>49</v>
      </c>
    </row>
    <row r="35" spans="1:12" x14ac:dyDescent="0.3">
      <c r="A35" s="2" t="s">
        <v>50</v>
      </c>
      <c r="B35" s="6">
        <v>0.99859120374585508</v>
      </c>
      <c r="E35" s="2" t="s">
        <v>7</v>
      </c>
      <c r="F35" s="6"/>
      <c r="G35" s="6"/>
      <c r="H35" s="6">
        <v>0.7414612143170396</v>
      </c>
      <c r="I35" s="6"/>
    </row>
    <row r="36" spans="1:12" x14ac:dyDescent="0.3">
      <c r="A36" s="2" t="s">
        <v>56</v>
      </c>
      <c r="B36" s="6">
        <v>1.1217548861321488E-3</v>
      </c>
      <c r="E36" s="2" t="s">
        <v>8</v>
      </c>
      <c r="F36" s="6"/>
      <c r="G36" s="6"/>
      <c r="H36" s="6">
        <v>2.488155199723106E-2</v>
      </c>
      <c r="I36" s="6">
        <v>1.0147225116189203E-4</v>
      </c>
      <c r="K36" s="1" t="s">
        <v>174</v>
      </c>
      <c r="L36" t="s">
        <v>170</v>
      </c>
    </row>
    <row r="37" spans="1:12" x14ac:dyDescent="0.3">
      <c r="A37" s="2" t="s">
        <v>55</v>
      </c>
      <c r="B37" s="6">
        <v>2.8704136801274938E-4</v>
      </c>
      <c r="E37" s="2" t="s">
        <v>9</v>
      </c>
      <c r="F37" s="6"/>
      <c r="G37" s="6"/>
      <c r="H37" s="6">
        <v>6.434313745250439E-2</v>
      </c>
      <c r="I37" s="6"/>
      <c r="K37" s="2" t="s">
        <v>15</v>
      </c>
      <c r="L37" s="44">
        <v>178258</v>
      </c>
    </row>
    <row r="38" spans="1:12" x14ac:dyDescent="0.3">
      <c r="A38" s="2" t="s">
        <v>32</v>
      </c>
      <c r="B38" s="6">
        <v>0</v>
      </c>
      <c r="E38" s="2" t="s">
        <v>161</v>
      </c>
      <c r="F38" s="6">
        <v>0</v>
      </c>
      <c r="G38" s="6">
        <v>1.1217548861321488E-3</v>
      </c>
      <c r="H38" s="6">
        <v>0.99859120374585508</v>
      </c>
      <c r="I38" s="6">
        <v>2.8704136801274938E-4</v>
      </c>
      <c r="K38" s="2" t="s">
        <v>24</v>
      </c>
      <c r="L38" s="44">
        <v>144929</v>
      </c>
    </row>
    <row r="39" spans="1:12" x14ac:dyDescent="0.3">
      <c r="A39" s="2" t="s">
        <v>161</v>
      </c>
      <c r="B39" s="6">
        <v>1</v>
      </c>
      <c r="K39" s="2" t="s">
        <v>18</v>
      </c>
      <c r="L39" s="44">
        <v>124878</v>
      </c>
    </row>
    <row r="40" spans="1:12" x14ac:dyDescent="0.3">
      <c r="K40" s="2" t="s">
        <v>27</v>
      </c>
      <c r="L40" s="44">
        <v>120612</v>
      </c>
    </row>
    <row r="41" spans="1:12" x14ac:dyDescent="0.3">
      <c r="K41" s="2" t="s">
        <v>14</v>
      </c>
      <c r="L41" s="44">
        <v>111107</v>
      </c>
    </row>
    <row r="42" spans="1:12" x14ac:dyDescent="0.3">
      <c r="K42" s="2" t="s">
        <v>22</v>
      </c>
      <c r="L42" s="44">
        <v>107436</v>
      </c>
    </row>
    <row r="43" spans="1:12" x14ac:dyDescent="0.3">
      <c r="K43" s="2" t="s">
        <v>10</v>
      </c>
      <c r="L43" s="44">
        <v>102188</v>
      </c>
    </row>
    <row r="44" spans="1:12" x14ac:dyDescent="0.3">
      <c r="K44" s="2" t="s">
        <v>23</v>
      </c>
      <c r="L44" s="44">
        <v>93839</v>
      </c>
    </row>
    <row r="45" spans="1:12" x14ac:dyDescent="0.3">
      <c r="K45" s="2" t="s">
        <v>13</v>
      </c>
      <c r="L45" s="44">
        <v>92972</v>
      </c>
    </row>
    <row r="46" spans="1:12" x14ac:dyDescent="0.3">
      <c r="K46" s="2" t="s">
        <v>21</v>
      </c>
      <c r="L46" s="44">
        <v>79723</v>
      </c>
    </row>
    <row r="47" spans="1:12" x14ac:dyDescent="0.3">
      <c r="K47" s="2" t="s">
        <v>20</v>
      </c>
      <c r="L47" s="44">
        <v>74979</v>
      </c>
    </row>
    <row r="48" spans="1:12" x14ac:dyDescent="0.3">
      <c r="K48" s="2" t="s">
        <v>26</v>
      </c>
      <c r="L48" s="44">
        <v>69624</v>
      </c>
    </row>
    <row r="49" spans="11:12" x14ac:dyDescent="0.3">
      <c r="K49" s="2" t="s">
        <v>17</v>
      </c>
      <c r="L49" s="44">
        <v>52149</v>
      </c>
    </row>
    <row r="50" spans="11:12" x14ac:dyDescent="0.3">
      <c r="K50" s="2" t="s">
        <v>25</v>
      </c>
      <c r="L50" s="44">
        <v>38139</v>
      </c>
    </row>
    <row r="51" spans="11:12" x14ac:dyDescent="0.3">
      <c r="K51" s="2" t="s">
        <v>16</v>
      </c>
      <c r="L51" s="44">
        <v>30868</v>
      </c>
    </row>
    <row r="52" spans="11:12" x14ac:dyDescent="0.3">
      <c r="K52" s="2" t="s">
        <v>19</v>
      </c>
      <c r="L52" s="44">
        <v>16526</v>
      </c>
    </row>
    <row r="53" spans="11:12" ht="14.4" customHeight="1" x14ac:dyDescent="0.3">
      <c r="K53" s="2" t="s">
        <v>161</v>
      </c>
      <c r="L53" s="44">
        <v>1438227</v>
      </c>
    </row>
  </sheetData>
  <sortState xmlns:xlrd2="http://schemas.microsoft.com/office/spreadsheetml/2017/richdata2" ref="A6:C11">
    <sortCondition descending="1" ref="C6"/>
  </sortState>
  <mergeCells count="1">
    <mergeCell ref="A1:L1"/>
  </mergeCells>
  <pageMargins left="0.7" right="0.7" top="0.75" bottom="0.75" header="0.3" footer="0.3"/>
  <pageSetup orientation="portrait" r:id="rId9"/>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43A91-D603-4415-BEEB-E306C8E7A6E9}">
  <sheetPr codeName="Sheet8">
    <pageSetUpPr fitToPage="1"/>
  </sheetPr>
  <dimension ref="A1:I13"/>
  <sheetViews>
    <sheetView showGridLines="0" view="pageBreakPreview" zoomScale="75" zoomScaleNormal="80" workbookViewId="0">
      <pane ySplit="1" topLeftCell="A2" activePane="bottomLeft" state="frozen"/>
      <selection pane="bottomLeft" activeCell="K25" sqref="K25"/>
    </sheetView>
  </sheetViews>
  <sheetFormatPr defaultRowHeight="14.4" x14ac:dyDescent="0.3"/>
  <cols>
    <col min="1" max="1" width="14.21875" bestFit="1" customWidth="1"/>
    <col min="2" max="2" width="19.21875" bestFit="1" customWidth="1"/>
    <col min="3" max="3" width="22.88671875" bestFit="1" customWidth="1"/>
    <col min="7" max="7" width="29.109375" bestFit="1" customWidth="1"/>
  </cols>
  <sheetData>
    <row r="1" spans="1:9" ht="39.6" thickBot="1" x14ac:dyDescent="0.8">
      <c r="A1" s="30" t="s">
        <v>179</v>
      </c>
      <c r="B1" s="30"/>
      <c r="C1" s="30"/>
      <c r="D1" s="30"/>
      <c r="E1" s="30"/>
      <c r="F1" s="30"/>
      <c r="G1" s="30"/>
      <c r="H1" s="27"/>
      <c r="I1" s="25"/>
    </row>
    <row r="2" spans="1:9" ht="18.600000000000001" thickBot="1" x14ac:dyDescent="0.4">
      <c r="G2" s="16" t="s">
        <v>226</v>
      </c>
    </row>
    <row r="3" spans="1:9" ht="18.600000000000001" thickBot="1" x14ac:dyDescent="0.4">
      <c r="G3" s="28">
        <v>0.99441555110900137</v>
      </c>
    </row>
    <row r="4" spans="1:9" x14ac:dyDescent="0.3">
      <c r="A4" s="1" t="s">
        <v>41</v>
      </c>
      <c r="B4" t="s" vm="1">
        <v>188</v>
      </c>
    </row>
    <row r="6" spans="1:9" x14ac:dyDescent="0.3">
      <c r="A6" s="1" t="s">
        <v>29</v>
      </c>
      <c r="B6" t="s">
        <v>177</v>
      </c>
      <c r="C6" t="s">
        <v>178</v>
      </c>
    </row>
    <row r="7" spans="1:9" x14ac:dyDescent="0.3">
      <c r="A7" s="2" t="s">
        <v>5</v>
      </c>
      <c r="B7" s="6">
        <v>0.9917125971351558</v>
      </c>
      <c r="C7" s="6">
        <v>1.1705740795259253E-2</v>
      </c>
    </row>
    <row r="8" spans="1:9" x14ac:dyDescent="0.3">
      <c r="A8" s="2" t="s">
        <v>4</v>
      </c>
      <c r="B8" s="6">
        <v>0.98940867853714554</v>
      </c>
      <c r="C8" s="6">
        <v>6.9403765147453018E-3</v>
      </c>
    </row>
    <row r="9" spans="1:9" x14ac:dyDescent="0.3">
      <c r="A9" s="2" t="s">
        <v>8</v>
      </c>
      <c r="B9" s="6">
        <v>0.9952421167097254</v>
      </c>
      <c r="C9" s="6">
        <v>3.8326406828721607E-3</v>
      </c>
    </row>
    <row r="10" spans="1:9" x14ac:dyDescent="0.3">
      <c r="A10" s="2" t="s">
        <v>6</v>
      </c>
      <c r="B10" s="6">
        <v>0.99679815649960857</v>
      </c>
      <c r="C10" s="6">
        <v>3.4256764827206034E-3</v>
      </c>
    </row>
    <row r="11" spans="1:9" x14ac:dyDescent="0.3">
      <c r="A11" s="2" t="s">
        <v>7</v>
      </c>
      <c r="B11" s="6">
        <v>0.99495995267478055</v>
      </c>
      <c r="C11" s="6">
        <v>2.8243212994156944E-3</v>
      </c>
    </row>
    <row r="12" spans="1:9" x14ac:dyDescent="0.3">
      <c r="A12" s="2" t="s">
        <v>9</v>
      </c>
      <c r="B12" s="6">
        <v>0.99817563206612459</v>
      </c>
      <c r="C12" s="6">
        <v>8.9576975384579995E-4</v>
      </c>
    </row>
    <row r="13" spans="1:9" x14ac:dyDescent="0.3">
      <c r="A13" s="2" t="s">
        <v>161</v>
      </c>
      <c r="B13" s="6">
        <v>0.99486308689890302</v>
      </c>
      <c r="C13" s="6">
        <v>6.6872858966404115E-3</v>
      </c>
    </row>
  </sheetData>
  <mergeCells count="1">
    <mergeCell ref="A1:G1"/>
  </mergeCells>
  <pageMargins left="0.7" right="0.7" top="0.75" bottom="0.75" header="0.3" footer="0.3"/>
  <pageSetup orientation="landscape"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53B8-807B-4165-8FD7-D187981268D6}">
  <sheetPr codeName="Sheet9">
    <pageSetUpPr fitToPage="1"/>
  </sheetPr>
  <dimension ref="A1:J4"/>
  <sheetViews>
    <sheetView view="pageBreakPreview" zoomScale="57" zoomScaleNormal="69" workbookViewId="0">
      <pane ySplit="1" topLeftCell="A2" activePane="bottomLeft" state="frozen"/>
      <selection pane="bottomLeft" activeCell="J4" sqref="J4"/>
    </sheetView>
  </sheetViews>
  <sheetFormatPr defaultRowHeight="14.4" x14ac:dyDescent="0.3"/>
  <cols>
    <col min="1" max="1" width="26.5546875" bestFit="1" customWidth="1"/>
    <col min="4" max="4" width="17" bestFit="1" customWidth="1"/>
    <col min="7" max="7" width="34.6640625" bestFit="1" customWidth="1"/>
    <col min="10" max="10" width="18.77734375" bestFit="1" customWidth="1"/>
  </cols>
  <sheetData>
    <row r="1" spans="1:10" s="9" customFormat="1" ht="39" x14ac:dyDescent="0.75">
      <c r="A1" s="29" t="s">
        <v>180</v>
      </c>
      <c r="B1" s="29"/>
      <c r="C1" s="29"/>
      <c r="D1" s="29"/>
      <c r="E1" s="29"/>
      <c r="F1" s="29"/>
      <c r="G1" s="29"/>
      <c r="H1" s="29"/>
      <c r="I1" s="29"/>
      <c r="J1" s="29"/>
    </row>
    <row r="2" spans="1:10" ht="15" thickBot="1" x14ac:dyDescent="0.35"/>
    <row r="3" spans="1:10" ht="18.600000000000001" thickBot="1" x14ac:dyDescent="0.4">
      <c r="A3" s="13" t="s">
        <v>182</v>
      </c>
      <c r="D3" s="13" t="s">
        <v>181</v>
      </c>
      <c r="G3" s="13" t="s">
        <v>187</v>
      </c>
      <c r="J3" s="13" t="s">
        <v>168</v>
      </c>
    </row>
    <row r="4" spans="1:10" ht="18.600000000000001" thickBot="1" x14ac:dyDescent="0.4">
      <c r="A4" s="21">
        <v>0.99958994090283892</v>
      </c>
      <c r="D4" s="14">
        <v>1</v>
      </c>
      <c r="G4" s="24">
        <v>1.4087962541448982E-3</v>
      </c>
      <c r="J4" s="13">
        <v>22</v>
      </c>
    </row>
  </sheetData>
  <mergeCells count="1">
    <mergeCell ref="A1:J1"/>
  </mergeCells>
  <pageMargins left="0.7" right="0.7" top="0.75" bottom="0.75" header="0.3" footer="0.3"/>
  <pageSetup scale="79" orientation="landscape" r:id="rId5"/>
  <drawing r:id="rId6"/>
  <extLst>
    <ext xmlns:x14="http://schemas.microsoft.com/office/spreadsheetml/2009/9/main" uri="{A8765BA9-456A-4dab-B4F3-ACF838C121DE}">
      <x14:slicerList>
        <x14:slicer r:id="rId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5480-0ED9-4A14-A528-62E40C768EB0}">
  <sheetPr codeName="Sheet10"/>
  <dimension ref="A1:N47"/>
  <sheetViews>
    <sheetView showGridLines="0" view="pageBreakPreview" zoomScale="50" zoomScaleNormal="30" workbookViewId="0">
      <pane ySplit="1" topLeftCell="A12" activePane="bottomLeft" state="frozen"/>
      <selection pane="bottomLeft" activeCell="O19" sqref="O19"/>
    </sheetView>
  </sheetViews>
  <sheetFormatPr defaultRowHeight="14.4" x14ac:dyDescent="0.3"/>
  <cols>
    <col min="1" max="1" width="21.88671875" bestFit="1" customWidth="1"/>
    <col min="6" max="6" width="28.21875" bestFit="1" customWidth="1"/>
    <col min="7" max="7" width="11.88671875" bestFit="1" customWidth="1"/>
    <col min="9" max="9" width="13.6640625" customWidth="1"/>
    <col min="11" max="11" width="13.6640625" customWidth="1"/>
    <col min="13" max="13" width="33.21875" bestFit="1" customWidth="1"/>
    <col min="14" max="14" width="17" bestFit="1" customWidth="1"/>
  </cols>
  <sheetData>
    <row r="1" spans="1:14" ht="39" x14ac:dyDescent="0.75">
      <c r="A1" s="30" t="s">
        <v>189</v>
      </c>
      <c r="B1" s="30"/>
      <c r="C1" s="30"/>
      <c r="D1" s="30"/>
      <c r="E1" s="30"/>
      <c r="F1" s="30"/>
      <c r="G1" s="30"/>
      <c r="H1" s="30"/>
      <c r="I1" s="30"/>
      <c r="J1" s="30"/>
      <c r="K1" s="30"/>
      <c r="L1" s="30"/>
      <c r="M1" s="30"/>
      <c r="N1" s="30"/>
    </row>
    <row r="3" spans="1:14" ht="25.8" x14ac:dyDescent="0.5">
      <c r="A3" s="43" t="s">
        <v>190</v>
      </c>
      <c r="B3" s="43"/>
      <c r="C3" s="43"/>
      <c r="D3" s="43"/>
      <c r="E3" s="43"/>
      <c r="F3" s="43"/>
      <c r="G3" s="43"/>
      <c r="H3" s="43"/>
      <c r="I3" s="43"/>
      <c r="J3" s="43"/>
      <c r="K3" s="43"/>
      <c r="L3" s="43"/>
      <c r="M3" s="43"/>
      <c r="N3" s="43"/>
    </row>
    <row r="21" spans="1:14" ht="25.8" x14ac:dyDescent="0.5">
      <c r="A21" s="43" t="s">
        <v>191</v>
      </c>
      <c r="B21" s="43"/>
      <c r="C21" s="43"/>
      <c r="D21" s="43"/>
      <c r="E21" s="43"/>
      <c r="F21" s="43"/>
      <c r="G21" s="43"/>
      <c r="H21" s="43" t="s">
        <v>212</v>
      </c>
      <c r="I21" s="43"/>
      <c r="J21" s="43"/>
      <c r="K21" s="43"/>
      <c r="L21" s="43"/>
      <c r="M21" s="43"/>
      <c r="N21" s="43"/>
    </row>
    <row r="22" spans="1:14" ht="18" x14ac:dyDescent="0.35">
      <c r="F22" s="19" t="s">
        <v>192</v>
      </c>
      <c r="G22" s="19" t="s">
        <v>193</v>
      </c>
      <c r="M22" s="18" t="s">
        <v>192</v>
      </c>
      <c r="N22" s="18" t="s">
        <v>193</v>
      </c>
    </row>
    <row r="23" spans="1:14" ht="18" x14ac:dyDescent="0.35">
      <c r="F23" s="18" t="s">
        <v>194</v>
      </c>
      <c r="G23" s="18">
        <f>_xlfn.MINIFS(_02_FACT_APPEARANCE[Registered],_02_FACT_APPEARANCE[Registered], "&gt;0")</f>
        <v>22</v>
      </c>
      <c r="M23" s="18" t="s">
        <v>202</v>
      </c>
      <c r="N23" s="18">
        <f>ROWS(_02_FACT_APPEARANCE[appearance_rate])</f>
        <v>96</v>
      </c>
    </row>
    <row r="24" spans="1:14" ht="18" x14ac:dyDescent="0.35">
      <c r="F24" s="18" t="s">
        <v>195</v>
      </c>
      <c r="G24" s="18" cm="1">
        <f t="array" ref="G24">_xlfn.PERCENTILE.INC(_xlfn._xlws.FILTER(_02_FACT_APPEARANCE[Registered], _02_FACT_APPEARANCE[Registered]&gt;0), 0.25)</f>
        <v>1385.75</v>
      </c>
      <c r="M24" s="18" t="s">
        <v>203</v>
      </c>
      <c r="N24" s="18">
        <f>COUNT(_02_FACT_APPEARANCE[appearance_rate])</f>
        <v>74</v>
      </c>
    </row>
    <row r="25" spans="1:14" ht="18" x14ac:dyDescent="0.35">
      <c r="F25" s="18" t="s">
        <v>196</v>
      </c>
      <c r="G25" s="18" cm="1">
        <f t="array" ref="G25">MEDIAN(_xlfn._xlws.FILTER(_02_FACT_APPEARANCE[Registered], _02_FACT_APPEARANCE[Registered]&gt;0))</f>
        <v>4067.5</v>
      </c>
      <c r="M25" s="18" t="s">
        <v>204</v>
      </c>
      <c r="N25" s="18">
        <f>COUNTBLANK(_02_FACT_APPEARANCE[appearance_rate])</f>
        <v>22</v>
      </c>
    </row>
    <row r="26" spans="1:14" ht="18" x14ac:dyDescent="0.35">
      <c r="F26" s="18" t="s">
        <v>197</v>
      </c>
      <c r="G26" s="18">
        <f>COUNTIFS(_02_FACT_APPEARANCE[Registered], "&gt;0", _02_FACT_APPEARANCE[Registered], "&lt;30")</f>
        <v>1</v>
      </c>
      <c r="M26" s="18" t="s">
        <v>205</v>
      </c>
      <c r="N26" s="18">
        <f>COUNTIF(_02_FACT_APPEARANCE[appearance_rate], "&lt;0.95")</f>
        <v>0</v>
      </c>
    </row>
    <row r="27" spans="1:14" ht="18" x14ac:dyDescent="0.35">
      <c r="F27" s="18" t="s">
        <v>198</v>
      </c>
      <c r="G27" s="18">
        <f>COUNTIFS(_02_FACT_APPEARANCE[Registered], "&gt;0", _02_FACT_APPEARANCE[Registered], "&lt;50")</f>
        <v>2</v>
      </c>
      <c r="M27" s="18" t="s">
        <v>206</v>
      </c>
      <c r="N27" s="18">
        <f>COUNTIF(_02_FACT_APPEARANCE[appearance_rate], "&lt;0.96")</f>
        <v>1</v>
      </c>
    </row>
    <row r="28" spans="1:14" ht="18" x14ac:dyDescent="0.35">
      <c r="F28" s="18" t="s">
        <v>199</v>
      </c>
      <c r="G28" s="18">
        <f>COUNTIFS(_02_FACT_APPEARANCE[Registered], "&gt;0", _02_FACT_APPEARANCE[Registered], "&lt;100")</f>
        <v>9</v>
      </c>
      <c r="M28" s="18" t="s">
        <v>207</v>
      </c>
      <c r="N28" s="18">
        <f>COUNTIF(_02_FACT_APPEARANCE[appearance_rate], "&lt;0.98")</f>
        <v>2</v>
      </c>
    </row>
    <row r="29" spans="1:14" ht="18" x14ac:dyDescent="0.35">
      <c r="F29" s="18" t="s">
        <v>200</v>
      </c>
      <c r="G29" s="18">
        <f>COUNTIFS(_02_FACT_APPEARANCE[Registered], "&gt;0", _02_FACT_APPEARANCE[Registered], "&lt;1000")</f>
        <v>16</v>
      </c>
      <c r="M29" s="18" t="s">
        <v>208</v>
      </c>
      <c r="N29" s="18">
        <f>COUNTIF(_02_FACT_APPEARANCE[appearance_rate], "&lt;0.985")</f>
        <v>3</v>
      </c>
    </row>
    <row r="30" spans="1:14" ht="18" x14ac:dyDescent="0.35">
      <c r="F30" s="18" t="s">
        <v>201</v>
      </c>
      <c r="G30" s="18">
        <f>COUNTIF(_02_FACT_APPEARANCE[Registered], "&gt;0")</f>
        <v>74</v>
      </c>
      <c r="M30" s="18" t="s">
        <v>209</v>
      </c>
      <c r="N30" s="18">
        <f>COUNTIF(_02_FACT_APPEARANCE[appearance_rate], "&lt;0.99")</f>
        <v>11</v>
      </c>
    </row>
    <row r="31" spans="1:14" ht="18" x14ac:dyDescent="0.35">
      <c r="F31" s="18" t="s">
        <v>202</v>
      </c>
      <c r="G31" s="18">
        <f>COUNT(_02_FACT_APPEARANCE[Registered])</f>
        <v>96</v>
      </c>
      <c r="M31" s="18" t="s">
        <v>210</v>
      </c>
      <c r="N31" s="26" cm="1">
        <f t="array" ref="N31">_xlfn.PERCENTILE.INC(_xlfn._xlws.FILTER(_02_FACT_APPEARANCE[appearance_rate], _02_FACT_APPEARANCE[appearance_rate] &lt;&gt; ""), 0.25)</f>
        <v>0.99344724122732919</v>
      </c>
    </row>
    <row r="32" spans="1:14" ht="18" x14ac:dyDescent="0.35">
      <c r="M32" s="18" t="s">
        <v>211</v>
      </c>
      <c r="N32" s="26" cm="1">
        <f t="array" ref="N32">MEDIAN(_xlfn._xlws.FILTER(_02_FACT_APPEARANCE[appearance_rate], _02_FACT_APPEARANCE[appearance_rate] &lt;&gt; ""))</f>
        <v>0.99700623733004901</v>
      </c>
    </row>
    <row r="42" spans="1:14" ht="26.4" thickBot="1" x14ac:dyDescent="0.55000000000000004">
      <c r="A42" s="43" t="s">
        <v>213</v>
      </c>
      <c r="B42" s="43"/>
      <c r="C42" s="43"/>
      <c r="D42" s="43"/>
      <c r="E42" s="43"/>
      <c r="F42" s="43"/>
      <c r="G42" s="43"/>
      <c r="H42" s="43" t="s">
        <v>214</v>
      </c>
      <c r="I42" s="43"/>
      <c r="J42" s="43"/>
      <c r="K42" s="43"/>
      <c r="L42" s="43"/>
      <c r="M42" s="43"/>
      <c r="N42" s="43"/>
    </row>
    <row r="43" spans="1:14" ht="21.6" thickBot="1" x14ac:dyDescent="0.45">
      <c r="H43" s="39" t="s">
        <v>215</v>
      </c>
      <c r="I43" s="32"/>
      <c r="J43" s="39" t="s">
        <v>216</v>
      </c>
      <c r="K43" s="32"/>
      <c r="L43" s="31" t="s">
        <v>217</v>
      </c>
      <c r="M43" s="31"/>
      <c r="N43" s="32"/>
    </row>
    <row r="44" spans="1:14" ht="21" x14ac:dyDescent="0.4">
      <c r="H44" s="40" t="s">
        <v>53</v>
      </c>
      <c r="I44" s="34"/>
      <c r="J44" s="40" t="s">
        <v>219</v>
      </c>
      <c r="K44" s="34"/>
      <c r="L44" s="33" t="s">
        <v>222</v>
      </c>
      <c r="M44" s="33"/>
      <c r="N44" s="34"/>
    </row>
    <row r="45" spans="1:14" ht="21" x14ac:dyDescent="0.4">
      <c r="H45" s="41" t="s">
        <v>56</v>
      </c>
      <c r="I45" s="36"/>
      <c r="J45" s="41" t="s">
        <v>219</v>
      </c>
      <c r="K45" s="36"/>
      <c r="L45" s="35" t="s">
        <v>223</v>
      </c>
      <c r="M45" s="35"/>
      <c r="N45" s="36"/>
    </row>
    <row r="46" spans="1:14" ht="21" x14ac:dyDescent="0.4">
      <c r="H46" s="41" t="s">
        <v>171</v>
      </c>
      <c r="I46" s="36"/>
      <c r="J46" s="41" t="s">
        <v>220</v>
      </c>
      <c r="K46" s="36"/>
      <c r="L46" s="35" t="s">
        <v>224</v>
      </c>
      <c r="M46" s="35"/>
      <c r="N46" s="36"/>
    </row>
    <row r="47" spans="1:14" ht="21.6" thickBot="1" x14ac:dyDescent="0.45">
      <c r="H47" s="42" t="s">
        <v>218</v>
      </c>
      <c r="I47" s="38"/>
      <c r="J47" s="42" t="s">
        <v>221</v>
      </c>
      <c r="K47" s="38"/>
      <c r="L47" s="37" t="s">
        <v>225</v>
      </c>
      <c r="M47" s="37"/>
      <c r="N47" s="38"/>
    </row>
  </sheetData>
  <mergeCells count="21">
    <mergeCell ref="A1:N1"/>
    <mergeCell ref="A3:N3"/>
    <mergeCell ref="A21:G21"/>
    <mergeCell ref="H21:N21"/>
    <mergeCell ref="A42:G42"/>
    <mergeCell ref="H42:N42"/>
    <mergeCell ref="J43:K43"/>
    <mergeCell ref="J44:K44"/>
    <mergeCell ref="J45:K45"/>
    <mergeCell ref="J46:K46"/>
    <mergeCell ref="J47:K47"/>
    <mergeCell ref="H43:I43"/>
    <mergeCell ref="H44:I44"/>
    <mergeCell ref="H45:I45"/>
    <mergeCell ref="H46:I46"/>
    <mergeCell ref="H47:I47"/>
    <mergeCell ref="L43:N43"/>
    <mergeCell ref="L44:N44"/>
    <mergeCell ref="L45:N45"/>
    <mergeCell ref="L46:N46"/>
    <mergeCell ref="L47:N47"/>
  </mergeCells>
  <phoneticPr fontId="18" type="noConversion"/>
  <pageMargins left="0.7" right="0.7" top="0.75" bottom="0.75" header="0.3" footer="0.3"/>
  <pageSetup orientation="portrait" r:id="rId1"/>
  <ignoredErrors>
    <ignoredError sqref="G24:G31" calculatedColumn="1"/>
  </ignoredErrors>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1152-0363-4FE9-A89B-7732B9E404E6}">
  <sheetPr codeName="Sheet11"/>
  <dimension ref="A1:I97"/>
  <sheetViews>
    <sheetView topLeftCell="C1" workbookViewId="0">
      <selection activeCell="F88" sqref="F88"/>
    </sheetView>
  </sheetViews>
  <sheetFormatPr defaultRowHeight="14.4" x14ac:dyDescent="0.3"/>
  <cols>
    <col min="1" max="1" width="7.77734375" bestFit="1" customWidth="1"/>
    <col min="2" max="2" width="6.88671875" bestFit="1" customWidth="1"/>
    <col min="3" max="3" width="12" bestFit="1" customWidth="1"/>
    <col min="4" max="4" width="13.109375" bestFit="1" customWidth="1"/>
    <col min="5" max="5" width="12.109375" bestFit="1" customWidth="1"/>
    <col min="6" max="6" width="11.33203125" bestFit="1" customWidth="1"/>
    <col min="7" max="7" width="17.33203125" bestFit="1" customWidth="1"/>
    <col min="8" max="8" width="14.33203125" bestFit="1" customWidth="1"/>
    <col min="9" max="9" width="14" bestFit="1" customWidth="1"/>
    <col min="10" max="10" width="17.44140625" bestFit="1" customWidth="1"/>
    <col min="11" max="11" width="14.5546875" bestFit="1" customWidth="1"/>
    <col min="12" max="12" width="14.109375" bestFit="1" customWidth="1"/>
    <col min="13" max="13" width="11" bestFit="1" customWidth="1"/>
    <col min="14" max="14" width="13.21875" bestFit="1" customWidth="1"/>
    <col min="15" max="15" width="12.77734375" bestFit="1" customWidth="1"/>
  </cols>
  <sheetData>
    <row r="1" spans="1:9" x14ac:dyDescent="0.3">
      <c r="A1" t="s">
        <v>0</v>
      </c>
      <c r="B1" t="s">
        <v>1</v>
      </c>
      <c r="C1" t="s">
        <v>28</v>
      </c>
      <c r="D1" t="s">
        <v>29</v>
      </c>
      <c r="E1" t="s">
        <v>30</v>
      </c>
      <c r="F1" t="s">
        <v>31</v>
      </c>
      <c r="G1" t="s">
        <v>37</v>
      </c>
      <c r="H1" t="s">
        <v>38</v>
      </c>
      <c r="I1" t="s">
        <v>39</v>
      </c>
    </row>
    <row r="2" spans="1:9" x14ac:dyDescent="0.3">
      <c r="A2">
        <v>12</v>
      </c>
      <c r="B2">
        <v>2022</v>
      </c>
      <c r="C2" t="s">
        <v>10</v>
      </c>
      <c r="D2" t="s">
        <v>4</v>
      </c>
      <c r="E2">
        <v>0</v>
      </c>
      <c r="F2">
        <v>0</v>
      </c>
      <c r="I2" t="s">
        <v>32</v>
      </c>
    </row>
    <row r="3" spans="1:9" x14ac:dyDescent="0.3">
      <c r="A3">
        <v>12</v>
      </c>
      <c r="B3">
        <v>2022</v>
      </c>
      <c r="C3" t="s">
        <v>10</v>
      </c>
      <c r="D3" t="s">
        <v>5</v>
      </c>
      <c r="E3">
        <v>4533</v>
      </c>
      <c r="F3">
        <v>4524</v>
      </c>
      <c r="G3">
        <v>0.99801455989410981</v>
      </c>
      <c r="H3">
        <v>1.9854401058901905E-3</v>
      </c>
    </row>
    <row r="4" spans="1:9" x14ac:dyDescent="0.3">
      <c r="A4">
        <v>12</v>
      </c>
      <c r="B4">
        <v>2022</v>
      </c>
      <c r="C4" t="s">
        <v>10</v>
      </c>
      <c r="D4" t="s">
        <v>6</v>
      </c>
      <c r="E4">
        <v>0</v>
      </c>
      <c r="F4">
        <v>0</v>
      </c>
      <c r="I4" t="s">
        <v>32</v>
      </c>
    </row>
    <row r="5" spans="1:9" x14ac:dyDescent="0.3">
      <c r="A5">
        <v>12</v>
      </c>
      <c r="B5">
        <v>2022</v>
      </c>
      <c r="C5" t="s">
        <v>10</v>
      </c>
      <c r="D5" t="s">
        <v>7</v>
      </c>
      <c r="E5">
        <v>86178</v>
      </c>
      <c r="F5">
        <v>85839</v>
      </c>
      <c r="G5">
        <v>0.99606628141753117</v>
      </c>
      <c r="H5">
        <v>3.9337185824688259E-3</v>
      </c>
    </row>
    <row r="6" spans="1:9" x14ac:dyDescent="0.3">
      <c r="A6">
        <v>12</v>
      </c>
      <c r="B6">
        <v>2022</v>
      </c>
      <c r="C6" t="s">
        <v>10</v>
      </c>
      <c r="D6" t="s">
        <v>8</v>
      </c>
      <c r="E6">
        <v>3741</v>
      </c>
      <c r="F6">
        <v>3730</v>
      </c>
      <c r="G6">
        <v>0.99705960973001873</v>
      </c>
      <c r="H6">
        <v>2.9403902699812745E-3</v>
      </c>
    </row>
    <row r="7" spans="1:9" x14ac:dyDescent="0.3">
      <c r="A7">
        <v>12</v>
      </c>
      <c r="B7">
        <v>2022</v>
      </c>
      <c r="C7" t="s">
        <v>10</v>
      </c>
      <c r="D7" t="s">
        <v>9</v>
      </c>
      <c r="E7">
        <v>7736</v>
      </c>
      <c r="F7">
        <v>7725</v>
      </c>
      <c r="G7">
        <v>0.99857807652533614</v>
      </c>
      <c r="H7">
        <v>1.4219234746638554E-3</v>
      </c>
    </row>
    <row r="8" spans="1:9" x14ac:dyDescent="0.3">
      <c r="A8">
        <v>12</v>
      </c>
      <c r="B8">
        <v>2022</v>
      </c>
      <c r="C8" t="s">
        <v>19</v>
      </c>
      <c r="D8" t="s">
        <v>4</v>
      </c>
      <c r="E8">
        <v>93</v>
      </c>
      <c r="F8">
        <v>92</v>
      </c>
      <c r="G8">
        <v>0.989247311827957</v>
      </c>
      <c r="H8">
        <v>1.0752688172043001E-2</v>
      </c>
    </row>
    <row r="9" spans="1:9" x14ac:dyDescent="0.3">
      <c r="A9">
        <v>12</v>
      </c>
      <c r="B9">
        <v>2022</v>
      </c>
      <c r="C9" t="s">
        <v>19</v>
      </c>
      <c r="D9" t="s">
        <v>5</v>
      </c>
      <c r="E9">
        <v>70</v>
      </c>
      <c r="F9">
        <v>70</v>
      </c>
      <c r="G9">
        <v>1</v>
      </c>
      <c r="H9">
        <v>0</v>
      </c>
    </row>
    <row r="10" spans="1:9" x14ac:dyDescent="0.3">
      <c r="A10">
        <v>12</v>
      </c>
      <c r="B10">
        <v>2022</v>
      </c>
      <c r="C10" t="s">
        <v>19</v>
      </c>
      <c r="D10" t="s">
        <v>6</v>
      </c>
      <c r="E10">
        <v>0</v>
      </c>
      <c r="F10">
        <v>0</v>
      </c>
      <c r="I10" t="s">
        <v>32</v>
      </c>
    </row>
    <row r="11" spans="1:9" x14ac:dyDescent="0.3">
      <c r="A11">
        <v>12</v>
      </c>
      <c r="B11">
        <v>2022</v>
      </c>
      <c r="C11" t="s">
        <v>19</v>
      </c>
      <c r="D11" t="s">
        <v>7</v>
      </c>
      <c r="E11">
        <v>12262</v>
      </c>
      <c r="F11">
        <v>12214</v>
      </c>
      <c r="G11">
        <v>0.99608546729734138</v>
      </c>
      <c r="H11">
        <v>3.9145327026586241E-3</v>
      </c>
    </row>
    <row r="12" spans="1:9" x14ac:dyDescent="0.3">
      <c r="A12">
        <v>12</v>
      </c>
      <c r="B12">
        <v>2022</v>
      </c>
      <c r="C12" t="s">
        <v>19</v>
      </c>
      <c r="D12" t="s">
        <v>8</v>
      </c>
      <c r="E12">
        <v>1901</v>
      </c>
      <c r="F12">
        <v>1894</v>
      </c>
      <c r="G12">
        <v>0.99631772751183589</v>
      </c>
      <c r="H12">
        <v>3.6822724881641067E-3</v>
      </c>
    </row>
    <row r="13" spans="1:9" x14ac:dyDescent="0.3">
      <c r="A13">
        <v>12</v>
      </c>
      <c r="B13">
        <v>2022</v>
      </c>
      <c r="C13" t="s">
        <v>19</v>
      </c>
      <c r="D13" t="s">
        <v>9</v>
      </c>
      <c r="E13">
        <v>2363</v>
      </c>
      <c r="F13">
        <v>2361</v>
      </c>
      <c r="G13">
        <v>0.99915361828184512</v>
      </c>
      <c r="H13">
        <v>8.4638171815487606E-4</v>
      </c>
    </row>
    <row r="14" spans="1:9" x14ac:dyDescent="0.3">
      <c r="A14">
        <v>12</v>
      </c>
      <c r="B14">
        <v>2022</v>
      </c>
      <c r="C14" t="s">
        <v>20</v>
      </c>
      <c r="D14" t="s">
        <v>4</v>
      </c>
      <c r="E14">
        <v>0</v>
      </c>
      <c r="F14">
        <v>0</v>
      </c>
      <c r="I14" t="s">
        <v>32</v>
      </c>
    </row>
    <row r="15" spans="1:9" x14ac:dyDescent="0.3">
      <c r="A15">
        <v>12</v>
      </c>
      <c r="B15">
        <v>2022</v>
      </c>
      <c r="C15" t="s">
        <v>20</v>
      </c>
      <c r="D15" t="s">
        <v>5</v>
      </c>
      <c r="E15">
        <v>3180</v>
      </c>
      <c r="F15">
        <v>3138</v>
      </c>
      <c r="G15">
        <v>0.98679245283018868</v>
      </c>
      <c r="H15">
        <v>1.3207547169811318E-2</v>
      </c>
    </row>
    <row r="16" spans="1:9" x14ac:dyDescent="0.3">
      <c r="A16">
        <v>12</v>
      </c>
      <c r="B16">
        <v>2022</v>
      </c>
      <c r="C16" t="s">
        <v>20</v>
      </c>
      <c r="D16" t="s">
        <v>6</v>
      </c>
      <c r="E16">
        <v>0</v>
      </c>
      <c r="F16">
        <v>0</v>
      </c>
      <c r="I16" t="s">
        <v>32</v>
      </c>
    </row>
    <row r="17" spans="1:9" x14ac:dyDescent="0.3">
      <c r="A17">
        <v>12</v>
      </c>
      <c r="B17">
        <v>2022</v>
      </c>
      <c r="C17" t="s">
        <v>20</v>
      </c>
      <c r="D17" t="s">
        <v>7</v>
      </c>
      <c r="E17">
        <v>60352</v>
      </c>
      <c r="F17">
        <v>60136</v>
      </c>
      <c r="G17">
        <v>0.99642099681866381</v>
      </c>
      <c r="H17">
        <v>3.5790031813361933E-3</v>
      </c>
    </row>
    <row r="18" spans="1:9" x14ac:dyDescent="0.3">
      <c r="A18">
        <v>12</v>
      </c>
      <c r="B18">
        <v>2022</v>
      </c>
      <c r="C18" t="s">
        <v>20</v>
      </c>
      <c r="D18" t="s">
        <v>8</v>
      </c>
      <c r="E18">
        <v>3640</v>
      </c>
      <c r="F18">
        <v>3629</v>
      </c>
      <c r="G18">
        <v>0.99697802197802199</v>
      </c>
      <c r="H18">
        <v>3.0219780219780112E-3</v>
      </c>
    </row>
    <row r="19" spans="1:9" x14ac:dyDescent="0.3">
      <c r="A19">
        <v>12</v>
      </c>
      <c r="B19">
        <v>2022</v>
      </c>
      <c r="C19" t="s">
        <v>20</v>
      </c>
      <c r="D19" t="s">
        <v>9</v>
      </c>
      <c r="E19">
        <v>7807</v>
      </c>
      <c r="F19">
        <v>7794</v>
      </c>
      <c r="G19">
        <v>0.99833482771871396</v>
      </c>
      <c r="H19">
        <v>1.6651722812860426E-3</v>
      </c>
    </row>
    <row r="20" spans="1:9" x14ac:dyDescent="0.3">
      <c r="A20">
        <v>12</v>
      </c>
      <c r="B20">
        <v>2022</v>
      </c>
      <c r="C20" t="s">
        <v>13</v>
      </c>
      <c r="D20" t="s">
        <v>4</v>
      </c>
      <c r="E20">
        <v>103</v>
      </c>
      <c r="F20">
        <v>101</v>
      </c>
      <c r="G20">
        <v>0.98058252427184467</v>
      </c>
      <c r="H20">
        <v>1.9417475728155331E-2</v>
      </c>
    </row>
    <row r="21" spans="1:9" x14ac:dyDescent="0.3">
      <c r="A21">
        <v>12</v>
      </c>
      <c r="B21">
        <v>2022</v>
      </c>
      <c r="C21" t="s">
        <v>13</v>
      </c>
      <c r="D21" t="s">
        <v>5</v>
      </c>
      <c r="E21">
        <v>7746</v>
      </c>
      <c r="F21">
        <v>7688</v>
      </c>
      <c r="G21">
        <v>0.99251226439452622</v>
      </c>
      <c r="H21">
        <v>7.4877356054737776E-3</v>
      </c>
    </row>
    <row r="22" spans="1:9" x14ac:dyDescent="0.3">
      <c r="A22">
        <v>12</v>
      </c>
      <c r="B22">
        <v>2022</v>
      </c>
      <c r="C22" t="s">
        <v>13</v>
      </c>
      <c r="D22" t="s">
        <v>6</v>
      </c>
      <c r="E22">
        <v>0</v>
      </c>
      <c r="F22">
        <v>0</v>
      </c>
      <c r="I22" t="s">
        <v>32</v>
      </c>
    </row>
    <row r="23" spans="1:9" x14ac:dyDescent="0.3">
      <c r="A23">
        <v>12</v>
      </c>
      <c r="B23">
        <v>2022</v>
      </c>
      <c r="C23" t="s">
        <v>13</v>
      </c>
      <c r="D23" t="s">
        <v>7</v>
      </c>
      <c r="E23">
        <v>69835</v>
      </c>
      <c r="F23">
        <v>69506</v>
      </c>
      <c r="G23">
        <v>0.99528889525309661</v>
      </c>
      <c r="H23">
        <v>4.711104746903394E-3</v>
      </c>
    </row>
    <row r="24" spans="1:9" x14ac:dyDescent="0.3">
      <c r="A24">
        <v>12</v>
      </c>
      <c r="B24">
        <v>2022</v>
      </c>
      <c r="C24" t="s">
        <v>13</v>
      </c>
      <c r="D24" t="s">
        <v>8</v>
      </c>
      <c r="E24">
        <v>3823</v>
      </c>
      <c r="F24">
        <v>3809</v>
      </c>
      <c r="G24">
        <v>0.99633795448600571</v>
      </c>
      <c r="H24">
        <v>3.6620455139942942E-3</v>
      </c>
    </row>
    <row r="25" spans="1:9" x14ac:dyDescent="0.3">
      <c r="A25">
        <v>12</v>
      </c>
      <c r="B25">
        <v>2022</v>
      </c>
      <c r="C25" t="s">
        <v>13</v>
      </c>
      <c r="D25" t="s">
        <v>9</v>
      </c>
      <c r="E25">
        <v>11465</v>
      </c>
      <c r="F25">
        <v>11431</v>
      </c>
      <c r="G25">
        <v>0.99703445268207591</v>
      </c>
      <c r="H25">
        <v>2.9655473179240888E-3</v>
      </c>
    </row>
    <row r="26" spans="1:9" x14ac:dyDescent="0.3">
      <c r="A26">
        <v>12</v>
      </c>
      <c r="B26">
        <v>2022</v>
      </c>
      <c r="C26" t="s">
        <v>14</v>
      </c>
      <c r="D26" t="s">
        <v>4</v>
      </c>
      <c r="E26">
        <v>0</v>
      </c>
      <c r="F26">
        <v>0</v>
      </c>
      <c r="I26" t="s">
        <v>32</v>
      </c>
    </row>
    <row r="27" spans="1:9" x14ac:dyDescent="0.3">
      <c r="A27">
        <v>12</v>
      </c>
      <c r="B27">
        <v>2022</v>
      </c>
      <c r="C27" t="s">
        <v>14</v>
      </c>
      <c r="D27" t="s">
        <v>5</v>
      </c>
      <c r="E27">
        <v>13060</v>
      </c>
      <c r="F27">
        <v>13025</v>
      </c>
      <c r="G27">
        <v>0.99732006125574268</v>
      </c>
      <c r="H27">
        <v>2.6799387442573153E-3</v>
      </c>
    </row>
    <row r="28" spans="1:9" x14ac:dyDescent="0.3">
      <c r="A28">
        <v>12</v>
      </c>
      <c r="B28">
        <v>2022</v>
      </c>
      <c r="C28" t="s">
        <v>14</v>
      </c>
      <c r="D28" t="s">
        <v>6</v>
      </c>
      <c r="E28">
        <v>55</v>
      </c>
      <c r="F28">
        <v>55</v>
      </c>
      <c r="G28">
        <v>1</v>
      </c>
      <c r="H28">
        <v>0</v>
      </c>
    </row>
    <row r="29" spans="1:9" x14ac:dyDescent="0.3">
      <c r="A29">
        <v>12</v>
      </c>
      <c r="B29">
        <v>2022</v>
      </c>
      <c r="C29" t="s">
        <v>14</v>
      </c>
      <c r="D29" t="s">
        <v>7</v>
      </c>
      <c r="E29">
        <v>89637</v>
      </c>
      <c r="F29">
        <v>89317</v>
      </c>
      <c r="G29">
        <v>0.99643004562847937</v>
      </c>
      <c r="H29">
        <v>3.5699543715206339E-3</v>
      </c>
    </row>
    <row r="30" spans="1:9" x14ac:dyDescent="0.3">
      <c r="A30">
        <v>12</v>
      </c>
      <c r="B30">
        <v>2022</v>
      </c>
      <c r="C30" t="s">
        <v>14</v>
      </c>
      <c r="D30" t="s">
        <v>8</v>
      </c>
      <c r="E30">
        <v>2549</v>
      </c>
      <c r="F30">
        <v>2537</v>
      </c>
      <c r="G30">
        <v>0.99529227147901134</v>
      </c>
      <c r="H30">
        <v>4.7077285209886632E-3</v>
      </c>
    </row>
    <row r="31" spans="1:9" x14ac:dyDescent="0.3">
      <c r="A31">
        <v>12</v>
      </c>
      <c r="B31">
        <v>2022</v>
      </c>
      <c r="C31" t="s">
        <v>14</v>
      </c>
      <c r="D31" t="s">
        <v>9</v>
      </c>
      <c r="E31">
        <v>5861</v>
      </c>
      <c r="F31">
        <v>5844</v>
      </c>
      <c r="G31">
        <v>0.99709947108002051</v>
      </c>
      <c r="H31">
        <v>2.9005289199794948E-3</v>
      </c>
    </row>
    <row r="32" spans="1:9" x14ac:dyDescent="0.3">
      <c r="A32">
        <v>12</v>
      </c>
      <c r="B32">
        <v>2022</v>
      </c>
      <c r="C32" t="s">
        <v>21</v>
      </c>
      <c r="D32" t="s">
        <v>4</v>
      </c>
      <c r="E32">
        <v>0</v>
      </c>
      <c r="F32">
        <v>0</v>
      </c>
      <c r="I32" t="s">
        <v>32</v>
      </c>
    </row>
    <row r="33" spans="1:9" x14ac:dyDescent="0.3">
      <c r="A33">
        <v>12</v>
      </c>
      <c r="B33">
        <v>2022</v>
      </c>
      <c r="C33" t="s">
        <v>21</v>
      </c>
      <c r="D33" t="s">
        <v>5</v>
      </c>
      <c r="E33">
        <v>3565</v>
      </c>
      <c r="F33">
        <v>3552</v>
      </c>
      <c r="G33">
        <v>0.99635343618513328</v>
      </c>
      <c r="H33">
        <v>3.6465638148667212E-3</v>
      </c>
    </row>
    <row r="34" spans="1:9" x14ac:dyDescent="0.3">
      <c r="A34">
        <v>12</v>
      </c>
      <c r="B34">
        <v>2022</v>
      </c>
      <c r="C34" t="s">
        <v>21</v>
      </c>
      <c r="D34" t="s">
        <v>6</v>
      </c>
      <c r="E34">
        <v>0</v>
      </c>
      <c r="F34">
        <v>0</v>
      </c>
      <c r="I34" t="s">
        <v>32</v>
      </c>
    </row>
    <row r="35" spans="1:9" x14ac:dyDescent="0.3">
      <c r="A35">
        <v>12</v>
      </c>
      <c r="B35">
        <v>2022</v>
      </c>
      <c r="C35" t="s">
        <v>21</v>
      </c>
      <c r="D35" t="s">
        <v>7</v>
      </c>
      <c r="E35">
        <v>67799</v>
      </c>
      <c r="F35">
        <v>67700</v>
      </c>
      <c r="G35">
        <v>0.99853980147199817</v>
      </c>
      <c r="H35">
        <v>1.4601985280018326E-3</v>
      </c>
    </row>
    <row r="36" spans="1:9" x14ac:dyDescent="0.3">
      <c r="A36">
        <v>12</v>
      </c>
      <c r="B36">
        <v>2022</v>
      </c>
      <c r="C36" t="s">
        <v>21</v>
      </c>
      <c r="D36" t="s">
        <v>8</v>
      </c>
      <c r="E36">
        <v>1646</v>
      </c>
      <c r="F36">
        <v>1642</v>
      </c>
      <c r="G36">
        <v>0.99756986634264888</v>
      </c>
      <c r="H36">
        <v>2.430133657351119E-3</v>
      </c>
    </row>
    <row r="37" spans="1:9" x14ac:dyDescent="0.3">
      <c r="A37">
        <v>12</v>
      </c>
      <c r="B37">
        <v>2022</v>
      </c>
      <c r="C37" t="s">
        <v>21</v>
      </c>
      <c r="D37" t="s">
        <v>9</v>
      </c>
      <c r="E37">
        <v>6713</v>
      </c>
      <c r="F37">
        <v>6701</v>
      </c>
      <c r="G37">
        <v>0.99821242365559359</v>
      </c>
      <c r="H37">
        <v>1.7875763444064052E-3</v>
      </c>
    </row>
    <row r="38" spans="1:9" x14ac:dyDescent="0.3">
      <c r="A38">
        <v>12</v>
      </c>
      <c r="B38">
        <v>2022</v>
      </c>
      <c r="C38" t="s">
        <v>26</v>
      </c>
      <c r="D38" t="s">
        <v>4</v>
      </c>
      <c r="E38">
        <v>164</v>
      </c>
      <c r="F38">
        <v>162</v>
      </c>
      <c r="G38">
        <v>0.98780487804878048</v>
      </c>
      <c r="H38">
        <v>1.2195121951219523E-2</v>
      </c>
    </row>
    <row r="39" spans="1:9" x14ac:dyDescent="0.3">
      <c r="A39">
        <v>12</v>
      </c>
      <c r="B39">
        <v>2022</v>
      </c>
      <c r="C39" t="s">
        <v>26</v>
      </c>
      <c r="D39" t="s">
        <v>5</v>
      </c>
      <c r="E39">
        <v>1555</v>
      </c>
      <c r="F39">
        <v>1552</v>
      </c>
      <c r="G39">
        <v>0.99807073954983927</v>
      </c>
      <c r="H39">
        <v>1.9292604501607302E-3</v>
      </c>
    </row>
    <row r="40" spans="1:9" x14ac:dyDescent="0.3">
      <c r="A40">
        <v>12</v>
      </c>
      <c r="B40">
        <v>2022</v>
      </c>
      <c r="C40" t="s">
        <v>26</v>
      </c>
      <c r="D40" t="s">
        <v>6</v>
      </c>
      <c r="E40">
        <v>22</v>
      </c>
      <c r="F40">
        <v>22</v>
      </c>
      <c r="G40">
        <v>1</v>
      </c>
      <c r="H40">
        <v>0</v>
      </c>
    </row>
    <row r="41" spans="1:9" x14ac:dyDescent="0.3">
      <c r="A41">
        <v>12</v>
      </c>
      <c r="B41">
        <v>2022</v>
      </c>
      <c r="C41" t="s">
        <v>26</v>
      </c>
      <c r="D41" t="s">
        <v>7</v>
      </c>
      <c r="E41">
        <v>62473</v>
      </c>
      <c r="F41">
        <v>62094</v>
      </c>
      <c r="G41">
        <v>0.99393337921982294</v>
      </c>
      <c r="H41">
        <v>6.0666207801770566E-3</v>
      </c>
    </row>
    <row r="42" spans="1:9" x14ac:dyDescent="0.3">
      <c r="A42">
        <v>12</v>
      </c>
      <c r="B42">
        <v>2022</v>
      </c>
      <c r="C42" t="s">
        <v>26</v>
      </c>
      <c r="D42" t="s">
        <v>8</v>
      </c>
      <c r="E42">
        <v>1120</v>
      </c>
      <c r="F42">
        <v>1117</v>
      </c>
      <c r="G42">
        <v>0.99732142857142858</v>
      </c>
      <c r="H42">
        <v>2.6785714285714191E-3</v>
      </c>
    </row>
    <row r="43" spans="1:9" x14ac:dyDescent="0.3">
      <c r="A43">
        <v>12</v>
      </c>
      <c r="B43">
        <v>2022</v>
      </c>
      <c r="C43" t="s">
        <v>26</v>
      </c>
      <c r="D43" t="s">
        <v>9</v>
      </c>
      <c r="E43">
        <v>4312</v>
      </c>
      <c r="F43">
        <v>4307</v>
      </c>
      <c r="G43">
        <v>0.99884044526901672</v>
      </c>
      <c r="H43">
        <v>1.159554730983281E-3</v>
      </c>
    </row>
    <row r="44" spans="1:9" x14ac:dyDescent="0.3">
      <c r="A44">
        <v>12</v>
      </c>
      <c r="B44">
        <v>2022</v>
      </c>
      <c r="C44" t="s">
        <v>15</v>
      </c>
      <c r="D44" t="s">
        <v>4</v>
      </c>
      <c r="E44">
        <v>0</v>
      </c>
      <c r="F44">
        <v>0</v>
      </c>
      <c r="I44" t="s">
        <v>32</v>
      </c>
    </row>
    <row r="45" spans="1:9" x14ac:dyDescent="0.3">
      <c r="A45">
        <v>12</v>
      </c>
      <c r="B45">
        <v>2022</v>
      </c>
      <c r="C45" t="s">
        <v>15</v>
      </c>
      <c r="D45" t="s">
        <v>5</v>
      </c>
      <c r="E45">
        <v>100216</v>
      </c>
      <c r="F45">
        <v>99566</v>
      </c>
      <c r="G45">
        <v>0.99351400973896387</v>
      </c>
      <c r="H45">
        <v>6.4859902610361342E-3</v>
      </c>
    </row>
    <row r="46" spans="1:9" x14ac:dyDescent="0.3">
      <c r="A46">
        <v>12</v>
      </c>
      <c r="B46">
        <v>2022</v>
      </c>
      <c r="C46" t="s">
        <v>15</v>
      </c>
      <c r="D46" t="s">
        <v>6</v>
      </c>
      <c r="E46">
        <v>6420</v>
      </c>
      <c r="F46">
        <v>6393</v>
      </c>
      <c r="G46">
        <v>0.99579439252336444</v>
      </c>
      <c r="H46">
        <v>4.2056074766355644E-3</v>
      </c>
    </row>
    <row r="47" spans="1:9" x14ac:dyDescent="0.3">
      <c r="A47">
        <v>12</v>
      </c>
      <c r="B47">
        <v>2022</v>
      </c>
      <c r="C47" t="s">
        <v>15</v>
      </c>
      <c r="D47" t="s">
        <v>7</v>
      </c>
      <c r="E47">
        <v>64953</v>
      </c>
      <c r="F47">
        <v>64774</v>
      </c>
      <c r="G47">
        <v>0.99724416116268688</v>
      </c>
      <c r="H47">
        <v>2.7558388373131182E-3</v>
      </c>
    </row>
    <row r="48" spans="1:9" x14ac:dyDescent="0.3">
      <c r="A48">
        <v>12</v>
      </c>
      <c r="B48">
        <v>2022</v>
      </c>
      <c r="C48" t="s">
        <v>15</v>
      </c>
      <c r="D48" t="s">
        <v>8</v>
      </c>
      <c r="E48">
        <v>81</v>
      </c>
      <c r="F48">
        <v>81</v>
      </c>
      <c r="G48">
        <v>1</v>
      </c>
      <c r="H48">
        <v>0</v>
      </c>
    </row>
    <row r="49" spans="1:9" x14ac:dyDescent="0.3">
      <c r="A49">
        <v>12</v>
      </c>
      <c r="B49">
        <v>2022</v>
      </c>
      <c r="C49" t="s">
        <v>15</v>
      </c>
      <c r="D49" t="s">
        <v>9</v>
      </c>
      <c r="E49">
        <v>6669</v>
      </c>
      <c r="F49">
        <v>6661</v>
      </c>
      <c r="G49">
        <v>0.99880041985305146</v>
      </c>
      <c r="H49">
        <v>1.1995801469485423E-3</v>
      </c>
    </row>
    <row r="50" spans="1:9" x14ac:dyDescent="0.3">
      <c r="A50">
        <v>12</v>
      </c>
      <c r="B50">
        <v>2022</v>
      </c>
      <c r="C50" t="s">
        <v>27</v>
      </c>
      <c r="D50" t="s">
        <v>4</v>
      </c>
      <c r="E50">
        <v>0</v>
      </c>
      <c r="F50">
        <v>0</v>
      </c>
      <c r="I50" t="s">
        <v>32</v>
      </c>
    </row>
    <row r="51" spans="1:9" x14ac:dyDescent="0.3">
      <c r="A51">
        <v>12</v>
      </c>
      <c r="B51">
        <v>2022</v>
      </c>
      <c r="C51" t="s">
        <v>27</v>
      </c>
      <c r="D51" t="s">
        <v>5</v>
      </c>
      <c r="E51">
        <v>69504</v>
      </c>
      <c r="F51">
        <v>69109</v>
      </c>
      <c r="G51">
        <v>0.99431687384898715</v>
      </c>
      <c r="H51">
        <v>5.6831261510128517E-3</v>
      </c>
    </row>
    <row r="52" spans="1:9" x14ac:dyDescent="0.3">
      <c r="A52">
        <v>12</v>
      </c>
      <c r="B52">
        <v>2022</v>
      </c>
      <c r="C52" t="s">
        <v>27</v>
      </c>
      <c r="D52" t="s">
        <v>6</v>
      </c>
      <c r="E52">
        <v>7775</v>
      </c>
      <c r="F52">
        <v>7743</v>
      </c>
      <c r="G52">
        <v>0.99588424437299039</v>
      </c>
      <c r="H52">
        <v>4.1157556270096096E-3</v>
      </c>
    </row>
    <row r="53" spans="1:9" x14ac:dyDescent="0.3">
      <c r="A53">
        <v>12</v>
      </c>
      <c r="B53">
        <v>2022</v>
      </c>
      <c r="C53" t="s">
        <v>27</v>
      </c>
      <c r="D53" t="s">
        <v>7</v>
      </c>
      <c r="E53">
        <v>40461</v>
      </c>
      <c r="F53">
        <v>40291</v>
      </c>
      <c r="G53">
        <v>0.99579842317293199</v>
      </c>
      <c r="H53">
        <v>4.2015768270680098E-3</v>
      </c>
    </row>
    <row r="54" spans="1:9" x14ac:dyDescent="0.3">
      <c r="A54">
        <v>12</v>
      </c>
      <c r="B54">
        <v>2022</v>
      </c>
      <c r="C54" t="s">
        <v>27</v>
      </c>
      <c r="D54" t="s">
        <v>8</v>
      </c>
      <c r="E54">
        <v>65</v>
      </c>
      <c r="F54">
        <v>65</v>
      </c>
      <c r="G54">
        <v>1</v>
      </c>
      <c r="H54">
        <v>0</v>
      </c>
    </row>
    <row r="55" spans="1:9" x14ac:dyDescent="0.3">
      <c r="A55">
        <v>12</v>
      </c>
      <c r="B55">
        <v>2022</v>
      </c>
      <c r="C55" t="s">
        <v>27</v>
      </c>
      <c r="D55" t="s">
        <v>9</v>
      </c>
      <c r="E55">
        <v>2872</v>
      </c>
      <c r="F55">
        <v>2872</v>
      </c>
      <c r="G55">
        <v>1</v>
      </c>
      <c r="H55">
        <v>0</v>
      </c>
    </row>
    <row r="56" spans="1:9" x14ac:dyDescent="0.3">
      <c r="A56">
        <v>12</v>
      </c>
      <c r="B56">
        <v>2022</v>
      </c>
      <c r="C56" t="s">
        <v>17</v>
      </c>
      <c r="D56" t="s">
        <v>4</v>
      </c>
      <c r="E56">
        <v>0</v>
      </c>
      <c r="F56">
        <v>0</v>
      </c>
      <c r="I56" t="s">
        <v>32</v>
      </c>
    </row>
    <row r="57" spans="1:9" x14ac:dyDescent="0.3">
      <c r="A57">
        <v>12</v>
      </c>
      <c r="B57">
        <v>2022</v>
      </c>
      <c r="C57" t="s">
        <v>17</v>
      </c>
      <c r="D57" t="s">
        <v>5</v>
      </c>
      <c r="E57">
        <v>20672</v>
      </c>
      <c r="F57">
        <v>20518</v>
      </c>
      <c r="G57">
        <v>0.99255030959752322</v>
      </c>
      <c r="H57">
        <v>7.4496904024767829E-3</v>
      </c>
    </row>
    <row r="58" spans="1:9" x14ac:dyDescent="0.3">
      <c r="A58">
        <v>12</v>
      </c>
      <c r="B58">
        <v>2022</v>
      </c>
      <c r="C58" t="s">
        <v>17</v>
      </c>
      <c r="D58" t="s">
        <v>6</v>
      </c>
      <c r="E58">
        <v>102</v>
      </c>
      <c r="F58">
        <v>101</v>
      </c>
      <c r="G58">
        <v>0.99019607843137258</v>
      </c>
      <c r="H58">
        <v>9.8039215686274161E-3</v>
      </c>
    </row>
    <row r="59" spans="1:9" x14ac:dyDescent="0.3">
      <c r="A59">
        <v>12</v>
      </c>
      <c r="B59">
        <v>2022</v>
      </c>
      <c r="C59" t="s">
        <v>17</v>
      </c>
      <c r="D59" t="s">
        <v>7</v>
      </c>
      <c r="E59">
        <v>20768</v>
      </c>
      <c r="F59">
        <v>20601</v>
      </c>
      <c r="G59">
        <v>0.99195878274268101</v>
      </c>
      <c r="H59">
        <v>8.0412172573189888E-3</v>
      </c>
    </row>
    <row r="60" spans="1:9" x14ac:dyDescent="0.3">
      <c r="A60">
        <v>12</v>
      </c>
      <c r="B60">
        <v>2022</v>
      </c>
      <c r="C60" t="s">
        <v>17</v>
      </c>
      <c r="D60" t="s">
        <v>8</v>
      </c>
      <c r="E60">
        <v>4536</v>
      </c>
      <c r="F60">
        <v>4481</v>
      </c>
      <c r="G60">
        <v>0.9878747795414462</v>
      </c>
      <c r="H60">
        <v>1.2125220458553798E-2</v>
      </c>
    </row>
    <row r="61" spans="1:9" x14ac:dyDescent="0.3">
      <c r="A61">
        <v>12</v>
      </c>
      <c r="B61">
        <v>2022</v>
      </c>
      <c r="C61" t="s">
        <v>17</v>
      </c>
      <c r="D61" t="s">
        <v>9</v>
      </c>
      <c r="E61">
        <v>6071</v>
      </c>
      <c r="F61">
        <v>6047</v>
      </c>
      <c r="G61">
        <v>0.99604677977268985</v>
      </c>
      <c r="H61">
        <v>3.9532202273101502E-3</v>
      </c>
    </row>
    <row r="62" spans="1:9" x14ac:dyDescent="0.3">
      <c r="A62">
        <v>12</v>
      </c>
      <c r="B62">
        <v>2022</v>
      </c>
      <c r="C62" t="s">
        <v>22</v>
      </c>
      <c r="D62" t="s">
        <v>4</v>
      </c>
      <c r="E62">
        <v>0</v>
      </c>
      <c r="F62">
        <v>0</v>
      </c>
      <c r="I62" t="s">
        <v>32</v>
      </c>
    </row>
    <row r="63" spans="1:9" x14ac:dyDescent="0.3">
      <c r="A63">
        <v>12</v>
      </c>
      <c r="B63">
        <v>2022</v>
      </c>
      <c r="C63" t="s">
        <v>22</v>
      </c>
      <c r="D63" t="s">
        <v>5</v>
      </c>
      <c r="E63">
        <v>278</v>
      </c>
      <c r="F63">
        <v>272</v>
      </c>
      <c r="G63">
        <v>0.97841726618705038</v>
      </c>
      <c r="H63">
        <v>2.1582733812949617E-2</v>
      </c>
    </row>
    <row r="64" spans="1:9" x14ac:dyDescent="0.3">
      <c r="A64">
        <v>12</v>
      </c>
      <c r="B64">
        <v>2022</v>
      </c>
      <c r="C64" t="s">
        <v>22</v>
      </c>
      <c r="D64" t="s">
        <v>6</v>
      </c>
      <c r="E64">
        <v>921</v>
      </c>
      <c r="F64">
        <v>920</v>
      </c>
      <c r="G64">
        <v>0.998914223669924</v>
      </c>
      <c r="H64">
        <v>1.0857763300760048E-3</v>
      </c>
    </row>
    <row r="65" spans="1:9" x14ac:dyDescent="0.3">
      <c r="A65">
        <v>12</v>
      </c>
      <c r="B65">
        <v>2022</v>
      </c>
      <c r="C65" t="s">
        <v>22</v>
      </c>
      <c r="D65" t="s">
        <v>7</v>
      </c>
      <c r="E65">
        <v>100688</v>
      </c>
      <c r="F65">
        <v>99746</v>
      </c>
      <c r="G65">
        <v>0.99064436675671386</v>
      </c>
      <c r="H65">
        <v>9.3556332432861433E-3</v>
      </c>
    </row>
    <row r="66" spans="1:9" x14ac:dyDescent="0.3">
      <c r="A66">
        <v>12</v>
      </c>
      <c r="B66">
        <v>2022</v>
      </c>
      <c r="C66" t="s">
        <v>22</v>
      </c>
      <c r="D66" t="s">
        <v>8</v>
      </c>
      <c r="E66">
        <v>1069</v>
      </c>
      <c r="F66">
        <v>1060</v>
      </c>
      <c r="G66">
        <v>0.99158091674462112</v>
      </c>
      <c r="H66">
        <v>8.4190832553788786E-3</v>
      </c>
    </row>
    <row r="67" spans="1:9" x14ac:dyDescent="0.3">
      <c r="A67">
        <v>12</v>
      </c>
      <c r="B67">
        <v>2022</v>
      </c>
      <c r="C67" t="s">
        <v>22</v>
      </c>
      <c r="D67" t="s">
        <v>9</v>
      </c>
      <c r="E67">
        <v>4480</v>
      </c>
      <c r="F67">
        <v>4471</v>
      </c>
      <c r="G67">
        <v>0.99799107142857146</v>
      </c>
      <c r="H67">
        <v>2.0089285714285365E-3</v>
      </c>
    </row>
    <row r="68" spans="1:9" x14ac:dyDescent="0.3">
      <c r="A68">
        <v>12</v>
      </c>
      <c r="B68">
        <v>2022</v>
      </c>
      <c r="C68" t="s">
        <v>18</v>
      </c>
      <c r="D68" t="s">
        <v>4</v>
      </c>
      <c r="E68">
        <v>38</v>
      </c>
      <c r="F68">
        <v>38</v>
      </c>
      <c r="G68">
        <v>1</v>
      </c>
      <c r="H68">
        <v>0</v>
      </c>
    </row>
    <row r="69" spans="1:9" x14ac:dyDescent="0.3">
      <c r="A69">
        <v>12</v>
      </c>
      <c r="B69">
        <v>2022</v>
      </c>
      <c r="C69" t="s">
        <v>18</v>
      </c>
      <c r="D69" t="s">
        <v>5</v>
      </c>
      <c r="E69">
        <v>357</v>
      </c>
      <c r="F69">
        <v>357</v>
      </c>
      <c r="G69">
        <v>1</v>
      </c>
      <c r="H69">
        <v>0</v>
      </c>
    </row>
    <row r="70" spans="1:9" x14ac:dyDescent="0.3">
      <c r="A70">
        <v>12</v>
      </c>
      <c r="B70">
        <v>2022</v>
      </c>
      <c r="C70" t="s">
        <v>18</v>
      </c>
      <c r="D70" t="s">
        <v>6</v>
      </c>
      <c r="E70">
        <v>0</v>
      </c>
      <c r="F70">
        <v>0</v>
      </c>
      <c r="I70" t="s">
        <v>32</v>
      </c>
    </row>
    <row r="71" spans="1:9" x14ac:dyDescent="0.3">
      <c r="A71">
        <v>12</v>
      </c>
      <c r="B71">
        <v>2022</v>
      </c>
      <c r="C71" t="s">
        <v>18</v>
      </c>
      <c r="D71" t="s">
        <v>7</v>
      </c>
      <c r="E71">
        <v>118675</v>
      </c>
      <c r="F71">
        <v>118046</v>
      </c>
      <c r="G71">
        <v>0.99469981040657263</v>
      </c>
      <c r="H71">
        <v>5.3001895934273735E-3</v>
      </c>
    </row>
    <row r="72" spans="1:9" x14ac:dyDescent="0.3">
      <c r="A72">
        <v>12</v>
      </c>
      <c r="B72">
        <v>2022</v>
      </c>
      <c r="C72" t="s">
        <v>18</v>
      </c>
      <c r="D72" t="s">
        <v>8</v>
      </c>
      <c r="E72">
        <v>2231</v>
      </c>
      <c r="F72">
        <v>2225</v>
      </c>
      <c r="G72">
        <v>0.99731062303899598</v>
      </c>
      <c r="H72">
        <v>2.6893769610040197E-3</v>
      </c>
    </row>
    <row r="73" spans="1:9" x14ac:dyDescent="0.3">
      <c r="A73">
        <v>12</v>
      </c>
      <c r="B73">
        <v>2022</v>
      </c>
      <c r="C73" t="s">
        <v>18</v>
      </c>
      <c r="D73" t="s">
        <v>9</v>
      </c>
      <c r="E73">
        <v>3615</v>
      </c>
      <c r="F73">
        <v>3607</v>
      </c>
      <c r="G73">
        <v>0.99778699861687414</v>
      </c>
      <c r="H73">
        <v>2.2130013831258566E-3</v>
      </c>
    </row>
    <row r="74" spans="1:9" x14ac:dyDescent="0.3">
      <c r="A74">
        <v>12</v>
      </c>
      <c r="B74">
        <v>2022</v>
      </c>
      <c r="C74" t="s">
        <v>23</v>
      </c>
      <c r="D74" t="s">
        <v>4</v>
      </c>
      <c r="E74">
        <v>0</v>
      </c>
      <c r="F74">
        <v>0</v>
      </c>
      <c r="I74" t="s">
        <v>32</v>
      </c>
    </row>
    <row r="75" spans="1:9" x14ac:dyDescent="0.3">
      <c r="A75">
        <v>12</v>
      </c>
      <c r="B75">
        <v>2022</v>
      </c>
      <c r="C75" t="s">
        <v>23</v>
      </c>
      <c r="D75" t="s">
        <v>5</v>
      </c>
      <c r="E75">
        <v>84</v>
      </c>
      <c r="F75">
        <v>83</v>
      </c>
      <c r="G75">
        <v>0.98809523809523814</v>
      </c>
      <c r="H75">
        <v>1.1904761904761862E-2</v>
      </c>
    </row>
    <row r="76" spans="1:9" x14ac:dyDescent="0.3">
      <c r="A76">
        <v>12</v>
      </c>
      <c r="B76">
        <v>2022</v>
      </c>
      <c r="C76" t="s">
        <v>23</v>
      </c>
      <c r="D76" t="s">
        <v>6</v>
      </c>
      <c r="E76">
        <v>0</v>
      </c>
      <c r="F76">
        <v>0</v>
      </c>
      <c r="I76" t="s">
        <v>32</v>
      </c>
    </row>
    <row r="77" spans="1:9" x14ac:dyDescent="0.3">
      <c r="A77">
        <v>12</v>
      </c>
      <c r="B77">
        <v>2022</v>
      </c>
      <c r="C77" t="s">
        <v>23</v>
      </c>
      <c r="D77" t="s">
        <v>7</v>
      </c>
      <c r="E77">
        <v>84716</v>
      </c>
      <c r="F77">
        <v>83962</v>
      </c>
      <c r="G77">
        <v>0.99109967420558098</v>
      </c>
      <c r="H77">
        <v>8.9003257944190173E-3</v>
      </c>
    </row>
    <row r="78" spans="1:9" x14ac:dyDescent="0.3">
      <c r="A78">
        <v>12</v>
      </c>
      <c r="B78">
        <v>2022</v>
      </c>
      <c r="C78" t="s">
        <v>23</v>
      </c>
      <c r="D78" t="s">
        <v>8</v>
      </c>
      <c r="E78">
        <v>3714</v>
      </c>
      <c r="F78">
        <v>3669</v>
      </c>
      <c r="G78">
        <v>0.98788368336025845</v>
      </c>
      <c r="H78">
        <v>1.2116316639741553E-2</v>
      </c>
    </row>
    <row r="79" spans="1:9" x14ac:dyDescent="0.3">
      <c r="A79">
        <v>12</v>
      </c>
      <c r="B79">
        <v>2022</v>
      </c>
      <c r="C79" t="s">
        <v>23</v>
      </c>
      <c r="D79" t="s">
        <v>9</v>
      </c>
      <c r="E79">
        <v>5409</v>
      </c>
      <c r="F79">
        <v>5398</v>
      </c>
      <c r="G79">
        <v>0.99796635237567022</v>
      </c>
      <c r="H79">
        <v>2.0336476243297819E-3</v>
      </c>
    </row>
    <row r="80" spans="1:9" x14ac:dyDescent="0.3">
      <c r="A80">
        <v>12</v>
      </c>
      <c r="B80">
        <v>2022</v>
      </c>
      <c r="C80" t="s">
        <v>24</v>
      </c>
      <c r="D80" t="s">
        <v>4</v>
      </c>
      <c r="E80">
        <v>0</v>
      </c>
      <c r="F80">
        <v>0</v>
      </c>
      <c r="I80" t="s">
        <v>32</v>
      </c>
    </row>
    <row r="81" spans="1:9" x14ac:dyDescent="0.3">
      <c r="A81">
        <v>12</v>
      </c>
      <c r="B81">
        <v>2022</v>
      </c>
      <c r="C81" t="s">
        <v>24</v>
      </c>
      <c r="D81" t="s">
        <v>5</v>
      </c>
      <c r="E81">
        <v>1336</v>
      </c>
      <c r="F81">
        <v>1272</v>
      </c>
      <c r="G81">
        <v>0.95209580838323349</v>
      </c>
      <c r="H81">
        <v>4.7904191616766512E-2</v>
      </c>
    </row>
    <row r="82" spans="1:9" x14ac:dyDescent="0.3">
      <c r="A82">
        <v>12</v>
      </c>
      <c r="B82">
        <v>2022</v>
      </c>
      <c r="C82" t="s">
        <v>24</v>
      </c>
      <c r="D82" t="s">
        <v>6</v>
      </c>
      <c r="E82">
        <v>0</v>
      </c>
      <c r="F82">
        <v>0</v>
      </c>
      <c r="I82" t="s">
        <v>32</v>
      </c>
    </row>
    <row r="83" spans="1:9" x14ac:dyDescent="0.3">
      <c r="A83">
        <v>12</v>
      </c>
      <c r="B83">
        <v>2022</v>
      </c>
      <c r="C83" t="s">
        <v>24</v>
      </c>
      <c r="D83" t="s">
        <v>7</v>
      </c>
      <c r="E83">
        <v>131729</v>
      </c>
      <c r="F83">
        <v>130263</v>
      </c>
      <c r="G83">
        <v>0.98887109140735907</v>
      </c>
      <c r="H83">
        <v>1.1128908592640929E-2</v>
      </c>
    </row>
    <row r="84" spans="1:9" x14ac:dyDescent="0.3">
      <c r="A84">
        <v>12</v>
      </c>
      <c r="B84">
        <v>2022</v>
      </c>
      <c r="C84" t="s">
        <v>24</v>
      </c>
      <c r="D84" t="s">
        <v>8</v>
      </c>
      <c r="E84">
        <v>3184</v>
      </c>
      <c r="F84">
        <v>3152</v>
      </c>
      <c r="G84">
        <v>0.98994974874371855</v>
      </c>
      <c r="H84">
        <v>1.0050251256281451E-2</v>
      </c>
    </row>
    <row r="85" spans="1:9" x14ac:dyDescent="0.3">
      <c r="A85">
        <v>12</v>
      </c>
      <c r="B85">
        <v>2022</v>
      </c>
      <c r="C85" t="s">
        <v>24</v>
      </c>
      <c r="D85" t="s">
        <v>9</v>
      </c>
      <c r="E85">
        <v>8680</v>
      </c>
      <c r="F85">
        <v>8666</v>
      </c>
      <c r="G85">
        <v>0.99838709677419357</v>
      </c>
      <c r="H85">
        <v>1.612903225806428E-3</v>
      </c>
    </row>
    <row r="86" spans="1:9" x14ac:dyDescent="0.3">
      <c r="A86">
        <v>12</v>
      </c>
      <c r="B86">
        <v>2022</v>
      </c>
      <c r="C86" t="s">
        <v>16</v>
      </c>
      <c r="D86" t="s">
        <v>4</v>
      </c>
      <c r="E86">
        <v>0</v>
      </c>
      <c r="F86">
        <v>0</v>
      </c>
      <c r="I86" t="s">
        <v>32</v>
      </c>
    </row>
    <row r="87" spans="1:9" x14ac:dyDescent="0.3">
      <c r="A87">
        <v>12</v>
      </c>
      <c r="B87">
        <v>2022</v>
      </c>
      <c r="C87" t="s">
        <v>16</v>
      </c>
      <c r="D87" t="s">
        <v>5</v>
      </c>
      <c r="E87">
        <v>1535</v>
      </c>
      <c r="F87">
        <v>1534</v>
      </c>
      <c r="G87">
        <v>0.99934853420195435</v>
      </c>
      <c r="H87">
        <v>6.514657980456473E-4</v>
      </c>
    </row>
    <row r="88" spans="1:9" x14ac:dyDescent="0.3">
      <c r="A88">
        <v>12</v>
      </c>
      <c r="B88">
        <v>2022</v>
      </c>
      <c r="C88" t="s">
        <v>16</v>
      </c>
      <c r="D88" t="s">
        <v>6</v>
      </c>
      <c r="E88">
        <v>0</v>
      </c>
      <c r="F88">
        <v>0</v>
      </c>
      <c r="I88" t="s">
        <v>32</v>
      </c>
    </row>
    <row r="89" spans="1:9" x14ac:dyDescent="0.3">
      <c r="A89">
        <v>12</v>
      </c>
      <c r="B89">
        <v>2022</v>
      </c>
      <c r="C89" t="s">
        <v>16</v>
      </c>
      <c r="D89" t="s">
        <v>7</v>
      </c>
      <c r="E89">
        <v>22801</v>
      </c>
      <c r="F89">
        <v>22742</v>
      </c>
      <c r="G89">
        <v>0.99741239419323713</v>
      </c>
      <c r="H89">
        <v>2.5876058067628716E-3</v>
      </c>
    </row>
    <row r="90" spans="1:9" x14ac:dyDescent="0.3">
      <c r="A90">
        <v>12</v>
      </c>
      <c r="B90">
        <v>2022</v>
      </c>
      <c r="C90" t="s">
        <v>16</v>
      </c>
      <c r="D90" t="s">
        <v>8</v>
      </c>
      <c r="E90">
        <v>1673</v>
      </c>
      <c r="F90">
        <v>1662</v>
      </c>
      <c r="G90">
        <v>0.99342498505678423</v>
      </c>
      <c r="H90">
        <v>6.5750149432157734E-3</v>
      </c>
    </row>
    <row r="91" spans="1:9" x14ac:dyDescent="0.3">
      <c r="A91">
        <v>12</v>
      </c>
      <c r="B91">
        <v>2022</v>
      </c>
      <c r="C91" t="s">
        <v>16</v>
      </c>
      <c r="D91" t="s">
        <v>9</v>
      </c>
      <c r="E91">
        <v>4859</v>
      </c>
      <c r="F91">
        <v>4849</v>
      </c>
      <c r="G91">
        <v>0.99794196336694796</v>
      </c>
      <c r="H91">
        <v>2.0580366330520405E-3</v>
      </c>
    </row>
    <row r="92" spans="1:9" x14ac:dyDescent="0.3">
      <c r="A92">
        <v>12</v>
      </c>
      <c r="B92">
        <v>2022</v>
      </c>
      <c r="C92" t="s">
        <v>25</v>
      </c>
      <c r="D92" t="s">
        <v>4</v>
      </c>
      <c r="E92">
        <v>0</v>
      </c>
      <c r="F92">
        <v>0</v>
      </c>
      <c r="I92" t="s">
        <v>32</v>
      </c>
    </row>
    <row r="93" spans="1:9" x14ac:dyDescent="0.3">
      <c r="A93">
        <v>12</v>
      </c>
      <c r="B93">
        <v>2022</v>
      </c>
      <c r="C93" t="s">
        <v>25</v>
      </c>
      <c r="D93" t="s">
        <v>5</v>
      </c>
      <c r="E93">
        <v>82</v>
      </c>
      <c r="F93">
        <v>82</v>
      </c>
      <c r="G93">
        <v>1</v>
      </c>
      <c r="H93">
        <v>0</v>
      </c>
    </row>
    <row r="94" spans="1:9" x14ac:dyDescent="0.3">
      <c r="A94">
        <v>12</v>
      </c>
      <c r="B94">
        <v>2022</v>
      </c>
      <c r="C94" t="s">
        <v>25</v>
      </c>
      <c r="D94" t="s">
        <v>6</v>
      </c>
      <c r="E94">
        <v>0</v>
      </c>
      <c r="F94">
        <v>0</v>
      </c>
      <c r="I94" t="s">
        <v>32</v>
      </c>
    </row>
    <row r="95" spans="1:9" x14ac:dyDescent="0.3">
      <c r="A95">
        <v>12</v>
      </c>
      <c r="B95">
        <v>2022</v>
      </c>
      <c r="C95" t="s">
        <v>25</v>
      </c>
      <c r="D95" t="s">
        <v>7</v>
      </c>
      <c r="E95">
        <v>33500</v>
      </c>
      <c r="F95">
        <v>33462</v>
      </c>
      <c r="G95">
        <v>0.99886567164179108</v>
      </c>
      <c r="H95">
        <v>1.1343283582089247E-3</v>
      </c>
    </row>
    <row r="96" spans="1:9" x14ac:dyDescent="0.3">
      <c r="A96">
        <v>12</v>
      </c>
      <c r="B96">
        <v>2022</v>
      </c>
      <c r="C96" t="s">
        <v>25</v>
      </c>
      <c r="D96" t="s">
        <v>8</v>
      </c>
      <c r="E96">
        <v>973</v>
      </c>
      <c r="F96">
        <v>972</v>
      </c>
      <c r="G96">
        <v>0.99897225077081198</v>
      </c>
      <c r="H96">
        <v>1.0277492291880241E-3</v>
      </c>
    </row>
    <row r="97" spans="1:8" x14ac:dyDescent="0.3">
      <c r="A97">
        <v>12</v>
      </c>
      <c r="B97">
        <v>2022</v>
      </c>
      <c r="C97" t="s">
        <v>25</v>
      </c>
      <c r="D97" t="s">
        <v>9</v>
      </c>
      <c r="E97">
        <v>3666</v>
      </c>
      <c r="F97">
        <v>3661</v>
      </c>
      <c r="G97">
        <v>0.9986361156573923</v>
      </c>
      <c r="H97">
        <v>1.3638843426077019E-3</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Props1.xml><?xml version="1.0" encoding="utf-8"?>
<ds:datastoreItem xmlns:ds="http://schemas.openxmlformats.org/officeDocument/2006/customXml" ds:itemID="{9D59DFB3-8610-4FD0-B174-5B9299BA9F14}">
  <ds:schemaRefs/>
</ds:datastoreItem>
</file>

<file path=customXml/itemProps2.xml><?xml version="1.0" encoding="utf-8"?>
<ds:datastoreItem xmlns:ds="http://schemas.openxmlformats.org/officeDocument/2006/customXml" ds:itemID="{0FF3CB55-2301-4BF7-922C-D1C56626C117}">
  <ds:schemaRefs/>
</ds:datastoreItem>
</file>

<file path=customXml/itemProps3.xml><?xml version="1.0" encoding="utf-8"?>
<ds:datastoreItem xmlns:ds="http://schemas.openxmlformats.org/officeDocument/2006/customXml" ds:itemID="{0AA8BAEE-8EBB-4908-B0BA-B1ECD01CEB93}">
  <ds:schemaRefs/>
</ds:datastoreItem>
</file>

<file path=customXml/itemProps4.xml><?xml version="1.0" encoding="utf-8"?>
<ds:datastoreItem xmlns:ds="http://schemas.openxmlformats.org/officeDocument/2006/customXml" ds:itemID="{35DFA778-A493-449B-9769-6E5422E964AD}">
  <ds:schemaRefs/>
</ds:datastoreItem>
</file>

<file path=customXml/itemProps5.xml><?xml version="1.0" encoding="utf-8"?>
<ds:datastoreItem xmlns:ds="http://schemas.openxmlformats.org/officeDocument/2006/customXml" ds:itemID="{0BCE6F09-1184-4209-930A-03B1D052702F}">
  <ds:schemaRefs/>
</ds:datastoreItem>
</file>

<file path=customXml/itemProps6.xml><?xml version="1.0" encoding="utf-8"?>
<ds:datastoreItem xmlns:ds="http://schemas.openxmlformats.org/officeDocument/2006/customXml" ds:itemID="{8752CBA7-F6A5-4215-BE35-110081D124AF}">
  <ds:schemaRefs/>
</ds:datastoreItem>
</file>

<file path=customXml/itemProps7.xml><?xml version="1.0" encoding="utf-8"?>
<ds:datastoreItem xmlns:ds="http://schemas.openxmlformats.org/officeDocument/2006/customXml" ds:itemID="{B41235AC-7B91-43E6-B79B-611D7178DC23}">
  <ds:schemaRefs/>
</ds:datastoreItem>
</file>

<file path=customXml/itemProps8.xml><?xml version="1.0" encoding="utf-8"?>
<ds:datastoreItem xmlns:ds="http://schemas.openxmlformats.org/officeDocument/2006/customXml" ds:itemID="{1D1937DF-3A2F-4803-B342-949E07D01F63}">
  <ds:schemaRefs/>
</ds:datastoreItem>
</file>

<file path=customXml/itemProps9.xml><?xml version="1.0" encoding="utf-8"?>
<ds:datastoreItem xmlns:ds="http://schemas.openxmlformats.org/officeDocument/2006/customXml" ds:itemID="{195B2E6D-4595-498B-876D-7626E72C80BF}">
  <ds:schemaRefs/>
</ds:datastoreItem>
</file>

<file path=customXml/itemProps10.xml><?xml version="1.0" encoding="utf-8"?>
<ds:datastoreItem xmlns:ds="http://schemas.openxmlformats.org/officeDocument/2006/customXml" ds:itemID="{625D5B8E-095F-4FCB-8A14-79322A0E6695}">
  <ds:schemaRefs/>
</ds:datastoreItem>
</file>

<file path=customXml/itemProps11.xml><?xml version="1.0" encoding="utf-8"?>
<ds:datastoreItem xmlns:ds="http://schemas.openxmlformats.org/officeDocument/2006/customXml" ds:itemID="{FF41EBE3-9600-444C-88CC-E6C0C9CECCB5}">
  <ds:schemaRefs/>
</ds:datastoreItem>
</file>

<file path=customXml/itemProps12.xml><?xml version="1.0" encoding="utf-8"?>
<ds:datastoreItem xmlns:ds="http://schemas.openxmlformats.org/officeDocument/2006/customXml" ds:itemID="{D908E097-AE88-4A3C-9687-BC7920A54A41}">
  <ds:schemaRefs/>
</ds:datastoreItem>
</file>

<file path=customXml/itemProps13.xml><?xml version="1.0" encoding="utf-8"?>
<ds:datastoreItem xmlns:ds="http://schemas.openxmlformats.org/officeDocument/2006/customXml" ds:itemID="{E3BBEFE5-E6E7-4408-A951-F83AF9ECDA22}">
  <ds:schemaRefs/>
</ds:datastoreItem>
</file>

<file path=customXml/itemProps14.xml><?xml version="1.0" encoding="utf-8"?>
<ds:datastoreItem xmlns:ds="http://schemas.openxmlformats.org/officeDocument/2006/customXml" ds:itemID="{59F891F4-2C42-430F-A443-61B45C8FC6DD}">
  <ds:schemaRefs/>
</ds:datastoreItem>
</file>

<file path=customXml/itemProps15.xml><?xml version="1.0" encoding="utf-8"?>
<ds:datastoreItem xmlns:ds="http://schemas.openxmlformats.org/officeDocument/2006/customXml" ds:itemID="{281B83AB-2D8F-4A77-9BB3-9520019C8557}">
  <ds:schemaRefs/>
</ds:datastoreItem>
</file>

<file path=customXml/itemProps16.xml><?xml version="1.0" encoding="utf-8"?>
<ds:datastoreItem xmlns:ds="http://schemas.openxmlformats.org/officeDocument/2006/customXml" ds:itemID="{CF13E07E-49BB-4BED-A89C-EF068C509A8D}">
  <ds:schemaRefs/>
</ds:datastoreItem>
</file>

<file path=customXml/itemProps17.xml><?xml version="1.0" encoding="utf-8"?>
<ds:datastoreItem xmlns:ds="http://schemas.openxmlformats.org/officeDocument/2006/customXml" ds:itemID="{D5553CA2-2A45-42ED-8FDE-E5DB30746301}">
  <ds:schemaRefs/>
</ds:datastoreItem>
</file>

<file path=customXml/itemProps18.xml><?xml version="1.0" encoding="utf-8"?>
<ds:datastoreItem xmlns:ds="http://schemas.openxmlformats.org/officeDocument/2006/customXml" ds:itemID="{47318B60-C1BC-4AA7-9DE3-18389F7AAB6D}">
  <ds:schemaRefs/>
</ds:datastoreItem>
</file>

<file path=customXml/itemProps19.xml><?xml version="1.0" encoding="utf-8"?>
<ds:datastoreItem xmlns:ds="http://schemas.openxmlformats.org/officeDocument/2006/customXml" ds:itemID="{3FF880FA-9695-474C-8A63-023442A05179}">
  <ds:schemaRefs/>
</ds:datastoreItem>
</file>

<file path=customXml/itemProps20.xml><?xml version="1.0" encoding="utf-8"?>
<ds:datastoreItem xmlns:ds="http://schemas.openxmlformats.org/officeDocument/2006/customXml" ds:itemID="{4D5D5E7A-70D8-4D5E-81C8-B8C532CFF069}">
  <ds:schemaRefs/>
</ds:datastoreItem>
</file>

<file path=customXml/itemProps21.xml><?xml version="1.0" encoding="utf-8"?>
<ds:datastoreItem xmlns:ds="http://schemas.openxmlformats.org/officeDocument/2006/customXml" ds:itemID="{625AEDC6-E49C-4544-8767-871E043E248A}">
  <ds:schemaRefs/>
</ds:datastoreItem>
</file>

<file path=customXml/itemProps22.xml><?xml version="1.0" encoding="utf-8"?>
<ds:datastoreItem xmlns:ds="http://schemas.openxmlformats.org/officeDocument/2006/customXml" ds:itemID="{77F43420-B527-44DA-8727-F7184D5F3816}">
  <ds:schemaRefs/>
</ds:datastoreItem>
</file>

<file path=customXml/itemProps23.xml><?xml version="1.0" encoding="utf-8"?>
<ds:datastoreItem xmlns:ds="http://schemas.openxmlformats.org/officeDocument/2006/customXml" ds:itemID="{4CD72021-4F7A-4D54-859A-40DC5420DAC9}">
  <ds:schemaRefs>
    <ds:schemaRef ds:uri="http://schemas.microsoft.com/DataMashup"/>
  </ds:schemaRefs>
</ds:datastoreItem>
</file>

<file path=customXml/itemProps24.xml><?xml version="1.0" encoding="utf-8"?>
<ds:datastoreItem xmlns:ds="http://schemas.openxmlformats.org/officeDocument/2006/customXml" ds:itemID="{DC9C7005-6EEC-458D-8918-5013BA04D5FF}">
  <ds:schemaRefs/>
</ds:datastoreItem>
</file>

<file path=customXml/itemProps25.xml><?xml version="1.0" encoding="utf-8"?>
<ds:datastoreItem xmlns:ds="http://schemas.openxmlformats.org/officeDocument/2006/customXml" ds:itemID="{174E8C3B-97B2-414C-949F-2255CA76A253}">
  <ds:schemaRefs/>
</ds:datastoreItem>
</file>

<file path=customXml/itemProps26.xml><?xml version="1.0" encoding="utf-8"?>
<ds:datastoreItem xmlns:ds="http://schemas.openxmlformats.org/officeDocument/2006/customXml" ds:itemID="{D6819277-9AD8-4FE8-8D03-C2C1F339082E}">
  <ds:schemaRefs/>
</ds:datastoreItem>
</file>

<file path=customXml/itemProps27.xml><?xml version="1.0" encoding="utf-8"?>
<ds:datastoreItem xmlns:ds="http://schemas.openxmlformats.org/officeDocument/2006/customXml" ds:itemID="{FC67F11E-9933-4B56-BF9A-207B3877EC01}">
  <ds:schemaRefs/>
</ds:datastoreItem>
</file>

<file path=customXml/itemProps28.xml><?xml version="1.0" encoding="utf-8"?>
<ds:datastoreItem xmlns:ds="http://schemas.openxmlformats.org/officeDocument/2006/customXml" ds:itemID="{9D82B349-E159-45B1-B1C3-E2AA4E425A2B}">
  <ds:schemaRefs/>
</ds:datastoreItem>
</file>

<file path=customXml/itemProps29.xml><?xml version="1.0" encoding="utf-8"?>
<ds:datastoreItem xmlns:ds="http://schemas.openxmlformats.org/officeDocument/2006/customXml" ds:itemID="{B70CEB64-0D51-4FC5-9F87-AC00B91A6D15}">
  <ds:schemaRefs/>
</ds:datastoreItem>
</file>

<file path=customXml/itemProps30.xml><?xml version="1.0" encoding="utf-8"?>
<ds:datastoreItem xmlns:ds="http://schemas.openxmlformats.org/officeDocument/2006/customXml" ds:itemID="{89A370B6-1DED-4371-8667-FFED375025E7}">
  <ds:schemaRefs/>
</ds:datastoreItem>
</file>

<file path=customXml/itemProps31.xml><?xml version="1.0" encoding="utf-8"?>
<ds:datastoreItem xmlns:ds="http://schemas.openxmlformats.org/officeDocument/2006/customXml" ds:itemID="{F25DB79D-B016-4CB7-BC4A-6B3443BCCC36}">
  <ds:schemaRefs/>
</ds:datastoreItem>
</file>

<file path=customXml/itemProps32.xml><?xml version="1.0" encoding="utf-8"?>
<ds:datastoreItem xmlns:ds="http://schemas.openxmlformats.org/officeDocument/2006/customXml" ds:itemID="{D9F6EF6E-92F9-41F5-9FF7-CDC4A82E4CD6}">
  <ds:schemaRefs/>
</ds:datastoreItem>
</file>

<file path=customXml/itemProps33.xml><?xml version="1.0" encoding="utf-8"?>
<ds:datastoreItem xmlns:ds="http://schemas.openxmlformats.org/officeDocument/2006/customXml" ds:itemID="{11C908BF-0CB8-480F-A22A-99E22713BC6C}">
  <ds:schemaRefs/>
</ds:datastoreItem>
</file>

<file path=customXml/itemProps34.xml><?xml version="1.0" encoding="utf-8"?>
<ds:datastoreItem xmlns:ds="http://schemas.openxmlformats.org/officeDocument/2006/customXml" ds:itemID="{0E2654DF-D4BD-46F7-AC5E-ABDB5B6561EC}">
  <ds:schemaRefs/>
</ds:datastoreItem>
</file>

<file path=customXml/itemProps35.xml><?xml version="1.0" encoding="utf-8"?>
<ds:datastoreItem xmlns:ds="http://schemas.openxmlformats.org/officeDocument/2006/customXml" ds:itemID="{BC4AF2D8-8C35-46BF-A01F-DAA646168227}">
  <ds:schemaRefs/>
</ds:datastoreItem>
</file>

<file path=customXml/itemProps36.xml><?xml version="1.0" encoding="utf-8"?>
<ds:datastoreItem xmlns:ds="http://schemas.openxmlformats.org/officeDocument/2006/customXml" ds:itemID="{DA3B460A-2D13-4AAA-8412-AF9FC161F617}">
  <ds:schemaRefs/>
</ds:datastoreItem>
</file>

<file path=customXml/itemProps37.xml><?xml version="1.0" encoding="utf-8"?>
<ds:datastoreItem xmlns:ds="http://schemas.openxmlformats.org/officeDocument/2006/customXml" ds:itemID="{54E2BBD4-7C28-43A9-B9C1-7DA730CCBD9C}">
  <ds:schemaRefs/>
</ds:datastoreItem>
</file>

<file path=customXml/itemProps38.xml><?xml version="1.0" encoding="utf-8"?>
<ds:datastoreItem xmlns:ds="http://schemas.openxmlformats.org/officeDocument/2006/customXml" ds:itemID="{7BDF99F8-41A2-4029-A4C5-8D663C71EABF}">
  <ds:schemaRefs/>
</ds:datastoreItem>
</file>

<file path=customXml/itemProps39.xml><?xml version="1.0" encoding="utf-8"?>
<ds:datastoreItem xmlns:ds="http://schemas.openxmlformats.org/officeDocument/2006/customXml" ds:itemID="{A27EE96F-D52F-4200-BFA9-1AA83018BC99}">
  <ds:schemaRefs/>
</ds:datastoreItem>
</file>

<file path=customXml/itemProps40.xml><?xml version="1.0" encoding="utf-8"?>
<ds:datastoreItem xmlns:ds="http://schemas.openxmlformats.org/officeDocument/2006/customXml" ds:itemID="{F1F904E7-44B3-4286-8BE8-15001D8BC67F}">
  <ds:schemaRefs/>
</ds:datastoreItem>
</file>

<file path=customXml/itemProps41.xml><?xml version="1.0" encoding="utf-8"?>
<ds:datastoreItem xmlns:ds="http://schemas.openxmlformats.org/officeDocument/2006/customXml" ds:itemID="{B406B319-BDAD-4467-94A5-F9AD08A5323E}">
  <ds:schemaRefs/>
</ds:datastoreItem>
</file>

<file path=customXml/itemProps42.xml><?xml version="1.0" encoding="utf-8"?>
<ds:datastoreItem xmlns:ds="http://schemas.openxmlformats.org/officeDocument/2006/customXml" ds:itemID="{316334D6-EB26-491F-9925-F72E847BE03F}">
  <ds:schemaRefs/>
</ds:datastoreItem>
</file>

<file path=customXml/itemProps43.xml><?xml version="1.0" encoding="utf-8"?>
<ds:datastoreItem xmlns:ds="http://schemas.openxmlformats.org/officeDocument/2006/customXml" ds:itemID="{C495791B-D4BB-4573-9028-1D708C1AD847}">
  <ds:schemaRefs/>
</ds:datastoreItem>
</file>

<file path=customXml/itemProps44.xml><?xml version="1.0" encoding="utf-8"?>
<ds:datastoreItem xmlns:ds="http://schemas.openxmlformats.org/officeDocument/2006/customXml" ds:itemID="{DED8E8FE-92CF-4216-847C-6CD3AB6A3C5C}">
  <ds:schemaRefs/>
</ds:datastoreItem>
</file>

<file path=customXml/itemProps45.xml><?xml version="1.0" encoding="utf-8"?>
<ds:datastoreItem xmlns:ds="http://schemas.openxmlformats.org/officeDocument/2006/customXml" ds:itemID="{D5B5A7CC-D2F1-486A-981D-D2FEA5FEF378}">
  <ds:schemaRefs/>
</ds:datastoreItem>
</file>

<file path=customXml/itemProps46.xml><?xml version="1.0" encoding="utf-8"?>
<ds:datastoreItem xmlns:ds="http://schemas.openxmlformats.org/officeDocument/2006/customXml" ds:itemID="{2E1EEC6D-AA2D-4E6B-B58B-3AD765224F8F}">
  <ds:schemaRefs/>
</ds:datastoreItem>
</file>

<file path=customXml/itemProps47.xml><?xml version="1.0" encoding="utf-8"?>
<ds:datastoreItem xmlns:ds="http://schemas.openxmlformats.org/officeDocument/2006/customXml" ds:itemID="{F2B470EE-F130-405B-8DC3-16FC3323E03E}">
  <ds:schemaRefs/>
</ds:datastoreItem>
</file>

<file path=customXml/itemProps48.xml><?xml version="1.0" encoding="utf-8"?>
<ds:datastoreItem xmlns:ds="http://schemas.openxmlformats.org/officeDocument/2006/customXml" ds:itemID="{D84EFEED-8DDD-4554-B73B-29FD750DB306}">
  <ds:schemaRefs/>
</ds:datastoreItem>
</file>

<file path=customXml/itemProps49.xml><?xml version="1.0" encoding="utf-8"?>
<ds:datastoreItem xmlns:ds="http://schemas.openxmlformats.org/officeDocument/2006/customXml" ds:itemID="{6497114C-841B-4C27-9E57-5DA07314B422}">
  <ds:schemaRefs/>
</ds:datastoreItem>
</file>

<file path=customXml/itemProps50.xml><?xml version="1.0" encoding="utf-8"?>
<ds:datastoreItem xmlns:ds="http://schemas.openxmlformats.org/officeDocument/2006/customXml" ds:itemID="{F5374CAE-8F59-49CF-858F-5603DC5813E6}">
  <ds:schemaRefs/>
</ds:datastoreItem>
</file>

<file path=customXml/itemProps51.xml><?xml version="1.0" encoding="utf-8"?>
<ds:datastoreItem xmlns:ds="http://schemas.openxmlformats.org/officeDocument/2006/customXml" ds:itemID="{2C10166F-A6B8-4C27-911B-4520396E0BD3}">
  <ds:schemaRefs/>
</ds:datastoreItem>
</file>

<file path=customXml/itemProps52.xml><?xml version="1.0" encoding="utf-8"?>
<ds:datastoreItem xmlns:ds="http://schemas.openxmlformats.org/officeDocument/2006/customXml" ds:itemID="{B327BE40-6D1C-4A06-8C61-2D8621EC0D56}">
  <ds:schemaRefs/>
</ds:datastoreItem>
</file>

<file path=customXml/itemProps53.xml><?xml version="1.0" encoding="utf-8"?>
<ds:datastoreItem xmlns:ds="http://schemas.openxmlformats.org/officeDocument/2006/customXml" ds:itemID="{1D9237B2-B7BC-418D-99E8-1610F8E0E0F1}">
  <ds:schemaRefs/>
</ds:datastoreItem>
</file>

<file path=customXml/itemProps54.xml><?xml version="1.0" encoding="utf-8"?>
<ds:datastoreItem xmlns:ds="http://schemas.openxmlformats.org/officeDocument/2006/customXml" ds:itemID="{D0CAC8AB-0F47-42FA-9AF0-7EA431D39C80}">
  <ds:schemaRefs/>
</ds:datastoreItem>
</file>

<file path=customXml/itemProps55.xml><?xml version="1.0" encoding="utf-8"?>
<ds:datastoreItem xmlns:ds="http://schemas.openxmlformats.org/officeDocument/2006/customXml" ds:itemID="{B81D9DB1-4D4D-47EA-A796-867A97BD76A2}">
  <ds:schemaRefs/>
</ds:datastoreItem>
</file>

<file path=customXml/itemProps56.xml><?xml version="1.0" encoding="utf-8"?>
<ds:datastoreItem xmlns:ds="http://schemas.openxmlformats.org/officeDocument/2006/customXml" ds:itemID="{778D6B0A-4194-478A-BB49-5191BC3DA1F3}">
  <ds:schemaRefs/>
</ds:datastoreItem>
</file>

<file path=customXml/itemProps57.xml><?xml version="1.0" encoding="utf-8"?>
<ds:datastoreItem xmlns:ds="http://schemas.openxmlformats.org/officeDocument/2006/customXml" ds:itemID="{159DB022-D70E-4255-BA97-1A1E5FD4D86A}">
  <ds:schemaRefs/>
</ds:datastoreItem>
</file>

<file path=customXml/itemProps58.xml><?xml version="1.0" encoding="utf-8"?>
<ds:datastoreItem xmlns:ds="http://schemas.openxmlformats.org/officeDocument/2006/customXml" ds:itemID="{5365F1D3-A76B-4777-BFB1-8387FBB4EC27}">
  <ds:schemaRefs/>
</ds:datastoreItem>
</file>

<file path=customXml/itemProps59.xml><?xml version="1.0" encoding="utf-8"?>
<ds:datastoreItem xmlns:ds="http://schemas.openxmlformats.org/officeDocument/2006/customXml" ds:itemID="{117B0430-AF33-4D4B-BFDD-8C5C6CE64EA1}">
  <ds:schemaRefs/>
</ds:datastoreItem>
</file>

<file path=customXml/itemProps60.xml><?xml version="1.0" encoding="utf-8"?>
<ds:datastoreItem xmlns:ds="http://schemas.openxmlformats.org/officeDocument/2006/customXml" ds:itemID="{D2C986A1-4D6A-4D58-98F0-4FB049973911}">
  <ds:schemaRefs/>
</ds:datastoreItem>
</file>

<file path=customXml/itemProps61.xml><?xml version="1.0" encoding="utf-8"?>
<ds:datastoreItem xmlns:ds="http://schemas.openxmlformats.org/officeDocument/2006/customXml" ds:itemID="{9BFD6049-A7F9-4787-9833-EE6BE1CDA973}">
  <ds:schemaRefs/>
</ds:datastoreItem>
</file>

<file path=customXml/itemProps62.xml><?xml version="1.0" encoding="utf-8"?>
<ds:datastoreItem xmlns:ds="http://schemas.openxmlformats.org/officeDocument/2006/customXml" ds:itemID="{0FDD32FE-0FC1-4682-8BF1-F7F6253A868A}">
  <ds:schemaRefs/>
</ds:datastoreItem>
</file>

<file path=customXml/itemProps63.xml><?xml version="1.0" encoding="utf-8"?>
<ds:datastoreItem xmlns:ds="http://schemas.openxmlformats.org/officeDocument/2006/customXml" ds:itemID="{226DDBBE-996F-4D30-A9D0-64B628E75B38}">
  <ds:schemaRefs/>
</ds:datastoreItem>
</file>

<file path=customXml/itemProps64.xml><?xml version="1.0" encoding="utf-8"?>
<ds:datastoreItem xmlns:ds="http://schemas.openxmlformats.org/officeDocument/2006/customXml" ds:itemID="{120A4F01-6105-4315-9F70-A2D778B2953B}">
  <ds:schemaRefs/>
</ds:datastoreItem>
</file>

<file path=customXml/itemProps65.xml><?xml version="1.0" encoding="utf-8"?>
<ds:datastoreItem xmlns:ds="http://schemas.openxmlformats.org/officeDocument/2006/customXml" ds:itemID="{BB55F933-B90F-4BF4-A40D-E4A43958B53C}">
  <ds:schemaRefs/>
</ds:datastoreItem>
</file>

<file path=customXml/itemProps66.xml><?xml version="1.0" encoding="utf-8"?>
<ds:datastoreItem xmlns:ds="http://schemas.openxmlformats.org/officeDocument/2006/customXml" ds:itemID="{D8AA2826-A982-4A16-A6A3-F7DD074BBD04}">
  <ds:schemaRefs/>
</ds:datastoreItem>
</file>

<file path=customXml/itemProps67.xml><?xml version="1.0" encoding="utf-8"?>
<ds:datastoreItem xmlns:ds="http://schemas.openxmlformats.org/officeDocument/2006/customXml" ds:itemID="{EA437CCE-57EF-4D7F-A070-BD74FC865AEB}">
  <ds:schemaRefs/>
</ds:datastoreItem>
</file>

<file path=customXml/itemProps68.xml><?xml version="1.0" encoding="utf-8"?>
<ds:datastoreItem xmlns:ds="http://schemas.openxmlformats.org/officeDocument/2006/customXml" ds:itemID="{AA304B64-A7C7-4DF5-A8D2-E7DE99C3121E}">
  <ds:schemaRefs/>
</ds:datastoreItem>
</file>

<file path=customXml/itemProps69.xml><?xml version="1.0" encoding="utf-8"?>
<ds:datastoreItem xmlns:ds="http://schemas.openxmlformats.org/officeDocument/2006/customXml" ds:itemID="{8EF9154B-4A88-4C90-90DF-247FF457B309}">
  <ds:schemaRefs/>
</ds:datastoreItem>
</file>

<file path=customXml/itemProps70.xml><?xml version="1.0" encoding="utf-8"?>
<ds:datastoreItem xmlns:ds="http://schemas.openxmlformats.org/officeDocument/2006/customXml" ds:itemID="{B6EADC7D-775C-4B8E-8DCE-7E1A9B47381A}">
  <ds:schemaRefs/>
</ds:datastoreItem>
</file>

<file path=customXml/itemProps71.xml><?xml version="1.0" encoding="utf-8"?>
<ds:datastoreItem xmlns:ds="http://schemas.openxmlformats.org/officeDocument/2006/customXml" ds:itemID="{386F911E-E0DF-44F6-AF50-E264AF13712D}">
  <ds:schemaRefs/>
</ds:datastoreItem>
</file>

<file path=customXml/itemProps72.xml><?xml version="1.0" encoding="utf-8"?>
<ds:datastoreItem xmlns:ds="http://schemas.openxmlformats.org/officeDocument/2006/customXml" ds:itemID="{40D86F9D-F71A-41A9-9297-7B81E11BDBF4}">
  <ds:schemaRefs/>
</ds:datastoreItem>
</file>

<file path=customXml/itemProps73.xml><?xml version="1.0" encoding="utf-8"?>
<ds:datastoreItem xmlns:ds="http://schemas.openxmlformats.org/officeDocument/2006/customXml" ds:itemID="{4CE38A5C-3F20-4FB8-AD34-E33C20DA3075}">
  <ds:schemaRefs/>
</ds:datastoreItem>
</file>

<file path=customXml/itemProps74.xml><?xml version="1.0" encoding="utf-8"?>
<ds:datastoreItem xmlns:ds="http://schemas.openxmlformats.org/officeDocument/2006/customXml" ds:itemID="{F85B5ACE-427C-4BDA-A216-338CC8415E1D}">
  <ds:schemaRefs/>
</ds:datastoreItem>
</file>

<file path=customXml/itemProps75.xml><?xml version="1.0" encoding="utf-8"?>
<ds:datastoreItem xmlns:ds="http://schemas.openxmlformats.org/officeDocument/2006/customXml" ds:itemID="{D03F8484-FA50-4C2A-AB93-F7D3C6E04F64}">
  <ds:schemaRefs/>
</ds:datastoreItem>
</file>

<file path=customXml/itemProps76.xml><?xml version="1.0" encoding="utf-8"?>
<ds:datastoreItem xmlns:ds="http://schemas.openxmlformats.org/officeDocument/2006/customXml" ds:itemID="{7F65BF0C-2B38-45DD-865A-6B924C127090}">
  <ds:schemaRefs/>
</ds:datastoreItem>
</file>

<file path=customXml/itemProps77.xml><?xml version="1.0" encoding="utf-8"?>
<ds:datastoreItem xmlns:ds="http://schemas.openxmlformats.org/officeDocument/2006/customXml" ds:itemID="{4F2EFE1D-6FC0-40CC-A9F7-F15DC9D19830}">
  <ds:schemaRefs/>
</ds:datastoreItem>
</file>

<file path=customXml/itemProps78.xml><?xml version="1.0" encoding="utf-8"?>
<ds:datastoreItem xmlns:ds="http://schemas.openxmlformats.org/officeDocument/2006/customXml" ds:itemID="{A84A2D99-444E-4661-84E6-934C097330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class12-2022 dataset</vt:lpstr>
      <vt:lpstr>01_DATA_MODEL_raw_wide</vt:lpstr>
      <vt:lpstr>02_FACT_APPEARANCE (VIEW)</vt:lpstr>
      <vt:lpstr>03_DATA_QUALITY_LOG (VIEW)</vt:lpstr>
      <vt:lpstr>03_DATA_QUALITY</vt:lpstr>
      <vt:lpstr>04_CREDIBILITY</vt:lpstr>
      <vt:lpstr>05_ANALYSIS</vt:lpstr>
      <vt:lpstr>06_VOLATILITY</vt:lpstr>
      <vt:lpstr>07_DASHBOARD</vt:lpstr>
      <vt:lpstr>99_NOTES</vt:lpstr>
      <vt:lpstr>class12-2022 result</vt:lpstr>
      <vt:lpstr>'03_DATA_QUALITY'!Print_Area</vt:lpstr>
      <vt:lpstr>'04_CREDIBILITY'!Print_Area</vt:lpstr>
      <vt:lpstr>'05_ANALYSIS'!Print_Area</vt:lpstr>
      <vt:lpstr>'06_VOLATILITY'!Print_Area</vt:lpstr>
      <vt:lpstr>'07_DASHBOARD'!Print_Area</vt:lpstr>
      <vt:lpstr>'99_NOTES'!Print_Area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Ritu Verma</cp:lastModifiedBy>
  <cp:lastPrinted>2025-12-27T05:15:54Z</cp:lastPrinted>
  <dcterms:created xsi:type="dcterms:W3CDTF">2025-11-20T13:00:21Z</dcterms:created>
  <dcterms:modified xsi:type="dcterms:W3CDTF">2025-12-27T09:57:30Z</dcterms:modified>
</cp:coreProperties>
</file>